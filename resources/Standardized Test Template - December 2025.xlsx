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1134987\Documents\Python\DataViewer Dev\DataViewer\resources\"/>
    </mc:Choice>
  </mc:AlternateContent>
  <xr:revisionPtr revIDLastSave="0" documentId="13_ncr:1_{392F82AE-FFE5-47BD-A300-E81E86B627AB}" xr6:coauthVersionLast="47" xr6:coauthVersionMax="47" xr10:uidLastSave="{00000000-0000-0000-0000-000000000000}"/>
  <bookViews>
    <workbookView xWindow="-120" yWindow="-120" windowWidth="29040" windowHeight="15720" tabRatio="921" activeTab="1" xr2:uid="{36B6F417-46DE-4B5A-933A-FF6566050D97}"/>
  </bookViews>
  <sheets>
    <sheet name="Test SOP's" sheetId="34" r:id="rId1"/>
    <sheet name="Lifetime Test" sheetId="8" r:id="rId2"/>
    <sheet name="User Test Simulation" sheetId="30" r:id="rId3"/>
    <sheet name="Long Puff Lifetime Test" sheetId="32" r:id="rId4"/>
    <sheet name="Rapid Puff Lifetime Test" sheetId="4" r:id="rId5"/>
    <sheet name="Intense Test" sheetId="15" r:id="rId6"/>
    <sheet name="Big Headspace Serial Test" sheetId="31" r:id="rId7"/>
    <sheet name="Temperature Cycling Test #1" sheetId="16" r:id="rId8"/>
    <sheet name="Temperature Cycling Test #2" sheetId="33" r:id="rId9"/>
    <sheet name="Negative Pressure Test" sheetId="1" r:id="rId10"/>
    <sheet name="Viscosity Compatibility" sheetId="18" r:id="rId11"/>
    <sheet name="Various Oil Compatibility" sheetId="19" r:id="rId12"/>
  </sheets>
  <definedNames>
    <definedName name="DP_1_bighead" localSheetId="6">OFFSET(!$D$5,0,0,MAX(1,COUNT(!$D$5:$D$34)),1)</definedName>
    <definedName name="DP_1_intense" localSheetId="5">OFFSET(!$D$5,0,0,MAX(1,COUNT(!$D$5:$D$115)),1)</definedName>
    <definedName name="DP_1_lifetime" localSheetId="1">OFFSET(!$D$5,0,0,MAX(1,COUNT(!$D$5:$D$115)),1)</definedName>
    <definedName name="DP_1_longpuff" localSheetId="3">OFFSET(!$D$5,0,0,MAX(1,COUNT(!$D$5:$D$115)),1)</definedName>
    <definedName name="DP_1_rapid" localSheetId="4">OFFSET(!$D$5,0,0,MAX(1,COUNT(!$D$5:$D$115)),1)</definedName>
    <definedName name="DP_1_temp_cycling" localSheetId="8">OFFSET(!$D$5,0,0,MAX(1,COUNT(!$D$5:$D$9)),1)</definedName>
    <definedName name="DP_1_usersim" localSheetId="2">OFFSET(!$D$5,0,0,MAX(1,COUNT(!$D$5:$D$115)),1)</definedName>
    <definedName name="DP_1_vacuum" localSheetId="9">OFFSET(!$D$5,0,0,MAX(1,COUNT(!$D$5:$D$115)),1)</definedName>
    <definedName name="DP_1_various_oil" localSheetId="11">OFFSET(!$D$5,0,0,MAX(1,COUNT(!$D$5:$D$115)),1)</definedName>
    <definedName name="DP_1_viscosity" localSheetId="10">OFFSET(!$D$5,0,0,MAX(1,COUNT(!$D$5:$D$115)),1)</definedName>
    <definedName name="DP_2_bighead" localSheetId="6">OFFSET(!$P$5,0,0,MAX(1,COUNT(!$P$5:$P$34)),1)</definedName>
    <definedName name="DP_2_intense" localSheetId="5">OFFSET(!$P$5,0,0,MAX(1,COUNT(!$P$5:$P$115)),1)</definedName>
    <definedName name="DP_2_lifetime" localSheetId="1">OFFSET(!$P$5,0,0,MAX(1,COUNT(!$P$5:$P$115)),1)</definedName>
    <definedName name="DP_2_longpuff" localSheetId="3">OFFSET(!$P$5,0,0,MAX(1,COUNT(!$P$5:$P$115)),1)</definedName>
    <definedName name="DP_2_rapid" localSheetId="4">OFFSET(!$P$5,0,0,MAX(1,COUNT(!$P$5:$P$115)),1)</definedName>
    <definedName name="DP_2_temp_cycling" localSheetId="8">OFFSET(!$P$5,0,0,MAX(1,COUNT(!$P$5:$P$9)),1)</definedName>
    <definedName name="DP_2_usersim" localSheetId="2">OFFSET(!$P$5,0,0,MAX(1,COUNT(!$P$5:$P$115)),1)</definedName>
    <definedName name="DP_2_vacuum" localSheetId="9">OFFSET(!$P$5,0,0,MAX(1,COUNT(!$P$5:$P$115)),1)</definedName>
    <definedName name="DP_2_various_oil" localSheetId="11">OFFSET(!$P$5,0,0,MAX(1,COUNT(!$P$5:$P$115)),1)</definedName>
    <definedName name="DP_2_viscosity" localSheetId="10">OFFSET(!$P$5,0,0,MAX(1,COUNT(!$P$5:$P$115)),1)</definedName>
    <definedName name="DP_3_temp_cycling" localSheetId="8">OFFSET(!$AB$5,0,0,MAX(1,COUNT(!$AB$5:$AB$9)),1)</definedName>
    <definedName name="DP_3_various_oil" localSheetId="11">OFFSET(!$AB$5,0,0,MAX(1,COUNT(!$AB$5:$AB$115)),1)</definedName>
    <definedName name="DP_3_viscosity" localSheetId="10">OFFSET(!$AB$5,0,0,MAX(1,COUNT(!$AB$5:$AB$115)),1)</definedName>
    <definedName name="DP_4_temp_cycling" localSheetId="8">OFFSET(!$AN$5,0,0,MAX(1,COUNT(!$AN$5:$AN$9)),1)</definedName>
    <definedName name="DP_4_various_oil" localSheetId="11">OFFSET(!$AN$5,0,0,MAX(1,COUNT(!$AN$5:$AN$115)),1)</definedName>
    <definedName name="DP_4_viscosity" localSheetId="10">OFFSET(!$AN$5,0,0,MAX(1,COUNT(!$AN$5:$AN$115)),1)</definedName>
    <definedName name="DP_5_temp_cycling" localSheetId="8">OFFSET(!$AZ$5,0,0,MAX(1,COUNT(!$AZ$5:$AZ$9)),1)</definedName>
    <definedName name="DP_5_viscosity" localSheetId="10">OFFSET(!$AZ$5,0,0,MAX(1,COUNT(!$AZ$5:$AZ$115)),1)</definedName>
    <definedName name="DP_6_temp_cycling" localSheetId="8">OFFSET(!$BL$5,0,0,MAX(1,COUNT(!$BL$5:$BL$9)),1)</definedName>
    <definedName name="DP_6_viscosity" localSheetId="10">OFFSET(!$BL$5,0,0,MAX(1,COUNT(!$BL$5:$BL$115)),1)</definedName>
    <definedName name="DP_7_viscosity" localSheetId="10">OFFSET(!$BX$5,0,0,MAX(1,COUNT(!$BX$5:$BX$115)),1)</definedName>
    <definedName name="DP_8_viscosity" localSheetId="10">OFFSET(!$CJ$5,0,0,MAX(1,COUNT(!$CJ$5:$CJ$115)),1)</definedName>
    <definedName name="puffs_1_bighead" localSheetId="6">OFFSET(!$A$5,0,0,MAX(1,COUNT(!$I$5:$I$34)),1)</definedName>
    <definedName name="puffs_1_intense">OFFSET('Intense Test'!$A$5,0,0,MAX(1,COUNT('Intense Test'!$I$5:$I$115)),1)</definedName>
    <definedName name="puffs_1_lifetime" localSheetId="1">OFFSET('Lifetime Test'!$A$5,0,0,MAX(1,COUNT('Lifetime Test'!$I$5:$I$115)),1)</definedName>
    <definedName name="puffs_1_longpuff" localSheetId="3">OFFSET('Long Puff Lifetime Test'!$A$5,0,0,MAX(1,COUNT('Long Puff Lifetime Test'!$I$5:$I$115)),1)</definedName>
    <definedName name="puffs_1_rapid">OFFSET('Rapid Puff Lifetime Test'!$A$5,0,0,MAX(1,COUNT('Rapid Puff Lifetime Test'!$I$5:$I$115)),1)</definedName>
    <definedName name="puffs_1_temp_cycling" localSheetId="8">OFFSET(!$A$5,0,0,MAX(1,COUNT(!$I$5:$I$9)),1)</definedName>
    <definedName name="puffs_1_usersim" localSheetId="2">OFFSET('User Test Simulation'!$A$5,0,0,MAX(1,COUNT('User Test Simulation'!$I$5:$I$115)),1)</definedName>
    <definedName name="puffs_1_vacuum">OFFSET('Negative Pressure Test'!$A$5,0,0,MAX(1,COUNT('Negative Pressure Test'!$I$5:$I$115)),1)</definedName>
    <definedName name="puffs_1_various_oil" localSheetId="11">OFFSET(!$A$5,0,0,MAX(1,COUNT(!$I$5:$I$115)),1)</definedName>
    <definedName name="puffs_1_viscosity" localSheetId="10">OFFSET(!$A$5,0,0,MAX(1,COUNT(!$I$5:$I$115)),1)</definedName>
    <definedName name="puffs_2_bighead" localSheetId="6">OFFSET(!$M$5,0,0,MAX(1,COUNT(!$U$5:$U$34)),1)</definedName>
    <definedName name="puffs_2_intense">OFFSET('Intense Test'!$M$5,0,0,MAX(1,COUNT('Intense Test'!$U$5:$U$115)),1)</definedName>
    <definedName name="puffs_2_lifetime">OFFSET('Lifetime Test'!$M$5,0,0,MAX(1,COUNT('Lifetime Test'!$U$5:$U$115)),1)</definedName>
    <definedName name="puffs_2_longpuff">OFFSET('Long Puff Lifetime Test'!$M$5,0,0,MAX(1,COUNT('Long Puff Lifetime Test'!$U$5:$U$115)),1)</definedName>
    <definedName name="puffs_2_rapid">OFFSET('Rapid Puff Lifetime Test'!$M$5,0,0,MAX(1,COUNT('Rapid Puff Lifetime Test'!$U$5:$U$115)),1)</definedName>
    <definedName name="puffs_2_temp_cycling" localSheetId="8">OFFSET(!$M$5,0,0,MAX(1,COUNT(!$U$5:$U$9)),1)</definedName>
    <definedName name="puffs_2_usersim">OFFSET('User Test Simulation'!$M$5,0,0,MAX(1,COUNT('User Test Simulation'!$U$5:$U$115)),1)</definedName>
    <definedName name="puffs_2_vacuum">OFFSET('Negative Pressure Test'!$M$5,0,0,MAX(1,COUNT('Negative Pressure Test'!$U$5:$U$115)),1)</definedName>
    <definedName name="puffs_2_various_oil" localSheetId="11">OFFSET(!$M$5,0,0,MAX(1,COUNT(!$U$5:$U$115)),1)</definedName>
    <definedName name="puffs_2_viscosity" localSheetId="10">OFFSET(!$M$5,0,0,MAX(1,COUNT(!$U$5:$U$115)),1)</definedName>
    <definedName name="puffs_3_temp_cycling" localSheetId="8">OFFSET(!$Y$5,0,0,MAX(1,COUNT(!$AG$5:$AG$9)),1)</definedName>
    <definedName name="puffs_3_various_oil" localSheetId="11">OFFSET(!$Y$5,0,0,MAX(1,COUNT(!$AG$5:$AG$115)),1)</definedName>
    <definedName name="puffs_3_viscosity" localSheetId="10">OFFSET(!$Y$5,0,0,MAX(1,COUNT(!$AG$5:$AG$115)),1)</definedName>
    <definedName name="puffs_4_temp_cycling" localSheetId="8">OFFSET(!$AK$5,0,0,MAX(1,COUNT(!$AS$5:$AS$9)),1)</definedName>
    <definedName name="puffs_4_various_oil" localSheetId="11">OFFSET(!$AK$5,0,0,MAX(1,COUNT(!$AS$5:$AS$115)),1)</definedName>
    <definedName name="puffs_4_viscosity" localSheetId="10">OFFSET(!$AK$5,0,0,MAX(1,COUNT(!$AS$5:$AS$115)),1)</definedName>
    <definedName name="puffs_5_temp_cycling" localSheetId="8">OFFSET(!$AW$5,0,0,MAX(1,COUNT(!$BE$5:$BE$9)),1)</definedName>
    <definedName name="puffs_5_viscosity" localSheetId="10">OFFSET(!$AW$5,0,0,MAX(1,COUNT(!$BE$5:$BE$115)),1)</definedName>
    <definedName name="puffs_6_temp_cycling" localSheetId="8">OFFSET(!$BI$5,0,0,MAX(1,COUNT(!$BQ$5:$BQ$9)),1)</definedName>
    <definedName name="puffs_6_viscosity" localSheetId="10">OFFSET(!$BI$5,0,0,MAX(1,COUNT(!$BQ$5:$BQ$115)),1)</definedName>
    <definedName name="puffs_7_viscosity" localSheetId="10">OFFSET(!$BU$5,0,0,MAX(1,COUNT(!$CC$5:$CC$115)),1)</definedName>
    <definedName name="puffs_8_viscosity" localSheetId="10">OFFSET(!$CG$5,0,0,MAX(1,COUNT(!$CO$5:$CO$115)),1)</definedName>
    <definedName name="TPM_1_bighead" localSheetId="6">OFFSET(!$I$5,0,0,MAX(1,COUNT(!$I$5:$I$34)),1)</definedName>
    <definedName name="TPM_1_intense" localSheetId="5">OFFSET(!$I$5,0,0,MAX(1,COUNT(!$I$5:$I$115)),1)</definedName>
    <definedName name="TPM_1_lifetime" comment="Offset Y Data for TPM Plot" localSheetId="1">OFFSET('Lifetime Test'!$I$5,0,0,MAX(1,COUNT('Lifetime Test'!$I$5:$I$115)),1)</definedName>
    <definedName name="TPM_1_longpuff" localSheetId="3">OFFSET(!$I$5,0,0,MAX(1,COUNT(!$I$5:$I$115)),1)</definedName>
    <definedName name="TPM_1_rapidpuff" localSheetId="4">OFFSET(!$I$5,0,0,MAX(1,COUNT(!$I$5:$I$115)),1)</definedName>
    <definedName name="TPM_1_temp_cycling" localSheetId="8">OFFSET(!$I$5,0,0,MAX(1,COUNT(!$I$5:$I$9)),1)</definedName>
    <definedName name="TPM_1_usersim" localSheetId="2">OFFSET(!$I$5,0,0,MAX(1,COUNT(!$I$5:$I$115)),1)</definedName>
    <definedName name="TPM_1_vacuum" localSheetId="9">OFFSET(!$I$5,0,0,MAX(1,COUNT(!$I$5:$I$115)),1)</definedName>
    <definedName name="TPM_1_various_oil" localSheetId="11">OFFSET(!$I$5,0,0,MAX(1,COUNT(!$I$5:$I$115)),1)</definedName>
    <definedName name="TPM_1_viscosity" localSheetId="10">OFFSET(!$I$5,0,0,MAX(1,COUNT(!$I$5:$I$115)),1)</definedName>
    <definedName name="TPM_2_bighead" localSheetId="6">OFFSET(!$U$5,0,0,MAX(1,COUNT(!$U$5:$U$34)),1)</definedName>
    <definedName name="TPM_2_intense" localSheetId="5">OFFSET(!$U$5,0,0,MAX(1,COUNT(!$U$5:$U$115)),1)</definedName>
    <definedName name="TPM_2_lifetime">OFFSET('Lifetime Test'!$U$5,0,0,MAX(1,COUNT('Lifetime Test'!$U$5:$U$115)),1)</definedName>
    <definedName name="TPM_2_longpuff" localSheetId="3">OFFSET(!$U$5,0,0,MAX(1,COUNT(!$U$5:$U$115)),1)</definedName>
    <definedName name="TPM_2_rapid" localSheetId="4">OFFSET(!$U$5,0,0,MAX(1,COUNT(!$U$5:$U$115)),1)</definedName>
    <definedName name="TPM_2_temp_cycling" localSheetId="8">OFFSET(!$U$5,0,0,MAX(1,COUNT(!$U$5:$U$9)),1)</definedName>
    <definedName name="TPM_2_usersim" localSheetId="2">OFFSET(!$U$5,0,0,MAX(1,COUNT(!$U$5:$U$115)),1)</definedName>
    <definedName name="TPM_2_vacuum" localSheetId="9">OFFSET(!$U$5,0,0,MAX(1,COUNT(!$U$5:$U$115)),1)</definedName>
    <definedName name="TPM_2_various_oil" localSheetId="11">OFFSET(!$U$5,0,0,MAX(1,COUNT(!$U$5:$U$115)),1)</definedName>
    <definedName name="TPM_2_viscosity" localSheetId="10">OFFSET(!$U$5,0,0,MAX(1,COUNT(!$U$5:$U$115)),1)</definedName>
    <definedName name="TPM_3_temp_cycling" localSheetId="8">OFFSET(!$AG$5,0,0,MAX(1,COUNT(!$AG$5:$AG$9)),1)</definedName>
    <definedName name="TPM_3_various_oil" localSheetId="11">OFFSET(!$AG$5,0,0,MAX(1,COUNT(!$AG$5:$AG$115)),1)</definedName>
    <definedName name="TPM_3_viscosity" localSheetId="10">OFFSET(!$AG$5,0,0,MAX(1,COUNT(!$AG$5:$AG$115)),1)</definedName>
    <definedName name="TPM_4_temp_cycling" localSheetId="8">OFFSET(!$AS$5,0,0,MAX(1,COUNT(!$AS$5:$AS$9)),1)</definedName>
    <definedName name="TPM_4_various_oil" localSheetId="11">OFFSET(!$AS$5,0,0,MAX(1,COUNT(!$AS$5:$AS$115)),1)</definedName>
    <definedName name="TPM_4_viscosity" localSheetId="10">OFFSET(!$AS$5,0,0,MAX(1,COUNT(!$AS$5:$AS$115)),1)</definedName>
    <definedName name="TPM_5_temp_cycling" localSheetId="8">OFFSET(!$BE$5,0,0,MAX(1,COUNT(!$BE$5:$BE$9)),1)</definedName>
    <definedName name="TPM_5_viscosity" localSheetId="10">OFFSET(!$BE$5,0,0,MAX(1,COUNT(!$BE$5:$BE$115)),1)</definedName>
    <definedName name="TPM_6_temp_cycling" localSheetId="8">OFFSET(!$BQ$5,0,0,MAX(1,COUNT(!$BQ$5:$BQ$9)),1)</definedName>
    <definedName name="TPM_6_viscosity" localSheetId="10">OFFSET(!$BQ$5,0,0,MAX(1,COUNT(!$BQ$5:$BQ$115)),1)</definedName>
    <definedName name="TPM_7_viscosity" localSheetId="10">OFFSET(!$CC$5,0,0,MAX(1,COUNT(!$CC$5:$CC$115)),1)</definedName>
    <definedName name="TPM_8_viscosity" localSheetId="10">OFFSET(!$CO$5,0,0,MAX(1,COUNT(!$CO$5:$CO$115)),1)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9" l="1" a="1"/>
  <c r="R2" i="19" s="1"/>
  <c r="U5" i="19"/>
  <c r="X2" i="19" s="1"/>
  <c r="M6" i="19"/>
  <c r="M7" i="19" s="1"/>
  <c r="M8" i="19" s="1"/>
  <c r="M9" i="19" s="1"/>
  <c r="M10" i="19" s="1"/>
  <c r="M11" i="19" s="1"/>
  <c r="M12" i="19" s="1"/>
  <c r="M13" i="19" s="1"/>
  <c r="M14" i="19" s="1"/>
  <c r="M15" i="19" s="1"/>
  <c r="M16" i="19" s="1"/>
  <c r="M17" i="19" s="1"/>
  <c r="M18" i="19" s="1"/>
  <c r="M19" i="19" s="1"/>
  <c r="M20" i="19" s="1"/>
  <c r="M21" i="19" s="1"/>
  <c r="M22" i="19" s="1"/>
  <c r="M23" i="19" s="1"/>
  <c r="M24" i="19" s="1"/>
  <c r="M25" i="19" s="1"/>
  <c r="M26" i="19" s="1"/>
  <c r="M27" i="19" s="1"/>
  <c r="M28" i="19" s="1"/>
  <c r="M29" i="19" s="1"/>
  <c r="M30" i="19" s="1"/>
  <c r="M31" i="19" s="1"/>
  <c r="M32" i="19" s="1"/>
  <c r="M33" i="19" s="1"/>
  <c r="M34" i="19" s="1"/>
  <c r="M35" i="19" s="1"/>
  <c r="M36" i="19" s="1"/>
  <c r="M37" i="19" s="1"/>
  <c r="M38" i="19" s="1"/>
  <c r="M39" i="19" s="1"/>
  <c r="M40" i="19" s="1"/>
  <c r="M41" i="19" s="1"/>
  <c r="M42" i="19" s="1"/>
  <c r="M43" i="19" s="1"/>
  <c r="M44" i="19" s="1"/>
  <c r="M45" i="19" s="1"/>
  <c r="M46" i="19" s="1"/>
  <c r="M47" i="19" s="1"/>
  <c r="M48" i="19" s="1"/>
  <c r="M49" i="19" s="1"/>
  <c r="M50" i="19" s="1"/>
  <c r="M51" i="19" s="1"/>
  <c r="M52" i="19" s="1"/>
  <c r="M53" i="19" s="1"/>
  <c r="M54" i="19" s="1"/>
  <c r="M55" i="19" s="1"/>
  <c r="M56" i="19" s="1"/>
  <c r="M57" i="19" s="1"/>
  <c r="M58" i="19" s="1"/>
  <c r="M59" i="19" s="1"/>
  <c r="M60" i="19" s="1"/>
  <c r="M61" i="19" s="1"/>
  <c r="M62" i="19" s="1"/>
  <c r="M63" i="19" s="1"/>
  <c r="M64" i="19" s="1"/>
  <c r="M65" i="19" s="1"/>
  <c r="M66" i="19" s="1"/>
  <c r="M67" i="19" s="1"/>
  <c r="M68" i="19" s="1"/>
  <c r="M69" i="19" s="1"/>
  <c r="M70" i="19" s="1"/>
  <c r="M71" i="19" s="1"/>
  <c r="M72" i="19" s="1"/>
  <c r="M73" i="19" s="1"/>
  <c r="M74" i="19" s="1"/>
  <c r="M75" i="19" s="1"/>
  <c r="M76" i="19" s="1"/>
  <c r="M77" i="19" s="1"/>
  <c r="M78" i="19" s="1"/>
  <c r="M79" i="19" s="1"/>
  <c r="M80" i="19" s="1"/>
  <c r="M81" i="19" s="1"/>
  <c r="M82" i="19" s="1"/>
  <c r="M83" i="19" s="1"/>
  <c r="M84" i="19" s="1"/>
  <c r="M85" i="19" s="1"/>
  <c r="M86" i="19" s="1"/>
  <c r="M87" i="19" s="1"/>
  <c r="M88" i="19" s="1"/>
  <c r="M89" i="19" s="1"/>
  <c r="M90" i="19" s="1"/>
  <c r="M91" i="19" s="1"/>
  <c r="M92" i="19" s="1"/>
  <c r="M93" i="19" s="1"/>
  <c r="M94" i="19" s="1"/>
  <c r="M95" i="19" s="1"/>
  <c r="M96" i="19" s="1"/>
  <c r="M97" i="19" s="1"/>
  <c r="M98" i="19" s="1"/>
  <c r="M99" i="19" s="1"/>
  <c r="M100" i="19" s="1"/>
  <c r="M101" i="19" s="1"/>
  <c r="M102" i="19" s="1"/>
  <c r="M103" i="19" s="1"/>
  <c r="M104" i="19" s="1"/>
  <c r="M105" i="19" s="1"/>
  <c r="M106" i="19" s="1"/>
  <c r="M107" i="19" s="1"/>
  <c r="M108" i="19" s="1"/>
  <c r="M109" i="19" s="1"/>
  <c r="M110" i="19" s="1"/>
  <c r="M111" i="19" s="1"/>
  <c r="M112" i="19" s="1"/>
  <c r="M113" i="19" s="1"/>
  <c r="M114" i="19" s="1"/>
  <c r="M115" i="19" s="1"/>
  <c r="N6" i="19"/>
  <c r="U6" i="19"/>
  <c r="V6" i="19" s="1"/>
  <c r="N7" i="19"/>
  <c r="U7" i="19"/>
  <c r="V7" i="19" s="1"/>
  <c r="N8" i="19"/>
  <c r="U8" i="19"/>
  <c r="V8" i="19" s="1"/>
  <c r="X8" i="19" a="1"/>
  <c r="X8" i="19"/>
  <c r="N9" i="19"/>
  <c r="U9" i="19"/>
  <c r="X9" i="19" s="1" a="1"/>
  <c r="X9" i="19" s="1"/>
  <c r="V9" i="19"/>
  <c r="W9" i="19"/>
  <c r="N10" i="19"/>
  <c r="U10" i="19"/>
  <c r="V10" i="19"/>
  <c r="W10" i="19"/>
  <c r="X10" i="19" a="1"/>
  <c r="X10" i="19" s="1"/>
  <c r="N11" i="19"/>
  <c r="U11" i="19"/>
  <c r="V11" i="19" s="1"/>
  <c r="N12" i="19"/>
  <c r="U12" i="19"/>
  <c r="V12" i="19"/>
  <c r="W12" i="19"/>
  <c r="X12" i="19" a="1"/>
  <c r="X12" i="19"/>
  <c r="N13" i="19"/>
  <c r="U13" i="19"/>
  <c r="W13" i="19" s="1"/>
  <c r="V13" i="19"/>
  <c r="X13" i="19" a="1"/>
  <c r="X13" i="19"/>
  <c r="N14" i="19"/>
  <c r="U14" i="19"/>
  <c r="V14" i="19" s="1"/>
  <c r="W14" i="19"/>
  <c r="X14" i="19" a="1"/>
  <c r="X14" i="19" s="1"/>
  <c r="N15" i="19"/>
  <c r="U15" i="19"/>
  <c r="V15" i="19"/>
  <c r="W15" i="19"/>
  <c r="X15" i="19" a="1"/>
  <c r="X15" i="19"/>
  <c r="N16" i="19"/>
  <c r="U16" i="19"/>
  <c r="W16" i="19" s="1"/>
  <c r="V16" i="19"/>
  <c r="N17" i="19"/>
  <c r="U17" i="19"/>
  <c r="V17" i="19"/>
  <c r="W17" i="19"/>
  <c r="X17" i="19" a="1"/>
  <c r="X17" i="19" s="1"/>
  <c r="N18" i="19"/>
  <c r="U18" i="19"/>
  <c r="V18" i="19" s="1"/>
  <c r="N19" i="19"/>
  <c r="U19" i="19"/>
  <c r="V19" i="19" s="1"/>
  <c r="N20" i="19"/>
  <c r="U20" i="19"/>
  <c r="V20" i="19" s="1"/>
  <c r="W20" i="19"/>
  <c r="X20" i="19" a="1"/>
  <c r="X20" i="19" s="1"/>
  <c r="N21" i="19"/>
  <c r="U21" i="19"/>
  <c r="X21" i="19" s="1" a="1"/>
  <c r="X21" i="19" s="1"/>
  <c r="V21" i="19"/>
  <c r="W21" i="19"/>
  <c r="N22" i="19"/>
  <c r="U22" i="19"/>
  <c r="V22" i="19"/>
  <c r="W22" i="19"/>
  <c r="X22" i="19" a="1"/>
  <c r="X22" i="19" s="1"/>
  <c r="N23" i="19"/>
  <c r="U23" i="19"/>
  <c r="V23" i="19" s="1"/>
  <c r="N24" i="19"/>
  <c r="U24" i="19"/>
  <c r="V24" i="19"/>
  <c r="W24" i="19"/>
  <c r="X24" i="19" a="1"/>
  <c r="X24" i="19"/>
  <c r="N25" i="19"/>
  <c r="U25" i="19"/>
  <c r="V25" i="19" s="1"/>
  <c r="X25" i="19" a="1"/>
  <c r="X25" i="19"/>
  <c r="N26" i="19"/>
  <c r="U26" i="19"/>
  <c r="V26" i="19" s="1"/>
  <c r="W26" i="19"/>
  <c r="X26" i="19" a="1"/>
  <c r="X26" i="19" s="1"/>
  <c r="N27" i="19"/>
  <c r="U27" i="19"/>
  <c r="V27" i="19"/>
  <c r="W27" i="19"/>
  <c r="X27" i="19" a="1"/>
  <c r="X27" i="19"/>
  <c r="N28" i="19"/>
  <c r="U28" i="19"/>
  <c r="W28" i="19" s="1"/>
  <c r="V28" i="19"/>
  <c r="N29" i="19"/>
  <c r="U29" i="19"/>
  <c r="V29" i="19" s="1"/>
  <c r="W29" i="19"/>
  <c r="X29" i="19" a="1"/>
  <c r="X29" i="19" s="1"/>
  <c r="N30" i="19"/>
  <c r="U30" i="19"/>
  <c r="V30" i="19" s="1"/>
  <c r="N31" i="19"/>
  <c r="U31" i="19"/>
  <c r="V31" i="19" s="1"/>
  <c r="N32" i="19"/>
  <c r="U32" i="19"/>
  <c r="V32" i="19"/>
  <c r="W32" i="19"/>
  <c r="X32" i="19" a="1"/>
  <c r="X32" i="19" s="1"/>
  <c r="N33" i="19"/>
  <c r="U33" i="19"/>
  <c r="X33" i="19" s="1" a="1"/>
  <c r="X33" i="19" s="1"/>
  <c r="V33" i="19"/>
  <c r="W33" i="19"/>
  <c r="N34" i="19"/>
  <c r="U34" i="19"/>
  <c r="V34" i="19"/>
  <c r="W34" i="19"/>
  <c r="X34" i="19" a="1"/>
  <c r="X34" i="19" s="1"/>
  <c r="N35" i="19"/>
  <c r="U35" i="19"/>
  <c r="V35" i="19" s="1"/>
  <c r="N36" i="19"/>
  <c r="U36" i="19"/>
  <c r="V36" i="19"/>
  <c r="W36" i="19"/>
  <c r="X36" i="19" a="1"/>
  <c r="X36" i="19"/>
  <c r="N37" i="19"/>
  <c r="U37" i="19"/>
  <c r="V37" i="19"/>
  <c r="W37" i="19"/>
  <c r="X37" i="19" a="1"/>
  <c r="X37" i="19"/>
  <c r="N38" i="19"/>
  <c r="U38" i="19"/>
  <c r="V38" i="19" s="1"/>
  <c r="W38" i="19"/>
  <c r="X38" i="19" a="1"/>
  <c r="X38" i="19" s="1"/>
  <c r="N39" i="19"/>
  <c r="U39" i="19"/>
  <c r="V39" i="19" s="1"/>
  <c r="W39" i="19"/>
  <c r="X39" i="19" a="1"/>
  <c r="X39" i="19"/>
  <c r="N40" i="19"/>
  <c r="U40" i="19"/>
  <c r="W40" i="19" s="1"/>
  <c r="V40" i="19"/>
  <c r="N41" i="19"/>
  <c r="U41" i="19"/>
  <c r="V41" i="19" s="1"/>
  <c r="W41" i="19"/>
  <c r="X41" i="19" a="1"/>
  <c r="X41" i="19" s="1"/>
  <c r="N42" i="19"/>
  <c r="U42" i="19"/>
  <c r="V42" i="19" s="1"/>
  <c r="N43" i="19"/>
  <c r="U43" i="19"/>
  <c r="V43" i="19" s="1"/>
  <c r="N44" i="19"/>
  <c r="U44" i="19"/>
  <c r="V44" i="19" s="1"/>
  <c r="X44" i="19" a="1"/>
  <c r="X44" i="19" s="1"/>
  <c r="N45" i="19"/>
  <c r="U45" i="19"/>
  <c r="X45" i="19" s="1" a="1"/>
  <c r="X45" i="19" s="1"/>
  <c r="V45" i="19"/>
  <c r="W45" i="19"/>
  <c r="N46" i="19"/>
  <c r="U46" i="19"/>
  <c r="V46" i="19"/>
  <c r="W46" i="19"/>
  <c r="X46" i="19" a="1"/>
  <c r="X46" i="19" s="1"/>
  <c r="N47" i="19"/>
  <c r="U47" i="19"/>
  <c r="V47" i="19" s="1"/>
  <c r="N48" i="19"/>
  <c r="U48" i="19"/>
  <c r="V48" i="19"/>
  <c r="W48" i="19"/>
  <c r="X48" i="19" a="1"/>
  <c r="X48" i="19"/>
  <c r="N49" i="19"/>
  <c r="U49" i="19"/>
  <c r="V49" i="19" s="1"/>
  <c r="N50" i="19"/>
  <c r="U50" i="19"/>
  <c r="V50" i="19" s="1"/>
  <c r="W50" i="19"/>
  <c r="X50" i="19" a="1"/>
  <c r="X50" i="19" s="1"/>
  <c r="N51" i="19"/>
  <c r="U51" i="19"/>
  <c r="V51" i="19" s="1"/>
  <c r="W51" i="19"/>
  <c r="X51" i="19" a="1"/>
  <c r="X51" i="19"/>
  <c r="N52" i="19"/>
  <c r="U52" i="19"/>
  <c r="W52" i="19" s="1"/>
  <c r="V52" i="19"/>
  <c r="N53" i="19"/>
  <c r="U53" i="19"/>
  <c r="V53" i="19" s="1"/>
  <c r="W53" i="19"/>
  <c r="X53" i="19" a="1"/>
  <c r="X53" i="19" s="1"/>
  <c r="N54" i="19"/>
  <c r="U54" i="19"/>
  <c r="V54" i="19" s="1"/>
  <c r="N55" i="19"/>
  <c r="U55" i="19"/>
  <c r="V55" i="19" s="1"/>
  <c r="N56" i="19"/>
  <c r="U56" i="19"/>
  <c r="V56" i="19" s="1"/>
  <c r="X56" i="19" a="1"/>
  <c r="X56" i="19" s="1"/>
  <c r="N57" i="19"/>
  <c r="U57" i="19"/>
  <c r="X57" i="19" s="1" a="1"/>
  <c r="X57" i="19" s="1"/>
  <c r="V57" i="19"/>
  <c r="W57" i="19"/>
  <c r="N58" i="19"/>
  <c r="U58" i="19"/>
  <c r="V58" i="19"/>
  <c r="W58" i="19"/>
  <c r="X58" i="19" a="1"/>
  <c r="X58" i="19" s="1"/>
  <c r="N59" i="19"/>
  <c r="U59" i="19"/>
  <c r="V59" i="19" s="1"/>
  <c r="N60" i="19"/>
  <c r="U60" i="19"/>
  <c r="V60" i="19"/>
  <c r="W60" i="19"/>
  <c r="X60" i="19" a="1"/>
  <c r="X60" i="19"/>
  <c r="N61" i="19"/>
  <c r="U61" i="19"/>
  <c r="V61" i="19" s="1"/>
  <c r="X61" i="19" a="1"/>
  <c r="X61" i="19"/>
  <c r="N62" i="19"/>
  <c r="U62" i="19"/>
  <c r="V62" i="19" s="1"/>
  <c r="W62" i="19"/>
  <c r="X62" i="19" a="1"/>
  <c r="X62" i="19" s="1"/>
  <c r="N63" i="19"/>
  <c r="U63" i="19"/>
  <c r="V63" i="19"/>
  <c r="W63" i="19"/>
  <c r="X63" i="19" a="1"/>
  <c r="X63" i="19"/>
  <c r="N64" i="19"/>
  <c r="U64" i="19"/>
  <c r="W64" i="19" s="1"/>
  <c r="V64" i="19"/>
  <c r="N65" i="19"/>
  <c r="U65" i="19"/>
  <c r="V65" i="19" s="1"/>
  <c r="W65" i="19"/>
  <c r="X65" i="19" a="1"/>
  <c r="X65" i="19" s="1"/>
  <c r="N66" i="19"/>
  <c r="U66" i="19"/>
  <c r="V66" i="19" s="1"/>
  <c r="X66" i="19" a="1"/>
  <c r="X66" i="19" s="1"/>
  <c r="N67" i="19"/>
  <c r="U67" i="19"/>
  <c r="V67" i="19" s="1"/>
  <c r="N68" i="19"/>
  <c r="U68" i="19"/>
  <c r="W68" i="19" s="1"/>
  <c r="V68" i="19"/>
  <c r="X68" i="19" a="1"/>
  <c r="X68" i="19" s="1"/>
  <c r="N69" i="19"/>
  <c r="U69" i="19"/>
  <c r="X69" i="19" s="1" a="1"/>
  <c r="X69" i="19" s="1"/>
  <c r="V69" i="19"/>
  <c r="W69" i="19"/>
  <c r="N70" i="19"/>
  <c r="U70" i="19"/>
  <c r="W70" i="19" s="1"/>
  <c r="V70" i="19"/>
  <c r="X70" i="19" a="1"/>
  <c r="X70" i="19" s="1"/>
  <c r="N71" i="19"/>
  <c r="U71" i="19"/>
  <c r="V71" i="19" s="1"/>
  <c r="N72" i="19"/>
  <c r="U72" i="19"/>
  <c r="V72" i="19"/>
  <c r="W72" i="19"/>
  <c r="X72" i="19" a="1"/>
  <c r="X72" i="19"/>
  <c r="N73" i="19"/>
  <c r="U73" i="19"/>
  <c r="V73" i="19" s="1"/>
  <c r="W73" i="19"/>
  <c r="N74" i="19"/>
  <c r="U74" i="19"/>
  <c r="V74" i="19" s="1"/>
  <c r="W74" i="19"/>
  <c r="X74" i="19" a="1"/>
  <c r="X74" i="19" s="1"/>
  <c r="N75" i="19"/>
  <c r="U75" i="19"/>
  <c r="V75" i="19" s="1"/>
  <c r="W75" i="19"/>
  <c r="N76" i="19"/>
  <c r="U76" i="19"/>
  <c r="W76" i="19" s="1"/>
  <c r="V76" i="19"/>
  <c r="N77" i="19"/>
  <c r="U77" i="19"/>
  <c r="V77" i="19" s="1"/>
  <c r="W77" i="19"/>
  <c r="X77" i="19" a="1"/>
  <c r="X77" i="19" s="1"/>
  <c r="N78" i="19"/>
  <c r="U78" i="19"/>
  <c r="V78" i="19" s="1"/>
  <c r="X78" i="19" a="1"/>
  <c r="X78" i="19" s="1"/>
  <c r="N79" i="19"/>
  <c r="U79" i="19"/>
  <c r="V79" i="19" s="1"/>
  <c r="X79" i="19" a="1"/>
  <c r="X79" i="19"/>
  <c r="N80" i="19"/>
  <c r="U80" i="19"/>
  <c r="W80" i="19" s="1"/>
  <c r="V80" i="19"/>
  <c r="X80" i="19" a="1"/>
  <c r="X80" i="19" s="1"/>
  <c r="N81" i="19"/>
  <c r="U81" i="19"/>
  <c r="X81" i="19" s="1" a="1"/>
  <c r="X81" i="19" s="1"/>
  <c r="V81" i="19"/>
  <c r="W81" i="19"/>
  <c r="N82" i="19"/>
  <c r="U82" i="19"/>
  <c r="W82" i="19" s="1"/>
  <c r="V82" i="19"/>
  <c r="X82" i="19" a="1"/>
  <c r="X82" i="19" s="1"/>
  <c r="N83" i="19"/>
  <c r="U83" i="19"/>
  <c r="V83" i="19" s="1"/>
  <c r="N84" i="19"/>
  <c r="U84" i="19"/>
  <c r="V84" i="19"/>
  <c r="W84" i="19"/>
  <c r="X84" i="19" a="1"/>
  <c r="X84" i="19"/>
  <c r="N85" i="19"/>
  <c r="U85" i="19"/>
  <c r="V85" i="19" s="1"/>
  <c r="N86" i="19"/>
  <c r="U86" i="19"/>
  <c r="V86" i="19" s="1"/>
  <c r="W86" i="19"/>
  <c r="X86" i="19" a="1"/>
  <c r="X86" i="19" s="1"/>
  <c r="N87" i="19"/>
  <c r="U87" i="19"/>
  <c r="V87" i="19" s="1"/>
  <c r="W87" i="19"/>
  <c r="N88" i="19"/>
  <c r="U88" i="19"/>
  <c r="W88" i="19" s="1"/>
  <c r="V88" i="19"/>
  <c r="N89" i="19"/>
  <c r="U89" i="19"/>
  <c r="V89" i="19" s="1"/>
  <c r="W89" i="19"/>
  <c r="X89" i="19" a="1"/>
  <c r="X89" i="19" s="1"/>
  <c r="N90" i="19"/>
  <c r="U90" i="19"/>
  <c r="V90" i="19" s="1"/>
  <c r="X90" i="19" a="1"/>
  <c r="X90" i="19" s="1"/>
  <c r="N91" i="19"/>
  <c r="U91" i="19"/>
  <c r="V91" i="19" s="1"/>
  <c r="X91" i="19" a="1"/>
  <c r="X91" i="19"/>
  <c r="N92" i="19"/>
  <c r="U92" i="19"/>
  <c r="W92" i="19" s="1"/>
  <c r="V92" i="19"/>
  <c r="X92" i="19" a="1"/>
  <c r="X92" i="19" s="1"/>
  <c r="N93" i="19"/>
  <c r="U93" i="19"/>
  <c r="X93" i="19" s="1" a="1"/>
  <c r="X93" i="19" s="1"/>
  <c r="V93" i="19"/>
  <c r="W93" i="19"/>
  <c r="N94" i="19"/>
  <c r="U94" i="19"/>
  <c r="W94" i="19" s="1"/>
  <c r="V94" i="19"/>
  <c r="X94" i="19" a="1"/>
  <c r="X94" i="19" s="1"/>
  <c r="N95" i="19"/>
  <c r="U95" i="19"/>
  <c r="V95" i="19" s="1"/>
  <c r="N96" i="19"/>
  <c r="U96" i="19"/>
  <c r="V96" i="19"/>
  <c r="W96" i="19"/>
  <c r="X96" i="19" a="1"/>
  <c r="X96" i="19"/>
  <c r="N97" i="19"/>
  <c r="U97" i="19"/>
  <c r="V97" i="19" s="1"/>
  <c r="N98" i="19"/>
  <c r="U98" i="19"/>
  <c r="V98" i="19" s="1"/>
  <c r="W98" i="19"/>
  <c r="X98" i="19" a="1"/>
  <c r="X98" i="19" s="1"/>
  <c r="N99" i="19"/>
  <c r="U99" i="19"/>
  <c r="V99" i="19" s="1"/>
  <c r="W99" i="19"/>
  <c r="N100" i="19"/>
  <c r="U100" i="19"/>
  <c r="W100" i="19" s="1"/>
  <c r="V100" i="19"/>
  <c r="N101" i="19"/>
  <c r="U101" i="19"/>
  <c r="V101" i="19" s="1"/>
  <c r="W101" i="19"/>
  <c r="X101" i="19" a="1"/>
  <c r="X101" i="19" s="1"/>
  <c r="N102" i="19"/>
  <c r="U102" i="19"/>
  <c r="V102" i="19" s="1"/>
  <c r="X102" i="19" a="1"/>
  <c r="X102" i="19" s="1"/>
  <c r="N103" i="19"/>
  <c r="U103" i="19"/>
  <c r="V103" i="19" s="1"/>
  <c r="X103" i="19" a="1"/>
  <c r="X103" i="19"/>
  <c r="N104" i="19"/>
  <c r="U104" i="19"/>
  <c r="W104" i="19" s="1"/>
  <c r="V104" i="19"/>
  <c r="X104" i="19" a="1"/>
  <c r="X104" i="19" s="1"/>
  <c r="N105" i="19"/>
  <c r="U105" i="19"/>
  <c r="X105" i="19" s="1" a="1"/>
  <c r="X105" i="19" s="1"/>
  <c r="V105" i="19"/>
  <c r="W105" i="19"/>
  <c r="N106" i="19"/>
  <c r="U106" i="19"/>
  <c r="W106" i="19" s="1"/>
  <c r="V106" i="19"/>
  <c r="X106" i="19" a="1"/>
  <c r="X106" i="19" s="1"/>
  <c r="N107" i="19"/>
  <c r="U107" i="19"/>
  <c r="V107" i="19" s="1"/>
  <c r="N108" i="19"/>
  <c r="U108" i="19"/>
  <c r="V108" i="19"/>
  <c r="W108" i="19"/>
  <c r="X108" i="19" a="1"/>
  <c r="X108" i="19"/>
  <c r="N109" i="19"/>
  <c r="U109" i="19"/>
  <c r="V109" i="19" s="1"/>
  <c r="N110" i="19"/>
  <c r="U110" i="19"/>
  <c r="V110" i="19" s="1"/>
  <c r="W110" i="19"/>
  <c r="X110" i="19" a="1"/>
  <c r="X110" i="19" s="1"/>
  <c r="N111" i="19"/>
  <c r="U111" i="19"/>
  <c r="V111" i="19" s="1"/>
  <c r="N112" i="19"/>
  <c r="U112" i="19"/>
  <c r="W112" i="19" s="1"/>
  <c r="V112" i="19"/>
  <c r="N113" i="19"/>
  <c r="U113" i="19"/>
  <c r="V113" i="19" s="1"/>
  <c r="W113" i="19"/>
  <c r="X113" i="19" a="1"/>
  <c r="X113" i="19" s="1"/>
  <c r="N114" i="19"/>
  <c r="U114" i="19"/>
  <c r="V114" i="19" s="1"/>
  <c r="X114" i="19" a="1"/>
  <c r="X114" i="19" s="1"/>
  <c r="N115" i="19"/>
  <c r="U115" i="19"/>
  <c r="V115" i="19" s="1"/>
  <c r="X115" i="19" a="1"/>
  <c r="X115" i="19"/>
  <c r="AS115" i="19"/>
  <c r="AV115" i="19" s="1" a="1"/>
  <c r="AV115" i="19" s="1"/>
  <c r="AL115" i="19"/>
  <c r="AJ115" i="19" a="1"/>
  <c r="AJ115" i="19" s="1"/>
  <c r="AG115" i="19"/>
  <c r="AI115" i="19" s="1"/>
  <c r="Z115" i="19"/>
  <c r="AS114" i="19"/>
  <c r="AV114" i="19" s="1" a="1"/>
  <c r="AV114" i="19" s="1"/>
  <c r="AL114" i="19"/>
  <c r="AJ114" i="19"/>
  <c r="AJ114" i="19" a="1"/>
  <c r="AI114" i="19"/>
  <c r="AG114" i="19"/>
  <c r="AH114" i="19" s="1"/>
  <c r="Z114" i="19"/>
  <c r="AS113" i="19"/>
  <c r="AL113" i="19"/>
  <c r="AG113" i="19"/>
  <c r="AJ113" i="19" s="1" a="1"/>
  <c r="AJ113" i="19" s="1"/>
  <c r="Z113" i="19"/>
  <c r="AV112" i="19" a="1"/>
  <c r="AV112" i="19" s="1"/>
  <c r="AU112" i="19"/>
  <c r="AT112" i="19"/>
  <c r="AS112" i="19"/>
  <c r="AL112" i="19"/>
  <c r="AG112" i="19"/>
  <c r="AJ112" i="19" s="1" a="1"/>
  <c r="AJ112" i="19" s="1"/>
  <c r="Z112" i="19"/>
  <c r="AV111" i="19"/>
  <c r="AV111" i="19" a="1"/>
  <c r="AU111" i="19"/>
  <c r="AT111" i="19"/>
  <c r="AS111" i="19"/>
  <c r="AL111" i="19"/>
  <c r="AG111" i="19"/>
  <c r="Z111" i="19"/>
  <c r="AV110" i="19" a="1"/>
  <c r="AV110" i="19" s="1"/>
  <c r="AT110" i="19"/>
  <c r="AS110" i="19"/>
  <c r="AU110" i="19" s="1"/>
  <c r="AL110" i="19"/>
  <c r="AI110" i="19"/>
  <c r="AH110" i="19"/>
  <c r="AG110" i="19"/>
  <c r="AJ110" i="19" s="1" a="1"/>
  <c r="AJ110" i="19" s="1"/>
  <c r="Z110" i="19"/>
  <c r="AS109" i="19"/>
  <c r="AV109" i="19" s="1" a="1"/>
  <c r="AV109" i="19" s="1"/>
  <c r="AL109" i="19"/>
  <c r="AJ109" i="19" a="1"/>
  <c r="AJ109" i="19" s="1"/>
  <c r="AG109" i="19"/>
  <c r="AI109" i="19" s="1"/>
  <c r="Z109" i="19"/>
  <c r="AU108" i="19"/>
  <c r="AT108" i="19"/>
  <c r="AS108" i="19"/>
  <c r="AV108" i="19" s="1" a="1"/>
  <c r="AV108" i="19" s="1"/>
  <c r="AL108" i="19"/>
  <c r="AJ108" i="19"/>
  <c r="AJ108" i="19" a="1"/>
  <c r="AI108" i="19"/>
  <c r="AG108" i="19"/>
  <c r="AH108" i="19" s="1"/>
  <c r="Z108" i="19"/>
  <c r="AT107" i="19"/>
  <c r="AS107" i="19"/>
  <c r="AL107" i="19"/>
  <c r="AI107" i="19"/>
  <c r="AG107" i="19"/>
  <c r="AJ107" i="19" s="1" a="1"/>
  <c r="AJ107" i="19" s="1"/>
  <c r="Z107" i="19"/>
  <c r="AV106" i="19" a="1"/>
  <c r="AV106" i="19" s="1"/>
  <c r="AU106" i="19"/>
  <c r="AT106" i="19"/>
  <c r="AS106" i="19"/>
  <c r="AL106" i="19"/>
  <c r="AH106" i="19"/>
  <c r="AG106" i="19"/>
  <c r="AJ106" i="19" s="1" a="1"/>
  <c r="AJ106" i="19" s="1"/>
  <c r="Z106" i="19"/>
  <c r="AV105" i="19"/>
  <c r="AV105" i="19" a="1"/>
  <c r="AU105" i="19"/>
  <c r="AT105" i="19"/>
  <c r="AS105" i="19"/>
  <c r="AL105" i="19"/>
  <c r="AG105" i="19"/>
  <c r="Z105" i="19"/>
  <c r="AV104" i="19" a="1"/>
  <c r="AV104" i="19" s="1"/>
  <c r="AU104" i="19"/>
  <c r="AT104" i="19"/>
  <c r="AS104" i="19"/>
  <c r="AL104" i="19"/>
  <c r="AI104" i="19"/>
  <c r="AH104" i="19"/>
  <c r="AG104" i="19"/>
  <c r="AJ104" i="19" s="1" a="1"/>
  <c r="AJ104" i="19" s="1"/>
  <c r="Z104" i="19"/>
  <c r="AS103" i="19"/>
  <c r="AV103" i="19" s="1" a="1"/>
  <c r="AV103" i="19" s="1"/>
  <c r="AL103" i="19"/>
  <c r="AJ103" i="19" a="1"/>
  <c r="AJ103" i="19" s="1"/>
  <c r="AG103" i="19"/>
  <c r="AI103" i="19" s="1"/>
  <c r="Z103" i="19"/>
  <c r="AU102" i="19"/>
  <c r="AT102" i="19"/>
  <c r="AS102" i="19"/>
  <c r="AV102" i="19" s="1" a="1"/>
  <c r="AV102" i="19" s="1"/>
  <c r="AL102" i="19"/>
  <c r="AJ102" i="19"/>
  <c r="AJ102" i="19" a="1"/>
  <c r="AI102" i="19"/>
  <c r="AG102" i="19"/>
  <c r="AH102" i="19" s="1"/>
  <c r="Z102" i="19"/>
  <c r="AT101" i="19"/>
  <c r="AS101" i="19"/>
  <c r="AL101" i="19"/>
  <c r="AJ101" i="19"/>
  <c r="AJ101" i="19" a="1"/>
  <c r="AI101" i="19"/>
  <c r="AG101" i="19"/>
  <c r="AH101" i="19" s="1"/>
  <c r="Z101" i="19"/>
  <c r="AV100" i="19" a="1"/>
  <c r="AV100" i="19" s="1"/>
  <c r="AU100" i="19"/>
  <c r="AT100" i="19"/>
  <c r="AS100" i="19"/>
  <c r="AL100" i="19"/>
  <c r="AH100" i="19"/>
  <c r="AG100" i="19"/>
  <c r="AJ100" i="19" s="1" a="1"/>
  <c r="AJ100" i="19" s="1"/>
  <c r="Z100" i="19"/>
  <c r="AV99" i="19"/>
  <c r="AV99" i="19" a="1"/>
  <c r="AU99" i="19"/>
  <c r="AT99" i="19"/>
  <c r="AS99" i="19"/>
  <c r="AL99" i="19"/>
  <c r="AG99" i="19"/>
  <c r="Z99" i="19"/>
  <c r="AV98" i="19" a="1"/>
  <c r="AV98" i="19" s="1"/>
  <c r="AU98" i="19"/>
  <c r="AT98" i="19"/>
  <c r="AS98" i="19"/>
  <c r="AL98" i="19"/>
  <c r="AI98" i="19"/>
  <c r="AH98" i="19"/>
  <c r="AG98" i="19"/>
  <c r="AJ98" i="19" s="1" a="1"/>
  <c r="AJ98" i="19" s="1"/>
  <c r="Z98" i="19"/>
  <c r="AS97" i="19"/>
  <c r="AV97" i="19" s="1" a="1"/>
  <c r="AV97" i="19" s="1"/>
  <c r="AL97" i="19"/>
  <c r="AJ97" i="19"/>
  <c r="AJ97" i="19" a="1"/>
  <c r="AG97" i="19"/>
  <c r="AI97" i="19" s="1"/>
  <c r="Z97" i="19"/>
  <c r="AU96" i="19"/>
  <c r="AT96" i="19"/>
  <c r="AS96" i="19"/>
  <c r="AV96" i="19" s="1" a="1"/>
  <c r="AV96" i="19" s="1"/>
  <c r="AL96" i="19"/>
  <c r="AJ96" i="19"/>
  <c r="AJ96" i="19" a="1"/>
  <c r="AI96" i="19"/>
  <c r="AH96" i="19"/>
  <c r="AG96" i="19"/>
  <c r="Z96" i="19"/>
  <c r="AS95" i="19"/>
  <c r="AL95" i="19"/>
  <c r="AJ95" i="19"/>
  <c r="AJ95" i="19" a="1"/>
  <c r="AI95" i="19"/>
  <c r="AG95" i="19"/>
  <c r="AH95" i="19" s="1"/>
  <c r="Z95" i="19"/>
  <c r="AV94" i="19" a="1"/>
  <c r="AV94" i="19" s="1"/>
  <c r="AU94" i="19"/>
  <c r="AT94" i="19"/>
  <c r="AS94" i="19"/>
  <c r="AL94" i="19"/>
  <c r="AH94" i="19"/>
  <c r="AG94" i="19"/>
  <c r="AJ94" i="19" s="1" a="1"/>
  <c r="AJ94" i="19" s="1"/>
  <c r="Z94" i="19"/>
  <c r="AV93" i="19"/>
  <c r="AV93" i="19" a="1"/>
  <c r="AU93" i="19"/>
  <c r="AT93" i="19"/>
  <c r="AS93" i="19"/>
  <c r="AL93" i="19"/>
  <c r="AG93" i="19"/>
  <c r="Z93" i="19"/>
  <c r="AV92" i="19" a="1"/>
  <c r="AV92" i="19" s="1"/>
  <c r="AU92" i="19"/>
  <c r="AT92" i="19"/>
  <c r="AS92" i="19"/>
  <c r="AL92" i="19"/>
  <c r="AI92" i="19"/>
  <c r="AH92" i="19"/>
  <c r="AG92" i="19"/>
  <c r="AJ92" i="19" s="1" a="1"/>
  <c r="AJ92" i="19" s="1"/>
  <c r="Z92" i="19"/>
  <c r="AS91" i="19"/>
  <c r="AV91" i="19" s="1" a="1"/>
  <c r="AV91" i="19" s="1"/>
  <c r="AL91" i="19"/>
  <c r="AJ91" i="19" a="1"/>
  <c r="AJ91" i="19" s="1"/>
  <c r="AG91" i="19"/>
  <c r="AI91" i="19" s="1"/>
  <c r="Z91" i="19"/>
  <c r="AU90" i="19"/>
  <c r="AT90" i="19"/>
  <c r="AS90" i="19"/>
  <c r="AV90" i="19" s="1" a="1"/>
  <c r="AV90" i="19" s="1"/>
  <c r="AL90" i="19"/>
  <c r="AJ90" i="19"/>
  <c r="AJ90" i="19" a="1"/>
  <c r="AI90" i="19"/>
  <c r="AH90" i="19"/>
  <c r="AG90" i="19"/>
  <c r="Z90" i="19"/>
  <c r="AS89" i="19"/>
  <c r="AL89" i="19"/>
  <c r="AJ89" i="19"/>
  <c r="AJ89" i="19" a="1"/>
  <c r="AI89" i="19"/>
  <c r="AG89" i="19"/>
  <c r="AH89" i="19" s="1"/>
  <c r="Z89" i="19"/>
  <c r="AV88" i="19" a="1"/>
  <c r="AV88" i="19" s="1"/>
  <c r="AU88" i="19"/>
  <c r="AT88" i="19"/>
  <c r="AS88" i="19"/>
  <c r="AL88" i="19"/>
  <c r="AH88" i="19"/>
  <c r="AG88" i="19"/>
  <c r="AJ88" i="19" s="1" a="1"/>
  <c r="AJ88" i="19" s="1"/>
  <c r="Z88" i="19"/>
  <c r="AV87" i="19"/>
  <c r="AV87" i="19" a="1"/>
  <c r="AU87" i="19"/>
  <c r="AT87" i="19"/>
  <c r="AS87" i="19"/>
  <c r="AL87" i="19"/>
  <c r="AG87" i="19"/>
  <c r="Z87" i="19"/>
  <c r="AV86" i="19" a="1"/>
  <c r="AV86" i="19" s="1"/>
  <c r="AU86" i="19"/>
  <c r="AT86" i="19"/>
  <c r="AS86" i="19"/>
  <c r="AL86" i="19"/>
  <c r="AI86" i="19"/>
  <c r="AH86" i="19"/>
  <c r="AG86" i="19"/>
  <c r="AJ86" i="19" s="1" a="1"/>
  <c r="AJ86" i="19" s="1"/>
  <c r="Z86" i="19"/>
  <c r="AS85" i="19"/>
  <c r="AV85" i="19" s="1" a="1"/>
  <c r="AV85" i="19" s="1"/>
  <c r="AL85" i="19"/>
  <c r="AG85" i="19"/>
  <c r="Z85" i="19"/>
  <c r="AU84" i="19"/>
  <c r="AS84" i="19"/>
  <c r="AV84" i="19" s="1" a="1"/>
  <c r="AV84" i="19" s="1"/>
  <c r="AL84" i="19"/>
  <c r="AJ84" i="19"/>
  <c r="AJ84" i="19" a="1"/>
  <c r="AI84" i="19"/>
  <c r="AH84" i="19"/>
  <c r="AG84" i="19"/>
  <c r="Z84" i="19"/>
  <c r="AS83" i="19"/>
  <c r="AT83" i="19" s="1"/>
  <c r="AL83" i="19"/>
  <c r="AJ83" i="19"/>
  <c r="AJ83" i="19" a="1"/>
  <c r="AI83" i="19"/>
  <c r="AG83" i="19"/>
  <c r="AH83" i="19" s="1"/>
  <c r="Z83" i="19"/>
  <c r="AV82" i="19" a="1"/>
  <c r="AV82" i="19" s="1"/>
  <c r="AU82" i="19"/>
  <c r="AT82" i="19"/>
  <c r="AS82" i="19"/>
  <c r="AL82" i="19"/>
  <c r="AH82" i="19"/>
  <c r="AG82" i="19"/>
  <c r="AJ82" i="19" s="1" a="1"/>
  <c r="AJ82" i="19" s="1"/>
  <c r="Z82" i="19"/>
  <c r="AV81" i="19"/>
  <c r="AV81" i="19" a="1"/>
  <c r="AU81" i="19"/>
  <c r="AT81" i="19"/>
  <c r="AS81" i="19"/>
  <c r="AL81" i="19"/>
  <c r="AG81" i="19"/>
  <c r="Z81" i="19"/>
  <c r="AV80" i="19" a="1"/>
  <c r="AV80" i="19" s="1"/>
  <c r="AU80" i="19"/>
  <c r="AT80" i="19"/>
  <c r="AS80" i="19"/>
  <c r="AL80" i="19"/>
  <c r="AI80" i="19"/>
  <c r="AH80" i="19"/>
  <c r="AG80" i="19"/>
  <c r="AJ80" i="19" s="1" a="1"/>
  <c r="AJ80" i="19" s="1"/>
  <c r="Z80" i="19"/>
  <c r="AS79" i="19"/>
  <c r="AV79" i="19" s="1" a="1"/>
  <c r="AV79" i="19" s="1"/>
  <c r="AL79" i="19"/>
  <c r="AG79" i="19"/>
  <c r="Z79" i="19"/>
  <c r="AU78" i="19"/>
  <c r="AS78" i="19"/>
  <c r="AV78" i="19" s="1" a="1"/>
  <c r="AV78" i="19" s="1"/>
  <c r="AL78" i="19"/>
  <c r="AJ78" i="19"/>
  <c r="AJ78" i="19" a="1"/>
  <c r="AI78" i="19"/>
  <c r="AH78" i="19"/>
  <c r="AG78" i="19"/>
  <c r="Z78" i="19"/>
  <c r="AS77" i="19"/>
  <c r="AL77" i="19"/>
  <c r="AJ77" i="19"/>
  <c r="AJ77" i="19" a="1"/>
  <c r="AI77" i="19"/>
  <c r="AG77" i="19"/>
  <c r="AH77" i="19" s="1"/>
  <c r="Z77" i="19"/>
  <c r="AV76" i="19" a="1"/>
  <c r="AV76" i="19" s="1"/>
  <c r="AU76" i="19"/>
  <c r="AT76" i="19"/>
  <c r="AS76" i="19"/>
  <c r="AL76" i="19"/>
  <c r="AH76" i="19"/>
  <c r="AG76" i="19"/>
  <c r="AJ76" i="19" s="1" a="1"/>
  <c r="AJ76" i="19" s="1"/>
  <c r="Z76" i="19"/>
  <c r="AV75" i="19"/>
  <c r="AV75" i="19" a="1"/>
  <c r="AU75" i="19"/>
  <c r="AT75" i="19"/>
  <c r="AS75" i="19"/>
  <c r="AL75" i="19"/>
  <c r="AG75" i="19"/>
  <c r="Z75" i="19"/>
  <c r="AV74" i="19" a="1"/>
  <c r="AV74" i="19" s="1"/>
  <c r="AU74" i="19"/>
  <c r="AT74" i="19"/>
  <c r="AS74" i="19"/>
  <c r="AL74" i="19"/>
  <c r="AI74" i="19"/>
  <c r="AH74" i="19"/>
  <c r="AG74" i="19"/>
  <c r="AJ74" i="19" s="1" a="1"/>
  <c r="AJ74" i="19" s="1"/>
  <c r="Z74" i="19"/>
  <c r="AS73" i="19"/>
  <c r="AV73" i="19" s="1" a="1"/>
  <c r="AV73" i="19" s="1"/>
  <c r="AL73" i="19"/>
  <c r="AG73" i="19"/>
  <c r="Z73" i="19"/>
  <c r="AU72" i="19"/>
  <c r="AS72" i="19"/>
  <c r="AV72" i="19" s="1" a="1"/>
  <c r="AV72" i="19" s="1"/>
  <c r="AL72" i="19"/>
  <c r="AJ72" i="19"/>
  <c r="AJ72" i="19" a="1"/>
  <c r="AI72" i="19"/>
  <c r="AH72" i="19"/>
  <c r="AG72" i="19"/>
  <c r="Z72" i="19"/>
  <c r="AT71" i="19"/>
  <c r="AS71" i="19"/>
  <c r="AL71" i="19"/>
  <c r="AJ71" i="19"/>
  <c r="AJ71" i="19" a="1"/>
  <c r="AI71" i="19"/>
  <c r="AG71" i="19"/>
  <c r="AH71" i="19" s="1"/>
  <c r="Z71" i="19"/>
  <c r="AV70" i="19" a="1"/>
  <c r="AV70" i="19" s="1"/>
  <c r="AU70" i="19"/>
  <c r="AT70" i="19"/>
  <c r="AS70" i="19"/>
  <c r="AL70" i="19"/>
  <c r="AH70" i="19"/>
  <c r="AG70" i="19"/>
  <c r="AJ70" i="19" s="1" a="1"/>
  <c r="AJ70" i="19" s="1"/>
  <c r="Z70" i="19"/>
  <c r="AV69" i="19"/>
  <c r="AV69" i="19" a="1"/>
  <c r="AU69" i="19"/>
  <c r="AT69" i="19"/>
  <c r="AS69" i="19"/>
  <c r="AL69" i="19"/>
  <c r="AG69" i="19"/>
  <c r="Z69" i="19"/>
  <c r="AV68" i="19" a="1"/>
  <c r="AV68" i="19" s="1"/>
  <c r="AU68" i="19"/>
  <c r="AT68" i="19"/>
  <c r="AS68" i="19"/>
  <c r="AL68" i="19"/>
  <c r="AI68" i="19"/>
  <c r="AH68" i="19"/>
  <c r="AG68" i="19"/>
  <c r="AJ68" i="19" s="1" a="1"/>
  <c r="AJ68" i="19" s="1"/>
  <c r="Z68" i="19"/>
  <c r="AS67" i="19"/>
  <c r="AV67" i="19" s="1" a="1"/>
  <c r="AV67" i="19" s="1"/>
  <c r="AL67" i="19"/>
  <c r="AG67" i="19"/>
  <c r="Z67" i="19"/>
  <c r="AU66" i="19"/>
  <c r="AS66" i="19"/>
  <c r="AV66" i="19" s="1" a="1"/>
  <c r="AV66" i="19" s="1"/>
  <c r="AL66" i="19"/>
  <c r="AJ66" i="19"/>
  <c r="AJ66" i="19" a="1"/>
  <c r="AI66" i="19"/>
  <c r="AH66" i="19"/>
  <c r="AG66" i="19"/>
  <c r="Z66" i="19"/>
  <c r="AS65" i="19"/>
  <c r="AL65" i="19"/>
  <c r="AJ65" i="19"/>
  <c r="AJ65" i="19" a="1"/>
  <c r="AI65" i="19"/>
  <c r="AG65" i="19"/>
  <c r="AH65" i="19" s="1"/>
  <c r="Z65" i="19"/>
  <c r="AV64" i="19" a="1"/>
  <c r="AV64" i="19" s="1"/>
  <c r="AU64" i="19"/>
  <c r="AT64" i="19"/>
  <c r="AS64" i="19"/>
  <c r="AL64" i="19"/>
  <c r="AH64" i="19"/>
  <c r="AG64" i="19"/>
  <c r="AJ64" i="19" s="1" a="1"/>
  <c r="AJ64" i="19" s="1"/>
  <c r="Z64" i="19"/>
  <c r="AV63" i="19"/>
  <c r="AV63" i="19" a="1"/>
  <c r="AU63" i="19"/>
  <c r="AT63" i="19"/>
  <c r="AS63" i="19"/>
  <c r="AL63" i="19"/>
  <c r="AG63" i="19"/>
  <c r="Z63" i="19"/>
  <c r="AV62" i="19" a="1"/>
  <c r="AV62" i="19" s="1"/>
  <c r="AU62" i="19"/>
  <c r="AT62" i="19"/>
  <c r="AS62" i="19"/>
  <c r="AL62" i="19"/>
  <c r="AI62" i="19"/>
  <c r="AH62" i="19"/>
  <c r="AG62" i="19"/>
  <c r="AJ62" i="19" s="1" a="1"/>
  <c r="AJ62" i="19" s="1"/>
  <c r="Z62" i="19"/>
  <c r="AS61" i="19"/>
  <c r="AV61" i="19" s="1" a="1"/>
  <c r="AV61" i="19" s="1"/>
  <c r="AL61" i="19"/>
  <c r="AG61" i="19"/>
  <c r="Z61" i="19"/>
  <c r="AU60" i="19"/>
  <c r="AS60" i="19"/>
  <c r="AV60" i="19" s="1" a="1"/>
  <c r="AV60" i="19" s="1"/>
  <c r="AL60" i="19"/>
  <c r="AJ60" i="19"/>
  <c r="AJ60" i="19" a="1"/>
  <c r="AI60" i="19"/>
  <c r="AG60" i="19"/>
  <c r="AH60" i="19" s="1"/>
  <c r="Z60" i="19"/>
  <c r="AS59" i="19"/>
  <c r="AL59" i="19"/>
  <c r="AJ59" i="19"/>
  <c r="AJ59" i="19" a="1"/>
  <c r="AI59" i="19"/>
  <c r="AG59" i="19"/>
  <c r="AH59" i="19" s="1"/>
  <c r="Z59" i="19"/>
  <c r="AV58" i="19" a="1"/>
  <c r="AV58" i="19" s="1"/>
  <c r="AU58" i="19"/>
  <c r="AT58" i="19"/>
  <c r="AS58" i="19"/>
  <c r="AL58" i="19"/>
  <c r="AH58" i="19"/>
  <c r="AG58" i="19"/>
  <c r="AJ58" i="19" s="1" a="1"/>
  <c r="AJ58" i="19" s="1"/>
  <c r="Z58" i="19"/>
  <c r="AV57" i="19"/>
  <c r="AV57" i="19" a="1"/>
  <c r="AU57" i="19"/>
  <c r="AT57" i="19"/>
  <c r="AS57" i="19"/>
  <c r="AL57" i="19"/>
  <c r="AG57" i="19"/>
  <c r="Z57" i="19"/>
  <c r="AV56" i="19" a="1"/>
  <c r="AV56" i="19" s="1"/>
  <c r="AU56" i="19"/>
  <c r="AT56" i="19"/>
  <c r="AS56" i="19"/>
  <c r="AL56" i="19"/>
  <c r="AI56" i="19"/>
  <c r="AH56" i="19"/>
  <c r="AG56" i="19"/>
  <c r="AJ56" i="19" s="1" a="1"/>
  <c r="AJ56" i="19" s="1"/>
  <c r="Z56" i="19"/>
  <c r="AS55" i="19"/>
  <c r="AV55" i="19" s="1" a="1"/>
  <c r="AV55" i="19" s="1"/>
  <c r="AL55" i="19"/>
  <c r="AJ55" i="19" a="1"/>
  <c r="AJ55" i="19" s="1"/>
  <c r="AG55" i="19"/>
  <c r="Z55" i="19"/>
  <c r="AU54" i="19"/>
  <c r="AS54" i="19"/>
  <c r="AV54" i="19" s="1" a="1"/>
  <c r="AV54" i="19" s="1"/>
  <c r="AL54" i="19"/>
  <c r="AI54" i="19"/>
  <c r="AG54" i="19"/>
  <c r="AH54" i="19" s="1"/>
  <c r="Z54" i="19"/>
  <c r="AS53" i="19"/>
  <c r="AL53" i="19"/>
  <c r="AJ53" i="19"/>
  <c r="AJ53" i="19" a="1"/>
  <c r="AI53" i="19"/>
  <c r="AG53" i="19"/>
  <c r="AH53" i="19" s="1"/>
  <c r="Z53" i="19"/>
  <c r="AV52" i="19" a="1"/>
  <c r="AV52" i="19" s="1"/>
  <c r="AU52" i="19"/>
  <c r="AT52" i="19"/>
  <c r="AS52" i="19"/>
  <c r="AL52" i="19"/>
  <c r="AH52" i="19"/>
  <c r="AG52" i="19"/>
  <c r="AJ52" i="19" s="1" a="1"/>
  <c r="AJ52" i="19" s="1"/>
  <c r="Z52" i="19"/>
  <c r="AV51" i="19"/>
  <c r="AV51" i="19" a="1"/>
  <c r="AT51" i="19"/>
  <c r="AS51" i="19"/>
  <c r="AU51" i="19" s="1"/>
  <c r="AL51" i="19"/>
  <c r="AG51" i="19"/>
  <c r="Z51" i="19"/>
  <c r="AV50" i="19" a="1"/>
  <c r="AV50" i="19" s="1"/>
  <c r="AU50" i="19"/>
  <c r="AT50" i="19"/>
  <c r="AS50" i="19"/>
  <c r="AL50" i="19"/>
  <c r="AI50" i="19"/>
  <c r="AH50" i="19"/>
  <c r="AG50" i="19"/>
  <c r="AJ50" i="19" s="1" a="1"/>
  <c r="AJ50" i="19" s="1"/>
  <c r="Z50" i="19"/>
  <c r="AS49" i="19"/>
  <c r="AV49" i="19" s="1" a="1"/>
  <c r="AV49" i="19" s="1"/>
  <c r="AL49" i="19"/>
  <c r="AG49" i="19"/>
  <c r="AJ49" i="19" s="1" a="1"/>
  <c r="AJ49" i="19" s="1"/>
  <c r="Z49" i="19"/>
  <c r="AU48" i="19"/>
  <c r="AS48" i="19"/>
  <c r="AV48" i="19" s="1" a="1"/>
  <c r="AV48" i="19" s="1"/>
  <c r="AL48" i="19"/>
  <c r="AI48" i="19"/>
  <c r="AG48" i="19"/>
  <c r="AH48" i="19" s="1"/>
  <c r="Z48" i="19"/>
  <c r="AS47" i="19"/>
  <c r="AL47" i="19"/>
  <c r="AJ47" i="19"/>
  <c r="AJ47" i="19" a="1"/>
  <c r="AI47" i="19"/>
  <c r="AG47" i="19"/>
  <c r="AH47" i="19" s="1"/>
  <c r="Z47" i="19"/>
  <c r="AV46" i="19" a="1"/>
  <c r="AV46" i="19" s="1"/>
  <c r="AU46" i="19"/>
  <c r="AT46" i="19"/>
  <c r="AS46" i="19"/>
  <c r="AL46" i="19"/>
  <c r="AH46" i="19"/>
  <c r="AG46" i="19"/>
  <c r="AJ46" i="19" s="1" a="1"/>
  <c r="AJ46" i="19" s="1"/>
  <c r="Z46" i="19"/>
  <c r="AV45" i="19"/>
  <c r="AV45" i="19" a="1"/>
  <c r="AT45" i="19"/>
  <c r="AS45" i="19"/>
  <c r="AU45" i="19" s="1"/>
  <c r="AL45" i="19"/>
  <c r="AG45" i="19"/>
  <c r="Z45" i="19"/>
  <c r="AV44" i="19" a="1"/>
  <c r="AV44" i="19" s="1"/>
  <c r="AU44" i="19"/>
  <c r="AT44" i="19"/>
  <c r="AS44" i="19"/>
  <c r="AL44" i="19"/>
  <c r="AI44" i="19"/>
  <c r="AH44" i="19"/>
  <c r="AG44" i="19"/>
  <c r="AJ44" i="19" s="1" a="1"/>
  <c r="AJ44" i="19" s="1"/>
  <c r="Z44" i="19"/>
  <c r="AS43" i="19"/>
  <c r="AV43" i="19" s="1" a="1"/>
  <c r="AV43" i="19" s="1"/>
  <c r="AL43" i="19"/>
  <c r="AG43" i="19"/>
  <c r="Z43" i="19"/>
  <c r="AU42" i="19"/>
  <c r="AS42" i="19"/>
  <c r="AV42" i="19" s="1" a="1"/>
  <c r="AV42" i="19" s="1"/>
  <c r="AL42" i="19"/>
  <c r="AI42" i="19"/>
  <c r="AG42" i="19"/>
  <c r="AH42" i="19" s="1"/>
  <c r="Z42" i="19"/>
  <c r="AS41" i="19"/>
  <c r="AL41" i="19"/>
  <c r="AJ41" i="19"/>
  <c r="AJ41" i="19" a="1"/>
  <c r="AI41" i="19"/>
  <c r="AG41" i="19"/>
  <c r="AH41" i="19" s="1"/>
  <c r="Z41" i="19"/>
  <c r="AV40" i="19" a="1"/>
  <c r="AV40" i="19" s="1"/>
  <c r="AU40" i="19"/>
  <c r="AT40" i="19"/>
  <c r="AS40" i="19"/>
  <c r="AL40" i="19"/>
  <c r="AH40" i="19"/>
  <c r="AG40" i="19"/>
  <c r="AJ40" i="19" s="1" a="1"/>
  <c r="AJ40" i="19" s="1"/>
  <c r="Z40" i="19"/>
  <c r="AV39" i="19"/>
  <c r="AV39" i="19" a="1"/>
  <c r="AT39" i="19"/>
  <c r="AS39" i="19"/>
  <c r="AU39" i="19" s="1"/>
  <c r="AL39" i="19"/>
  <c r="AG39" i="19"/>
  <c r="Z39" i="19"/>
  <c r="AV38" i="19" a="1"/>
  <c r="AV38" i="19" s="1"/>
  <c r="AU38" i="19"/>
  <c r="AT38" i="19"/>
  <c r="AS38" i="19"/>
  <c r="AL38" i="19"/>
  <c r="AG38" i="19"/>
  <c r="AJ38" i="19" s="1" a="1"/>
  <c r="AJ38" i="19" s="1"/>
  <c r="Z38" i="19"/>
  <c r="AS37" i="19"/>
  <c r="AV37" i="19" s="1" a="1"/>
  <c r="AV37" i="19" s="1"/>
  <c r="AL37" i="19"/>
  <c r="AG37" i="19"/>
  <c r="AH37" i="19" s="1"/>
  <c r="Z37" i="19"/>
  <c r="AU36" i="19"/>
  <c r="AS36" i="19"/>
  <c r="AV36" i="19" s="1" a="1"/>
  <c r="AV36" i="19" s="1"/>
  <c r="AL36" i="19"/>
  <c r="AI36" i="19"/>
  <c r="AG36" i="19"/>
  <c r="AH36" i="19" s="1"/>
  <c r="Z36" i="19"/>
  <c r="AS35" i="19"/>
  <c r="AL35" i="19"/>
  <c r="AJ35" i="19"/>
  <c r="AJ35" i="19" a="1"/>
  <c r="AI35" i="19"/>
  <c r="AG35" i="19"/>
  <c r="AH35" i="19" s="1"/>
  <c r="Z35" i="19"/>
  <c r="AV34" i="19" a="1"/>
  <c r="AV34" i="19" s="1"/>
  <c r="AU34" i="19"/>
  <c r="AT34" i="19"/>
  <c r="AS34" i="19"/>
  <c r="AL34" i="19"/>
  <c r="AH34" i="19"/>
  <c r="AG34" i="19"/>
  <c r="AJ34" i="19" s="1" a="1"/>
  <c r="AJ34" i="19" s="1"/>
  <c r="Z34" i="19"/>
  <c r="AV33" i="19" a="1"/>
  <c r="AV33" i="19" s="1"/>
  <c r="AT33" i="19"/>
  <c r="AS33" i="19"/>
  <c r="AU33" i="19" s="1"/>
  <c r="AL33" i="19"/>
  <c r="AG33" i="19"/>
  <c r="Z33" i="19"/>
  <c r="AV32" i="19" a="1"/>
  <c r="AV32" i="19" s="1"/>
  <c r="AU32" i="19"/>
  <c r="AT32" i="19"/>
  <c r="AS32" i="19"/>
  <c r="AL32" i="19"/>
  <c r="AI32" i="19"/>
  <c r="AG32" i="19"/>
  <c r="AJ32" i="19" s="1" a="1"/>
  <c r="AJ32" i="19" s="1"/>
  <c r="Z32" i="19"/>
  <c r="AS31" i="19"/>
  <c r="AV31" i="19" s="1" a="1"/>
  <c r="AV31" i="19" s="1"/>
  <c r="AL31" i="19"/>
  <c r="AJ31" i="19" a="1"/>
  <c r="AJ31" i="19" s="1"/>
  <c r="AI31" i="19"/>
  <c r="AG31" i="19"/>
  <c r="AH31" i="19" s="1"/>
  <c r="Z31" i="19"/>
  <c r="AU30" i="19"/>
  <c r="AS30" i="19"/>
  <c r="AV30" i="19" s="1" a="1"/>
  <c r="AV30" i="19" s="1"/>
  <c r="AL30" i="19"/>
  <c r="AI30" i="19"/>
  <c r="AG30" i="19"/>
  <c r="AH30" i="19" s="1"/>
  <c r="Z30" i="19"/>
  <c r="AS29" i="19"/>
  <c r="AT29" i="19" s="1"/>
  <c r="AL29" i="19"/>
  <c r="AJ29" i="19"/>
  <c r="AJ29" i="19" a="1"/>
  <c r="AI29" i="19"/>
  <c r="AG29" i="19"/>
  <c r="AH29" i="19" s="1"/>
  <c r="Z29" i="19"/>
  <c r="AV28" i="19" a="1"/>
  <c r="AV28" i="19" s="1"/>
  <c r="AU28" i="19"/>
  <c r="AT28" i="19"/>
  <c r="AS28" i="19"/>
  <c r="AL28" i="19"/>
  <c r="AH28" i="19"/>
  <c r="AG28" i="19"/>
  <c r="AJ28" i="19" s="1" a="1"/>
  <c r="AJ28" i="19" s="1"/>
  <c r="Z28" i="19"/>
  <c r="AV27" i="19" a="1"/>
  <c r="AV27" i="19" s="1"/>
  <c r="AT27" i="19"/>
  <c r="AS27" i="19"/>
  <c r="AU27" i="19" s="1"/>
  <c r="AL27" i="19"/>
  <c r="AG27" i="19"/>
  <c r="Z27" i="19"/>
  <c r="AV26" i="19" a="1"/>
  <c r="AV26" i="19" s="1"/>
  <c r="AU26" i="19"/>
  <c r="AT26" i="19"/>
  <c r="AS26" i="19"/>
  <c r="AL26" i="19"/>
  <c r="AG26" i="19"/>
  <c r="AJ26" i="19" s="1" a="1"/>
  <c r="AJ26" i="19" s="1"/>
  <c r="Z26" i="19"/>
  <c r="AS25" i="19"/>
  <c r="AV25" i="19" s="1" a="1"/>
  <c r="AV25" i="19" s="1"/>
  <c r="AL25" i="19"/>
  <c r="AG25" i="19"/>
  <c r="AH25" i="19" s="1"/>
  <c r="Z25" i="19"/>
  <c r="AU24" i="19"/>
  <c r="AS24" i="19"/>
  <c r="AV24" i="19" s="1" a="1"/>
  <c r="AV24" i="19" s="1"/>
  <c r="AL24" i="19"/>
  <c r="AI24" i="19"/>
  <c r="AG24" i="19"/>
  <c r="AH24" i="19" s="1"/>
  <c r="Z24" i="19"/>
  <c r="AS23" i="19"/>
  <c r="AL23" i="19"/>
  <c r="AJ23" i="19"/>
  <c r="AJ23" i="19" a="1"/>
  <c r="AI23" i="19"/>
  <c r="AG23" i="19"/>
  <c r="AH23" i="19" s="1"/>
  <c r="Z23" i="19"/>
  <c r="AV22" i="19" a="1"/>
  <c r="AV22" i="19" s="1"/>
  <c r="AU22" i="19"/>
  <c r="AT22" i="19"/>
  <c r="AS22" i="19"/>
  <c r="AL22" i="19"/>
  <c r="AH22" i="19"/>
  <c r="AG22" i="19"/>
  <c r="AJ22" i="19" s="1" a="1"/>
  <c r="AJ22" i="19" s="1"/>
  <c r="Z22" i="19"/>
  <c r="AV21" i="19" a="1"/>
  <c r="AV21" i="19" s="1"/>
  <c r="AT21" i="19"/>
  <c r="AS21" i="19"/>
  <c r="AU21" i="19" s="1"/>
  <c r="AL21" i="19"/>
  <c r="AG21" i="19"/>
  <c r="AJ21" i="19" s="1" a="1"/>
  <c r="AJ21" i="19" s="1"/>
  <c r="Z21" i="19"/>
  <c r="AV20" i="19" a="1"/>
  <c r="AV20" i="19" s="1"/>
  <c r="AU20" i="19"/>
  <c r="AT20" i="19"/>
  <c r="AS20" i="19"/>
  <c r="AL20" i="19"/>
  <c r="AG20" i="19"/>
  <c r="AJ20" i="19" s="1" a="1"/>
  <c r="AJ20" i="19" s="1"/>
  <c r="Z20" i="19"/>
  <c r="AS19" i="19"/>
  <c r="AL19" i="19"/>
  <c r="AG19" i="19"/>
  <c r="AH19" i="19" s="1"/>
  <c r="Z19" i="19"/>
  <c r="AU18" i="19"/>
  <c r="AS18" i="19"/>
  <c r="AV18" i="19" s="1" a="1"/>
  <c r="AV18" i="19" s="1"/>
  <c r="AL18" i="19"/>
  <c r="AG18" i="19"/>
  <c r="AI18" i="19" s="1"/>
  <c r="Z18" i="19"/>
  <c r="AS17" i="19"/>
  <c r="AL17" i="19"/>
  <c r="AJ17" i="19"/>
  <c r="AJ17" i="19" a="1"/>
  <c r="AI17" i="19"/>
  <c r="AG17" i="19"/>
  <c r="AH17" i="19" s="1"/>
  <c r="Z17" i="19"/>
  <c r="AV16" i="19" a="1"/>
  <c r="AV16" i="19" s="1"/>
  <c r="AU16" i="19"/>
  <c r="AT16" i="19"/>
  <c r="AS16" i="19"/>
  <c r="AL16" i="19"/>
  <c r="AH16" i="19"/>
  <c r="AG16" i="19"/>
  <c r="AJ16" i="19" s="1" a="1"/>
  <c r="AJ16" i="19" s="1"/>
  <c r="Z16" i="19"/>
  <c r="AV15" i="19"/>
  <c r="AV15" i="19" a="1"/>
  <c r="AT15" i="19"/>
  <c r="AS15" i="19"/>
  <c r="AU15" i="19" s="1"/>
  <c r="AL15" i="19"/>
  <c r="AJ15" i="19" a="1"/>
  <c r="AJ15" i="19" s="1"/>
  <c r="AG15" i="19"/>
  <c r="Z15" i="19"/>
  <c r="AS14" i="19"/>
  <c r="AV14" i="19" s="1" a="1"/>
  <c r="AV14" i="19" s="1"/>
  <c r="AL14" i="19"/>
  <c r="AI14" i="19"/>
  <c r="AG14" i="19"/>
  <c r="AJ14" i="19" s="1" a="1"/>
  <c r="AJ14" i="19" s="1"/>
  <c r="Z14" i="19"/>
  <c r="AS13" i="19"/>
  <c r="AV13" i="19" s="1" a="1"/>
  <c r="AV13" i="19" s="1"/>
  <c r="AL13" i="19"/>
  <c r="AG13" i="19"/>
  <c r="AJ13" i="19" s="1" a="1"/>
  <c r="AJ13" i="19" s="1"/>
  <c r="Z13" i="19"/>
  <c r="AV12" i="19" a="1"/>
  <c r="AV12" i="19" s="1"/>
  <c r="AU12" i="19"/>
  <c r="AS12" i="19"/>
  <c r="AT12" i="19" s="1"/>
  <c r="AL12" i="19"/>
  <c r="AG12" i="19"/>
  <c r="AJ12" i="19" s="1" a="1"/>
  <c r="AJ12" i="19" s="1"/>
  <c r="Z12" i="19"/>
  <c r="AV11" i="19"/>
  <c r="AV11" i="19" a="1"/>
  <c r="AU11" i="19"/>
  <c r="AT11" i="19"/>
  <c r="AS11" i="19"/>
  <c r="AL11" i="19"/>
  <c r="AG11" i="19"/>
  <c r="AJ11" i="19" s="1" a="1"/>
  <c r="AJ11" i="19" s="1"/>
  <c r="Z11" i="19"/>
  <c r="AV10" i="19" a="1"/>
  <c r="AV10" i="19" s="1"/>
  <c r="AU10" i="19"/>
  <c r="AT10" i="19"/>
  <c r="AS10" i="19"/>
  <c r="AL10" i="19"/>
  <c r="AJ10" i="19" a="1"/>
  <c r="AJ10" i="19" s="1"/>
  <c r="AI10" i="19"/>
  <c r="AH10" i="19"/>
  <c r="AG10" i="19"/>
  <c r="Z10" i="19"/>
  <c r="AT9" i="19"/>
  <c r="AS9" i="19"/>
  <c r="AV9" i="19" s="1" a="1"/>
  <c r="AV9" i="19" s="1"/>
  <c r="AL9" i="19"/>
  <c r="AG9" i="19"/>
  <c r="AJ9" i="19" s="1" a="1"/>
  <c r="AJ9" i="19" s="1"/>
  <c r="Z9" i="19"/>
  <c r="AS8" i="19"/>
  <c r="AV8" i="19" s="1" a="1"/>
  <c r="AV8" i="19" s="1"/>
  <c r="AL8" i="19"/>
  <c r="AK8" i="19"/>
  <c r="AK9" i="19" s="1"/>
  <c r="AK10" i="19" s="1"/>
  <c r="AK11" i="19" s="1"/>
  <c r="AK12" i="19" s="1"/>
  <c r="AK13" i="19" s="1"/>
  <c r="AK14" i="19" s="1"/>
  <c r="AK15" i="19" s="1"/>
  <c r="AK16" i="19" s="1"/>
  <c r="AK17" i="19" s="1"/>
  <c r="AK18" i="19" s="1"/>
  <c r="AK19" i="19" s="1"/>
  <c r="AK20" i="19" s="1"/>
  <c r="AK21" i="19" s="1"/>
  <c r="AK22" i="19" s="1"/>
  <c r="AK23" i="19" s="1"/>
  <c r="AK24" i="19" s="1"/>
  <c r="AK25" i="19" s="1"/>
  <c r="AK26" i="19" s="1"/>
  <c r="AK27" i="19" s="1"/>
  <c r="AK28" i="19" s="1"/>
  <c r="AK29" i="19" s="1"/>
  <c r="AK30" i="19" s="1"/>
  <c r="AK31" i="19" s="1"/>
  <c r="AK32" i="19" s="1"/>
  <c r="AK33" i="19" s="1"/>
  <c r="AK34" i="19" s="1"/>
  <c r="AK35" i="19" s="1"/>
  <c r="AK36" i="19" s="1"/>
  <c r="AK37" i="19" s="1"/>
  <c r="AK38" i="19" s="1"/>
  <c r="AK39" i="19" s="1"/>
  <c r="AK40" i="19" s="1"/>
  <c r="AK41" i="19" s="1"/>
  <c r="AK42" i="19" s="1"/>
  <c r="AK43" i="19" s="1"/>
  <c r="AK44" i="19" s="1"/>
  <c r="AK45" i="19" s="1"/>
  <c r="AK46" i="19" s="1"/>
  <c r="AK47" i="19" s="1"/>
  <c r="AK48" i="19" s="1"/>
  <c r="AK49" i="19" s="1"/>
  <c r="AK50" i="19" s="1"/>
  <c r="AK51" i="19" s="1"/>
  <c r="AK52" i="19" s="1"/>
  <c r="AK53" i="19" s="1"/>
  <c r="AK54" i="19" s="1"/>
  <c r="AK55" i="19" s="1"/>
  <c r="AK56" i="19" s="1"/>
  <c r="AK57" i="19" s="1"/>
  <c r="AK58" i="19" s="1"/>
  <c r="AK59" i="19" s="1"/>
  <c r="AK60" i="19" s="1"/>
  <c r="AK61" i="19" s="1"/>
  <c r="AK62" i="19" s="1"/>
  <c r="AK63" i="19" s="1"/>
  <c r="AK64" i="19" s="1"/>
  <c r="AK65" i="19" s="1"/>
  <c r="AK66" i="19" s="1"/>
  <c r="AK67" i="19" s="1"/>
  <c r="AK68" i="19" s="1"/>
  <c r="AK69" i="19" s="1"/>
  <c r="AK70" i="19" s="1"/>
  <c r="AK71" i="19" s="1"/>
  <c r="AK72" i="19" s="1"/>
  <c r="AK73" i="19" s="1"/>
  <c r="AK74" i="19" s="1"/>
  <c r="AK75" i="19" s="1"/>
  <c r="AK76" i="19" s="1"/>
  <c r="AK77" i="19" s="1"/>
  <c r="AK78" i="19" s="1"/>
  <c r="AK79" i="19" s="1"/>
  <c r="AK80" i="19" s="1"/>
  <c r="AK81" i="19" s="1"/>
  <c r="AK82" i="19" s="1"/>
  <c r="AK83" i="19" s="1"/>
  <c r="AK84" i="19" s="1"/>
  <c r="AK85" i="19" s="1"/>
  <c r="AK86" i="19" s="1"/>
  <c r="AK87" i="19" s="1"/>
  <c r="AK88" i="19" s="1"/>
  <c r="AK89" i="19" s="1"/>
  <c r="AK90" i="19" s="1"/>
  <c r="AK91" i="19" s="1"/>
  <c r="AK92" i="19" s="1"/>
  <c r="AK93" i="19" s="1"/>
  <c r="AK94" i="19" s="1"/>
  <c r="AK95" i="19" s="1"/>
  <c r="AK96" i="19" s="1"/>
  <c r="AK97" i="19" s="1"/>
  <c r="AK98" i="19" s="1"/>
  <c r="AK99" i="19" s="1"/>
  <c r="AK100" i="19" s="1"/>
  <c r="AK101" i="19" s="1"/>
  <c r="AK102" i="19" s="1"/>
  <c r="AK103" i="19" s="1"/>
  <c r="AK104" i="19" s="1"/>
  <c r="AK105" i="19" s="1"/>
  <c r="AK106" i="19" s="1"/>
  <c r="AK107" i="19" s="1"/>
  <c r="AK108" i="19" s="1"/>
  <c r="AK109" i="19" s="1"/>
  <c r="AK110" i="19" s="1"/>
  <c r="AK111" i="19" s="1"/>
  <c r="AK112" i="19" s="1"/>
  <c r="AK113" i="19" s="1"/>
  <c r="AK114" i="19" s="1"/>
  <c r="AK115" i="19" s="1"/>
  <c r="AJ8" i="19" a="1"/>
  <c r="AJ8" i="19" s="1"/>
  <c r="AI8" i="19"/>
  <c r="AG8" i="19"/>
  <c r="AH8" i="19" s="1"/>
  <c r="Z8" i="19"/>
  <c r="AS7" i="19"/>
  <c r="AV7" i="19" s="1" a="1"/>
  <c r="AV7" i="19" s="1"/>
  <c r="AL7" i="19"/>
  <c r="AK7" i="19"/>
  <c r="AG7" i="19"/>
  <c r="AJ7" i="19" s="1" a="1"/>
  <c r="AJ7" i="19" s="1"/>
  <c r="Z7" i="19"/>
  <c r="AV6" i="19" a="1"/>
  <c r="AV6" i="19" s="1"/>
  <c r="AU6" i="19"/>
  <c r="AS6" i="19"/>
  <c r="AT6" i="19" s="1"/>
  <c r="AL6" i="19"/>
  <c r="AK6" i="19"/>
  <c r="AG6" i="19"/>
  <c r="AJ6" i="19" s="1" a="1"/>
  <c r="AJ6" i="19" s="1"/>
  <c r="Z6" i="19"/>
  <c r="Y6" i="19"/>
  <c r="Y7" i="19" s="1"/>
  <c r="Y8" i="19" s="1"/>
  <c r="Y9" i="19" s="1"/>
  <c r="Y10" i="19" s="1"/>
  <c r="Y11" i="19" s="1"/>
  <c r="Y12" i="19" s="1"/>
  <c r="Y13" i="19" s="1"/>
  <c r="Y14" i="19" s="1"/>
  <c r="Y15" i="19" s="1"/>
  <c r="Y16" i="19" s="1"/>
  <c r="Y17" i="19" s="1"/>
  <c r="Y18" i="19" s="1"/>
  <c r="Y19" i="19" s="1"/>
  <c r="Y20" i="19" s="1"/>
  <c r="Y21" i="19" s="1"/>
  <c r="Y22" i="19" s="1"/>
  <c r="Y23" i="19" s="1"/>
  <c r="Y24" i="19" s="1"/>
  <c r="Y25" i="19" s="1"/>
  <c r="Y26" i="19" s="1"/>
  <c r="Y27" i="19" s="1"/>
  <c r="Y28" i="19" s="1"/>
  <c r="Y29" i="19" s="1"/>
  <c r="Y30" i="19" s="1"/>
  <c r="Y31" i="19" s="1"/>
  <c r="Y32" i="19" s="1"/>
  <c r="Y33" i="19" s="1"/>
  <c r="Y34" i="19" s="1"/>
  <c r="Y35" i="19" s="1"/>
  <c r="Y36" i="19" s="1"/>
  <c r="Y37" i="19" s="1"/>
  <c r="Y38" i="19" s="1"/>
  <c r="Y39" i="19" s="1"/>
  <c r="Y40" i="19" s="1"/>
  <c r="Y41" i="19" s="1"/>
  <c r="Y42" i="19" s="1"/>
  <c r="Y43" i="19" s="1"/>
  <c r="Y44" i="19" s="1"/>
  <c r="Y45" i="19" s="1"/>
  <c r="Y46" i="19" s="1"/>
  <c r="Y47" i="19" s="1"/>
  <c r="Y48" i="19" s="1"/>
  <c r="Y49" i="19" s="1"/>
  <c r="Y50" i="19" s="1"/>
  <c r="Y51" i="19" s="1"/>
  <c r="Y52" i="19" s="1"/>
  <c r="Y53" i="19" s="1"/>
  <c r="Y54" i="19" s="1"/>
  <c r="Y55" i="19" s="1"/>
  <c r="Y56" i="19" s="1"/>
  <c r="Y57" i="19" s="1"/>
  <c r="Y58" i="19" s="1"/>
  <c r="Y59" i="19" s="1"/>
  <c r="Y60" i="19" s="1"/>
  <c r="Y61" i="19" s="1"/>
  <c r="Y62" i="19" s="1"/>
  <c r="Y63" i="19" s="1"/>
  <c r="Y64" i="19" s="1"/>
  <c r="Y65" i="19" s="1"/>
  <c r="Y66" i="19" s="1"/>
  <c r="Y67" i="19" s="1"/>
  <c r="Y68" i="19" s="1"/>
  <c r="Y69" i="19" s="1"/>
  <c r="Y70" i="19" s="1"/>
  <c r="Y71" i="19" s="1"/>
  <c r="Y72" i="19" s="1"/>
  <c r="Y73" i="19" s="1"/>
  <c r="Y74" i="19" s="1"/>
  <c r="Y75" i="19" s="1"/>
  <c r="Y76" i="19" s="1"/>
  <c r="Y77" i="19" s="1"/>
  <c r="Y78" i="19" s="1"/>
  <c r="Y79" i="19" s="1"/>
  <c r="Y80" i="19" s="1"/>
  <c r="Y81" i="19" s="1"/>
  <c r="Y82" i="19" s="1"/>
  <c r="Y83" i="19" s="1"/>
  <c r="Y84" i="19" s="1"/>
  <c r="Y85" i="19" s="1"/>
  <c r="Y86" i="19" s="1"/>
  <c r="Y87" i="19" s="1"/>
  <c r="Y88" i="19" s="1"/>
  <c r="Y89" i="19" s="1"/>
  <c r="Y90" i="19" s="1"/>
  <c r="Y91" i="19" s="1"/>
  <c r="Y92" i="19" s="1"/>
  <c r="Y93" i="19" s="1"/>
  <c r="Y94" i="19" s="1"/>
  <c r="Y95" i="19" s="1"/>
  <c r="Y96" i="19" s="1"/>
  <c r="Y97" i="19" s="1"/>
  <c r="Y98" i="19" s="1"/>
  <c r="Y99" i="19" s="1"/>
  <c r="Y100" i="19" s="1"/>
  <c r="Y101" i="19" s="1"/>
  <c r="Y102" i="19" s="1"/>
  <c r="Y103" i="19" s="1"/>
  <c r="Y104" i="19" s="1"/>
  <c r="Y105" i="19" s="1"/>
  <c r="Y106" i="19" s="1"/>
  <c r="Y107" i="19" s="1"/>
  <c r="Y108" i="19" s="1"/>
  <c r="Y109" i="19" s="1"/>
  <c r="Y110" i="19" s="1"/>
  <c r="Y111" i="19" s="1"/>
  <c r="Y112" i="19" s="1"/>
  <c r="Y113" i="19" s="1"/>
  <c r="Y114" i="19" s="1"/>
  <c r="Y115" i="19" s="1"/>
  <c r="AV5" i="19"/>
  <c r="AS5" i="19"/>
  <c r="AT5" i="19" s="1"/>
  <c r="AJ5" i="19"/>
  <c r="AG5" i="19"/>
  <c r="AH5" i="19" s="1"/>
  <c r="AV3" i="19" a="1"/>
  <c r="AV3" i="19" s="1"/>
  <c r="AS3" i="19" a="1"/>
  <c r="AS3" i="19" s="1"/>
  <c r="AJ3" i="19" a="1"/>
  <c r="AJ3" i="19" s="1"/>
  <c r="AV2" i="19"/>
  <c r="AP2" i="19"/>
  <c r="AP2" i="19" a="1"/>
  <c r="AJ2" i="19"/>
  <c r="AD2" i="19" a="1"/>
  <c r="AD2" i="19" s="1"/>
  <c r="BT9" i="33" a="1"/>
  <c r="BT9" i="33" s="1"/>
  <c r="BT8" i="33" a="1"/>
  <c r="BT8" i="33" s="1"/>
  <c r="BT7" i="33" a="1"/>
  <c r="BT7" i="33" s="1"/>
  <c r="BT6" i="33" a="1"/>
  <c r="BT6" i="33" s="1"/>
  <c r="BT5" i="33"/>
  <c r="BH9" i="33" a="1"/>
  <c r="BH9" i="33" s="1"/>
  <c r="BH8" i="33" a="1"/>
  <c r="BH8" i="33" s="1"/>
  <c r="BH7" i="33" a="1"/>
  <c r="BH7" i="33" s="1"/>
  <c r="BH6" i="33" a="1"/>
  <c r="BH6" i="33" s="1"/>
  <c r="BH5" i="33"/>
  <c r="AV9" i="33" a="1"/>
  <c r="AV9" i="33" s="1"/>
  <c r="AV8" i="33" a="1"/>
  <c r="AV8" i="33" s="1"/>
  <c r="AV7" i="33" a="1"/>
  <c r="AV7" i="33" s="1"/>
  <c r="AV6" i="33" a="1"/>
  <c r="AV6" i="33" s="1"/>
  <c r="AV5" i="33"/>
  <c r="AJ9" i="33" a="1"/>
  <c r="AJ9" i="33" s="1"/>
  <c r="AJ8" i="33" a="1"/>
  <c r="AJ8" i="33" s="1"/>
  <c r="AJ7" i="33" a="1"/>
  <c r="AJ7" i="33" s="1"/>
  <c r="AJ6" i="33" a="1"/>
  <c r="AJ6" i="33" s="1"/>
  <c r="AJ5" i="33"/>
  <c r="X9" i="33" a="1"/>
  <c r="X9" i="33" s="1"/>
  <c r="X8" i="33" a="1"/>
  <c r="X8" i="33" s="1"/>
  <c r="X7" i="33" a="1"/>
  <c r="X7" i="33" s="1"/>
  <c r="X6" i="33" a="1"/>
  <c r="X6" i="33" s="1"/>
  <c r="X5" i="33"/>
  <c r="L9" i="33" a="1"/>
  <c r="L9" i="33" s="1"/>
  <c r="L8" i="33" a="1"/>
  <c r="L8" i="33" s="1"/>
  <c r="L7" i="33" a="1"/>
  <c r="L7" i="33" s="1"/>
  <c r="L6" i="33" a="1"/>
  <c r="L6" i="33" s="1"/>
  <c r="L5" i="33"/>
  <c r="L34" i="31" a="1"/>
  <c r="L34" i="31" s="1"/>
  <c r="L33" i="31"/>
  <c r="L33" i="31" a="1"/>
  <c r="L32" i="31" a="1"/>
  <c r="L32" i="31" s="1"/>
  <c r="L31" i="31" a="1"/>
  <c r="L31" i="31" s="1"/>
  <c r="L30" i="31" a="1"/>
  <c r="L30" i="31" s="1"/>
  <c r="L29" i="31"/>
  <c r="L29" i="31" a="1"/>
  <c r="L28" i="31" a="1"/>
  <c r="L28" i="31" s="1"/>
  <c r="L27" i="31" a="1"/>
  <c r="L27" i="31" s="1"/>
  <c r="L26" i="31" a="1"/>
  <c r="L26" i="31" s="1"/>
  <c r="L25" i="31" a="1"/>
  <c r="L25" i="31" s="1"/>
  <c r="L24" i="31" a="1"/>
  <c r="L24" i="31" s="1"/>
  <c r="L23" i="31"/>
  <c r="L23" i="31" a="1"/>
  <c r="L22" i="31" a="1"/>
  <c r="L22" i="31" s="1"/>
  <c r="L21" i="31" a="1"/>
  <c r="L21" i="31" s="1"/>
  <c r="L20" i="31" a="1"/>
  <c r="L20" i="31" s="1"/>
  <c r="L19" i="31" a="1"/>
  <c r="L19" i="31" s="1"/>
  <c r="L18" i="31" a="1"/>
  <c r="L18" i="31" s="1"/>
  <c r="L17" i="31"/>
  <c r="L17" i="31" a="1"/>
  <c r="L16" i="31" a="1"/>
  <c r="L16" i="31" s="1"/>
  <c r="L15" i="31" a="1"/>
  <c r="L15" i="31" s="1"/>
  <c r="L14" i="31" a="1"/>
  <c r="L14" i="31" s="1"/>
  <c r="L13" i="31" a="1"/>
  <c r="L13" i="31" s="1"/>
  <c r="L12" i="31" a="1"/>
  <c r="L12" i="31" s="1"/>
  <c r="L11" i="31"/>
  <c r="L11" i="31" a="1"/>
  <c r="L10" i="31" a="1"/>
  <c r="L10" i="31" s="1"/>
  <c r="L9" i="31" a="1"/>
  <c r="L9" i="31" s="1"/>
  <c r="L8" i="31" a="1"/>
  <c r="L8" i="31" s="1"/>
  <c r="L7" i="31" a="1"/>
  <c r="L7" i="31" s="1"/>
  <c r="L6" i="31" a="1"/>
  <c r="L6" i="31" s="1"/>
  <c r="L5" i="31"/>
  <c r="X34" i="31" a="1"/>
  <c r="X34" i="31" s="1"/>
  <c r="X33" i="31" a="1"/>
  <c r="X33" i="31" s="1"/>
  <c r="X32" i="31" a="1"/>
  <c r="X32" i="31" s="1"/>
  <c r="X31" i="31" a="1"/>
  <c r="X31" i="31" s="1"/>
  <c r="X30" i="31" a="1"/>
  <c r="X30" i="31" s="1"/>
  <c r="X29" i="31" a="1"/>
  <c r="X29" i="31" s="1"/>
  <c r="X28" i="31" a="1"/>
  <c r="X28" i="31" s="1"/>
  <c r="X27" i="31" a="1"/>
  <c r="X27" i="31" s="1"/>
  <c r="X26" i="31" a="1"/>
  <c r="X26" i="31" s="1"/>
  <c r="X25" i="31" a="1"/>
  <c r="X25" i="31" s="1"/>
  <c r="X24" i="31" a="1"/>
  <c r="X24" i="31" s="1"/>
  <c r="X23" i="31" a="1"/>
  <c r="X23" i="31" s="1"/>
  <c r="X22" i="31" a="1"/>
  <c r="X22" i="31" s="1"/>
  <c r="X21" i="31" a="1"/>
  <c r="X21" i="31" s="1"/>
  <c r="X20" i="31" a="1"/>
  <c r="X20" i="31" s="1"/>
  <c r="X19" i="31" a="1"/>
  <c r="X19" i="31" s="1"/>
  <c r="X18" i="31" a="1"/>
  <c r="X18" i="31" s="1"/>
  <c r="X17" i="31" a="1"/>
  <c r="X17" i="31" s="1"/>
  <c r="X16" i="31" a="1"/>
  <c r="X16" i="31" s="1"/>
  <c r="X15" i="31" a="1"/>
  <c r="X15" i="31" s="1"/>
  <c r="X14" i="31" a="1"/>
  <c r="X14" i="31" s="1"/>
  <c r="X13" i="31" a="1"/>
  <c r="X13" i="31" s="1"/>
  <c r="X12" i="31" a="1"/>
  <c r="X12" i="31" s="1"/>
  <c r="X11" i="31" a="1"/>
  <c r="X11" i="31" s="1"/>
  <c r="X10" i="31" a="1"/>
  <c r="X10" i="31" s="1"/>
  <c r="X9" i="31" a="1"/>
  <c r="X9" i="31" s="1"/>
  <c r="X8" i="31" a="1"/>
  <c r="X8" i="31" s="1"/>
  <c r="X7" i="31" a="1"/>
  <c r="X7" i="31" s="1"/>
  <c r="X6" i="31" a="1"/>
  <c r="X6" i="31" s="1"/>
  <c r="X5" i="31"/>
  <c r="X115" i="8" a="1"/>
  <c r="X115" i="8" s="1"/>
  <c r="X114" i="8" a="1"/>
  <c r="X114" i="8" s="1"/>
  <c r="X113" i="8" a="1"/>
  <c r="X113" i="8" s="1"/>
  <c r="X112" i="8" a="1"/>
  <c r="X112" i="8" s="1"/>
  <c r="X111" i="8" a="1"/>
  <c r="X111" i="8" s="1"/>
  <c r="X110" i="8"/>
  <c r="X110" i="8" a="1"/>
  <c r="X109" i="8" a="1"/>
  <c r="X109" i="8" s="1"/>
  <c r="X108" i="8" a="1"/>
  <c r="X108" i="8" s="1"/>
  <c r="X107" i="8" a="1"/>
  <c r="X107" i="8" s="1"/>
  <c r="X106" i="8" a="1"/>
  <c r="X106" i="8" s="1"/>
  <c r="X105" i="8" a="1"/>
  <c r="X105" i="8" s="1"/>
  <c r="X104" i="8"/>
  <c r="X104" i="8" a="1"/>
  <c r="X103" i="8" a="1"/>
  <c r="X103" i="8" s="1"/>
  <c r="X102" i="8" a="1"/>
  <c r="X102" i="8" s="1"/>
  <c r="X101" i="8" a="1"/>
  <c r="X101" i="8" s="1"/>
  <c r="X100" i="8" a="1"/>
  <c r="X100" i="8" s="1"/>
  <c r="X99" i="8" a="1"/>
  <c r="X99" i="8" s="1"/>
  <c r="X98" i="8"/>
  <c r="X98" i="8" a="1"/>
  <c r="X97" i="8" a="1"/>
  <c r="X97" i="8" s="1"/>
  <c r="X96" i="8" a="1"/>
  <c r="X96" i="8" s="1"/>
  <c r="X95" i="8" a="1"/>
  <c r="X95" i="8" s="1"/>
  <c r="X94" i="8" a="1"/>
  <c r="X94" i="8" s="1"/>
  <c r="X93" i="8" a="1"/>
  <c r="X93" i="8" s="1"/>
  <c r="X92" i="8"/>
  <c r="X92" i="8" a="1"/>
  <c r="X91" i="8" a="1"/>
  <c r="X91" i="8" s="1"/>
  <c r="X90" i="8" a="1"/>
  <c r="X90" i="8" s="1"/>
  <c r="X89" i="8" a="1"/>
  <c r="X89" i="8" s="1"/>
  <c r="X88" i="8" a="1"/>
  <c r="X88" i="8" s="1"/>
  <c r="X87" i="8" a="1"/>
  <c r="X87" i="8" s="1"/>
  <c r="X86" i="8"/>
  <c r="X86" i="8" a="1"/>
  <c r="X85" i="8" a="1"/>
  <c r="X85" i="8" s="1"/>
  <c r="X84" i="8" a="1"/>
  <c r="X84" i="8" s="1"/>
  <c r="X83" i="8" a="1"/>
  <c r="X83" i="8" s="1"/>
  <c r="X82" i="8" a="1"/>
  <c r="X82" i="8" s="1"/>
  <c r="X81" i="8" a="1"/>
  <c r="X81" i="8" s="1"/>
  <c r="X80" i="8"/>
  <c r="X80" i="8" a="1"/>
  <c r="X79" i="8" a="1"/>
  <c r="X79" i="8" s="1"/>
  <c r="X78" i="8" a="1"/>
  <c r="X78" i="8" s="1"/>
  <c r="X77" i="8" a="1"/>
  <c r="X77" i="8" s="1"/>
  <c r="X76" i="8" a="1"/>
  <c r="X76" i="8" s="1"/>
  <c r="X75" i="8" a="1"/>
  <c r="X75" i="8" s="1"/>
  <c r="X74" i="8"/>
  <c r="X74" i="8" a="1"/>
  <c r="X73" i="8" a="1"/>
  <c r="X73" i="8" s="1"/>
  <c r="X72" i="8" a="1"/>
  <c r="X72" i="8" s="1"/>
  <c r="X71" i="8" a="1"/>
  <c r="X71" i="8" s="1"/>
  <c r="X70" i="8" a="1"/>
  <c r="X70" i="8" s="1"/>
  <c r="X69" i="8" a="1"/>
  <c r="X69" i="8" s="1"/>
  <c r="X68" i="8"/>
  <c r="X68" i="8" a="1"/>
  <c r="X67" i="8" a="1"/>
  <c r="X67" i="8" s="1"/>
  <c r="X66" i="8" a="1"/>
  <c r="X66" i="8" s="1"/>
  <c r="X65" i="8" a="1"/>
  <c r="X65" i="8" s="1"/>
  <c r="X64" i="8" a="1"/>
  <c r="X64" i="8" s="1"/>
  <c r="X63" i="8" a="1"/>
  <c r="X63" i="8" s="1"/>
  <c r="X62" i="8"/>
  <c r="X62" i="8" a="1"/>
  <c r="X61" i="8" a="1"/>
  <c r="X61" i="8" s="1"/>
  <c r="X60" i="8" a="1"/>
  <c r="X60" i="8" s="1"/>
  <c r="X59" i="8" a="1"/>
  <c r="X59" i="8" s="1"/>
  <c r="X58" i="8" a="1"/>
  <c r="X58" i="8" s="1"/>
  <c r="X57" i="8" a="1"/>
  <c r="X57" i="8" s="1"/>
  <c r="X56" i="8"/>
  <c r="X56" i="8" a="1"/>
  <c r="X55" i="8" a="1"/>
  <c r="X55" i="8" s="1"/>
  <c r="X54" i="8" a="1"/>
  <c r="X54" i="8" s="1"/>
  <c r="X53" i="8" a="1"/>
  <c r="X53" i="8" s="1"/>
  <c r="X52" i="8" a="1"/>
  <c r="X52" i="8" s="1"/>
  <c r="X51" i="8" a="1"/>
  <c r="X51" i="8" s="1"/>
  <c r="X50" i="8"/>
  <c r="X50" i="8" a="1"/>
  <c r="X49" i="8" a="1"/>
  <c r="X49" i="8" s="1"/>
  <c r="X48" i="8" a="1"/>
  <c r="X48" i="8" s="1"/>
  <c r="X47" i="8" a="1"/>
  <c r="X47" i="8" s="1"/>
  <c r="X46" i="8" a="1"/>
  <c r="X46" i="8" s="1"/>
  <c r="X45" i="8" a="1"/>
  <c r="X45" i="8" s="1"/>
  <c r="X44" i="8"/>
  <c r="X44" i="8" a="1"/>
  <c r="X43" i="8" a="1"/>
  <c r="X43" i="8" s="1"/>
  <c r="X42" i="8" a="1"/>
  <c r="X42" i="8" s="1"/>
  <c r="X41" i="8" a="1"/>
  <c r="X41" i="8" s="1"/>
  <c r="X40" i="8" a="1"/>
  <c r="X40" i="8" s="1"/>
  <c r="X39" i="8" a="1"/>
  <c r="X39" i="8" s="1"/>
  <c r="X38" i="8"/>
  <c r="X38" i="8" a="1"/>
  <c r="X37" i="8" a="1"/>
  <c r="X37" i="8" s="1"/>
  <c r="X36" i="8" a="1"/>
  <c r="X36" i="8" s="1"/>
  <c r="X35" i="8" a="1"/>
  <c r="X35" i="8" s="1"/>
  <c r="X34" i="8" a="1"/>
  <c r="X34" i="8" s="1"/>
  <c r="X33" i="8" a="1"/>
  <c r="X33" i="8" s="1"/>
  <c r="X32" i="8"/>
  <c r="X32" i="8" a="1"/>
  <c r="X31" i="8" a="1"/>
  <c r="X31" i="8" s="1"/>
  <c r="X30" i="8" a="1"/>
  <c r="X30" i="8" s="1"/>
  <c r="X29" i="8" a="1"/>
  <c r="X29" i="8" s="1"/>
  <c r="X28" i="8" a="1"/>
  <c r="X28" i="8" s="1"/>
  <c r="X27" i="8" a="1"/>
  <c r="X27" i="8" s="1"/>
  <c r="X26" i="8"/>
  <c r="X26" i="8" a="1"/>
  <c r="X25" i="8" a="1"/>
  <c r="X25" i="8" s="1"/>
  <c r="X24" i="8" a="1"/>
  <c r="X24" i="8" s="1"/>
  <c r="X23" i="8" a="1"/>
  <c r="X23" i="8" s="1"/>
  <c r="X22" i="8" a="1"/>
  <c r="X22" i="8" s="1"/>
  <c r="X21" i="8" a="1"/>
  <c r="X21" i="8" s="1"/>
  <c r="X20" i="8"/>
  <c r="X20" i="8" a="1"/>
  <c r="X19" i="8" a="1"/>
  <c r="X19" i="8" s="1"/>
  <c r="X18" i="8" a="1"/>
  <c r="X18" i="8" s="1"/>
  <c r="X17" i="8" a="1"/>
  <c r="X17" i="8" s="1"/>
  <c r="X16" i="8" a="1"/>
  <c r="X16" i="8" s="1"/>
  <c r="X15" i="8" a="1"/>
  <c r="X15" i="8" s="1"/>
  <c r="X14" i="8"/>
  <c r="X14" i="8" a="1"/>
  <c r="X13" i="8" a="1"/>
  <c r="X13" i="8" s="1"/>
  <c r="X12" i="8" a="1"/>
  <c r="X12" i="8" s="1"/>
  <c r="X11" i="8" a="1"/>
  <c r="X11" i="8" s="1"/>
  <c r="X10" i="8" a="1"/>
  <c r="X10" i="8" s="1"/>
  <c r="X9" i="8" a="1"/>
  <c r="X9" i="8" s="1"/>
  <c r="X8" i="8"/>
  <c r="X8" i="8" a="1"/>
  <c r="X7" i="8" a="1"/>
  <c r="X7" i="8" s="1"/>
  <c r="X6" i="8" a="1"/>
  <c r="X6" i="8" s="1"/>
  <c r="X5" i="8"/>
  <c r="L115" i="8" a="1"/>
  <c r="L115" i="8" s="1"/>
  <c r="L114" i="8" a="1"/>
  <c r="L114" i="8" s="1"/>
  <c r="L113" i="8" a="1"/>
  <c r="L113" i="8" s="1"/>
  <c r="L112" i="8" a="1"/>
  <c r="L112" i="8" s="1"/>
  <c r="L111" i="8" a="1"/>
  <c r="L111" i="8" s="1"/>
  <c r="L110" i="8" a="1"/>
  <c r="L110" i="8" s="1"/>
  <c r="L109" i="8" a="1"/>
  <c r="L109" i="8" s="1"/>
  <c r="L108" i="8" a="1"/>
  <c r="L108" i="8" s="1"/>
  <c r="L107" i="8" a="1"/>
  <c r="L107" i="8" s="1"/>
  <c r="L106" i="8" a="1"/>
  <c r="L106" i="8" s="1"/>
  <c r="L105" i="8" a="1"/>
  <c r="L105" i="8" s="1"/>
  <c r="L104" i="8" a="1"/>
  <c r="L104" i="8" s="1"/>
  <c r="L103" i="8" a="1"/>
  <c r="L103" i="8" s="1"/>
  <c r="L102" i="8" a="1"/>
  <c r="L102" i="8" s="1"/>
  <c r="L101" i="8" a="1"/>
  <c r="L101" i="8" s="1"/>
  <c r="L100" i="8" a="1"/>
  <c r="L100" i="8" s="1"/>
  <c r="L99" i="8" a="1"/>
  <c r="L99" i="8" s="1"/>
  <c r="L98" i="8" a="1"/>
  <c r="L98" i="8" s="1"/>
  <c r="L97" i="8" a="1"/>
  <c r="L97" i="8" s="1"/>
  <c r="L96" i="8" a="1"/>
  <c r="L96" i="8" s="1"/>
  <c r="L95" i="8" a="1"/>
  <c r="L95" i="8" s="1"/>
  <c r="L94" i="8" a="1"/>
  <c r="L94" i="8" s="1"/>
  <c r="L93" i="8" a="1"/>
  <c r="L93" i="8" s="1"/>
  <c r="L92" i="8" a="1"/>
  <c r="L92" i="8" s="1"/>
  <c r="L91" i="8" a="1"/>
  <c r="L91" i="8" s="1"/>
  <c r="L90" i="8" a="1"/>
  <c r="L90" i="8" s="1"/>
  <c r="L89" i="8" a="1"/>
  <c r="L89" i="8" s="1"/>
  <c r="L88" i="8" a="1"/>
  <c r="L88" i="8" s="1"/>
  <c r="L87" i="8" a="1"/>
  <c r="L87" i="8" s="1"/>
  <c r="L86" i="8" a="1"/>
  <c r="L86" i="8" s="1"/>
  <c r="L85" i="8" a="1"/>
  <c r="L85" i="8" s="1"/>
  <c r="L84" i="8" a="1"/>
  <c r="L84" i="8" s="1"/>
  <c r="L83" i="8" a="1"/>
  <c r="L83" i="8" s="1"/>
  <c r="L82" i="8" a="1"/>
  <c r="L82" i="8" s="1"/>
  <c r="L81" i="8" a="1"/>
  <c r="L81" i="8" s="1"/>
  <c r="L80" i="8" a="1"/>
  <c r="L80" i="8" s="1"/>
  <c r="L79" i="8" a="1"/>
  <c r="L79" i="8" s="1"/>
  <c r="L78" i="8" a="1"/>
  <c r="L78" i="8" s="1"/>
  <c r="L77" i="8" a="1"/>
  <c r="L77" i="8" s="1"/>
  <c r="L76" i="8" a="1"/>
  <c r="L76" i="8" s="1"/>
  <c r="L75" i="8" a="1"/>
  <c r="L75" i="8" s="1"/>
  <c r="L74" i="8" a="1"/>
  <c r="L74" i="8" s="1"/>
  <c r="L73" i="8" a="1"/>
  <c r="L73" i="8" s="1"/>
  <c r="L72" i="8" a="1"/>
  <c r="L72" i="8" s="1"/>
  <c r="L71" i="8" a="1"/>
  <c r="L71" i="8" s="1"/>
  <c r="L70" i="8" a="1"/>
  <c r="L70" i="8" s="1"/>
  <c r="L69" i="8" a="1"/>
  <c r="L69" i="8" s="1"/>
  <c r="L68" i="8" a="1"/>
  <c r="L68" i="8" s="1"/>
  <c r="L67" i="8" a="1"/>
  <c r="L67" i="8" s="1"/>
  <c r="L66" i="8" a="1"/>
  <c r="L66" i="8" s="1"/>
  <c r="L65" i="8" a="1"/>
  <c r="L65" i="8" s="1"/>
  <c r="L64" i="8" a="1"/>
  <c r="L64" i="8" s="1"/>
  <c r="L63" i="8" a="1"/>
  <c r="L63" i="8" s="1"/>
  <c r="L62" i="8" a="1"/>
  <c r="L62" i="8" s="1"/>
  <c r="L61" i="8" a="1"/>
  <c r="L61" i="8" s="1"/>
  <c r="L60" i="8" a="1"/>
  <c r="L60" i="8" s="1"/>
  <c r="L59" i="8" a="1"/>
  <c r="L59" i="8" s="1"/>
  <c r="L58" i="8" a="1"/>
  <c r="L58" i="8" s="1"/>
  <c r="L57" i="8" a="1"/>
  <c r="L57" i="8" s="1"/>
  <c r="L56" i="8" a="1"/>
  <c r="L56" i="8" s="1"/>
  <c r="L55" i="8" a="1"/>
  <c r="L55" i="8" s="1"/>
  <c r="L54" i="8" a="1"/>
  <c r="L54" i="8" s="1"/>
  <c r="L53" i="8" a="1"/>
  <c r="L53" i="8" s="1"/>
  <c r="L52" i="8" a="1"/>
  <c r="L52" i="8" s="1"/>
  <c r="L51" i="8" a="1"/>
  <c r="L51" i="8" s="1"/>
  <c r="L50" i="8" a="1"/>
  <c r="L50" i="8" s="1"/>
  <c r="L49" i="8" a="1"/>
  <c r="L49" i="8" s="1"/>
  <c r="L48" i="8" a="1"/>
  <c r="L48" i="8" s="1"/>
  <c r="L47" i="8" a="1"/>
  <c r="L47" i="8" s="1"/>
  <c r="L46" i="8" a="1"/>
  <c r="L46" i="8" s="1"/>
  <c r="L45" i="8" a="1"/>
  <c r="L45" i="8" s="1"/>
  <c r="L44" i="8" a="1"/>
  <c r="L44" i="8" s="1"/>
  <c r="L43" i="8" a="1"/>
  <c r="L43" i="8" s="1"/>
  <c r="L42" i="8" a="1"/>
  <c r="L42" i="8" s="1"/>
  <c r="L41" i="8" a="1"/>
  <c r="L41" i="8" s="1"/>
  <c r="L40" i="8" a="1"/>
  <c r="L40" i="8" s="1"/>
  <c r="L39" i="8" a="1"/>
  <c r="L39" i="8" s="1"/>
  <c r="L38" i="8" a="1"/>
  <c r="L38" i="8" s="1"/>
  <c r="L37" i="8" a="1"/>
  <c r="L37" i="8" s="1"/>
  <c r="L36" i="8" a="1"/>
  <c r="L36" i="8" s="1"/>
  <c r="L35" i="8" a="1"/>
  <c r="L35" i="8" s="1"/>
  <c r="L34" i="8" a="1"/>
  <c r="L34" i="8" s="1"/>
  <c r="L33" i="8" a="1"/>
  <c r="L33" i="8" s="1"/>
  <c r="L32" i="8" a="1"/>
  <c r="L32" i="8" s="1"/>
  <c r="L31" i="8" a="1"/>
  <c r="L31" i="8" s="1"/>
  <c r="L30" i="8" a="1"/>
  <c r="L30" i="8" s="1"/>
  <c r="L29" i="8" a="1"/>
  <c r="L29" i="8" s="1"/>
  <c r="L28" i="8" a="1"/>
  <c r="L28" i="8" s="1"/>
  <c r="L27" i="8" a="1"/>
  <c r="L27" i="8" s="1"/>
  <c r="L26" i="8" a="1"/>
  <c r="L26" i="8" s="1"/>
  <c r="L25" i="8" a="1"/>
  <c r="L25" i="8" s="1"/>
  <c r="L24" i="8" a="1"/>
  <c r="L24" i="8" s="1"/>
  <c r="L23" i="8" a="1"/>
  <c r="L23" i="8" s="1"/>
  <c r="L22" i="8" a="1"/>
  <c r="L22" i="8" s="1"/>
  <c r="L21" i="8" a="1"/>
  <c r="L21" i="8" s="1"/>
  <c r="L20" i="8" a="1"/>
  <c r="L20" i="8" s="1"/>
  <c r="L19" i="8" a="1"/>
  <c r="L19" i="8" s="1"/>
  <c r="L18" i="8" a="1"/>
  <c r="L18" i="8" s="1"/>
  <c r="L17" i="8" a="1"/>
  <c r="L17" i="8" s="1"/>
  <c r="L16" i="8" a="1"/>
  <c r="L16" i="8" s="1"/>
  <c r="L15" i="8" a="1"/>
  <c r="L15" i="8" s="1"/>
  <c r="L14" i="8" a="1"/>
  <c r="L14" i="8" s="1"/>
  <c r="L13" i="8" a="1"/>
  <c r="L13" i="8" s="1"/>
  <c r="L12" i="8" a="1"/>
  <c r="L12" i="8" s="1"/>
  <c r="L11" i="8" a="1"/>
  <c r="L11" i="8" s="1"/>
  <c r="L10" i="8" a="1"/>
  <c r="L10" i="8" s="1"/>
  <c r="L9" i="8" a="1"/>
  <c r="L9" i="8" s="1"/>
  <c r="X115" i="30" a="1"/>
  <c r="X115" i="30" s="1"/>
  <c r="X114" i="30" a="1"/>
  <c r="X114" i="30" s="1"/>
  <c r="X113" i="30" a="1"/>
  <c r="X113" i="30" s="1"/>
  <c r="X112" i="30" a="1"/>
  <c r="X112" i="30" s="1"/>
  <c r="X111" i="30" a="1"/>
  <c r="X111" i="30" s="1"/>
  <c r="X110" i="30" a="1"/>
  <c r="X110" i="30" s="1"/>
  <c r="X109" i="30" a="1"/>
  <c r="X109" i="30" s="1"/>
  <c r="X108" i="30" a="1"/>
  <c r="X108" i="30" s="1"/>
  <c r="X107" i="30" a="1"/>
  <c r="X107" i="30" s="1"/>
  <c r="X106" i="30" a="1"/>
  <c r="X106" i="30" s="1"/>
  <c r="X105" i="30" a="1"/>
  <c r="X105" i="30" s="1"/>
  <c r="X104" i="30" a="1"/>
  <c r="X104" i="30" s="1"/>
  <c r="X103" i="30" a="1"/>
  <c r="X103" i="30" s="1"/>
  <c r="X102" i="30" a="1"/>
  <c r="X102" i="30" s="1"/>
  <c r="X101" i="30" a="1"/>
  <c r="X101" i="30" s="1"/>
  <c r="X100" i="30" a="1"/>
  <c r="X100" i="30" s="1"/>
  <c r="X99" i="30" a="1"/>
  <c r="X99" i="30" s="1"/>
  <c r="X98" i="30" a="1"/>
  <c r="X98" i="30" s="1"/>
  <c r="X97" i="30" a="1"/>
  <c r="X97" i="30" s="1"/>
  <c r="X96" i="30" a="1"/>
  <c r="X96" i="30" s="1"/>
  <c r="X95" i="30" a="1"/>
  <c r="X95" i="30" s="1"/>
  <c r="X94" i="30" a="1"/>
  <c r="X94" i="30" s="1"/>
  <c r="X93" i="30" a="1"/>
  <c r="X93" i="30" s="1"/>
  <c r="X92" i="30" a="1"/>
  <c r="X92" i="30" s="1"/>
  <c r="X91" i="30" a="1"/>
  <c r="X91" i="30" s="1"/>
  <c r="X90" i="30" a="1"/>
  <c r="X90" i="30" s="1"/>
  <c r="X89" i="30" a="1"/>
  <c r="X89" i="30" s="1"/>
  <c r="X88" i="30" a="1"/>
  <c r="X88" i="30" s="1"/>
  <c r="X87" i="30" a="1"/>
  <c r="X87" i="30" s="1"/>
  <c r="X86" i="30" a="1"/>
  <c r="X86" i="30" s="1"/>
  <c r="X85" i="30" a="1"/>
  <c r="X85" i="30" s="1"/>
  <c r="X84" i="30" a="1"/>
  <c r="X84" i="30" s="1"/>
  <c r="X83" i="30" a="1"/>
  <c r="X83" i="30" s="1"/>
  <c r="X82" i="30" a="1"/>
  <c r="X82" i="30" s="1"/>
  <c r="X81" i="30" a="1"/>
  <c r="X81" i="30" s="1"/>
  <c r="X80" i="30" a="1"/>
  <c r="X80" i="30" s="1"/>
  <c r="X79" i="30" a="1"/>
  <c r="X79" i="30" s="1"/>
  <c r="X78" i="30" a="1"/>
  <c r="X78" i="30" s="1"/>
  <c r="X77" i="30" a="1"/>
  <c r="X77" i="30" s="1"/>
  <c r="X76" i="30" a="1"/>
  <c r="X76" i="30" s="1"/>
  <c r="X75" i="30" a="1"/>
  <c r="X75" i="30" s="1"/>
  <c r="X74" i="30" a="1"/>
  <c r="X74" i="30" s="1"/>
  <c r="X73" i="30" a="1"/>
  <c r="X73" i="30" s="1"/>
  <c r="X72" i="30" a="1"/>
  <c r="X72" i="30" s="1"/>
  <c r="X71" i="30" a="1"/>
  <c r="X71" i="30" s="1"/>
  <c r="X70" i="30" a="1"/>
  <c r="X70" i="30" s="1"/>
  <c r="X69" i="30" a="1"/>
  <c r="X69" i="30" s="1"/>
  <c r="X68" i="30" a="1"/>
  <c r="X68" i="30" s="1"/>
  <c r="X67" i="30" a="1"/>
  <c r="X67" i="30" s="1"/>
  <c r="X66" i="30" a="1"/>
  <c r="X66" i="30" s="1"/>
  <c r="X65" i="30" a="1"/>
  <c r="X65" i="30" s="1"/>
  <c r="X64" i="30" a="1"/>
  <c r="X64" i="30" s="1"/>
  <c r="X63" i="30" a="1"/>
  <c r="X63" i="30" s="1"/>
  <c r="X62" i="30" a="1"/>
  <c r="X62" i="30" s="1"/>
  <c r="X61" i="30" a="1"/>
  <c r="X61" i="30" s="1"/>
  <c r="X60" i="30" a="1"/>
  <c r="X60" i="30" s="1"/>
  <c r="X59" i="30" a="1"/>
  <c r="X59" i="30" s="1"/>
  <c r="X58" i="30" a="1"/>
  <c r="X58" i="30" s="1"/>
  <c r="X57" i="30" a="1"/>
  <c r="X57" i="30" s="1"/>
  <c r="X56" i="30" a="1"/>
  <c r="X56" i="30" s="1"/>
  <c r="X55" i="30" a="1"/>
  <c r="X55" i="30" s="1"/>
  <c r="X54" i="30" a="1"/>
  <c r="X54" i="30" s="1"/>
  <c r="X53" i="30" a="1"/>
  <c r="X53" i="30" s="1"/>
  <c r="X52" i="30" a="1"/>
  <c r="X52" i="30" s="1"/>
  <c r="X51" i="30" a="1"/>
  <c r="X51" i="30" s="1"/>
  <c r="X50" i="30" a="1"/>
  <c r="X50" i="30" s="1"/>
  <c r="X49" i="30" a="1"/>
  <c r="X49" i="30" s="1"/>
  <c r="X48" i="30" a="1"/>
  <c r="X48" i="30" s="1"/>
  <c r="X47" i="30" a="1"/>
  <c r="X47" i="30" s="1"/>
  <c r="X46" i="30" a="1"/>
  <c r="X46" i="30" s="1"/>
  <c r="X45" i="30" a="1"/>
  <c r="X45" i="30" s="1"/>
  <c r="X44" i="30" a="1"/>
  <c r="X44" i="30" s="1"/>
  <c r="X43" i="30" a="1"/>
  <c r="X43" i="30" s="1"/>
  <c r="X42" i="30" a="1"/>
  <c r="X42" i="30" s="1"/>
  <c r="X41" i="30" a="1"/>
  <c r="X41" i="30" s="1"/>
  <c r="X40" i="30" a="1"/>
  <c r="X40" i="30" s="1"/>
  <c r="X39" i="30" a="1"/>
  <c r="X39" i="30" s="1"/>
  <c r="X38" i="30" a="1"/>
  <c r="X38" i="30" s="1"/>
  <c r="X37" i="30" a="1"/>
  <c r="X37" i="30" s="1"/>
  <c r="X36" i="30" a="1"/>
  <c r="X36" i="30" s="1"/>
  <c r="X35" i="30" a="1"/>
  <c r="X35" i="30" s="1"/>
  <c r="X34" i="30" a="1"/>
  <c r="X34" i="30" s="1"/>
  <c r="X33" i="30" a="1"/>
  <c r="X33" i="30" s="1"/>
  <c r="X32" i="30" a="1"/>
  <c r="X32" i="30" s="1"/>
  <c r="X31" i="30" a="1"/>
  <c r="X31" i="30" s="1"/>
  <c r="X30" i="30" a="1"/>
  <c r="X30" i="30" s="1"/>
  <c r="X29" i="30" a="1"/>
  <c r="X29" i="30" s="1"/>
  <c r="X28" i="30" a="1"/>
  <c r="X28" i="30" s="1"/>
  <c r="X27" i="30" a="1"/>
  <c r="X27" i="30" s="1"/>
  <c r="X26" i="30" a="1"/>
  <c r="X26" i="30" s="1"/>
  <c r="X25" i="30" a="1"/>
  <c r="X25" i="30" s="1"/>
  <c r="X24" i="30" a="1"/>
  <c r="X24" i="30" s="1"/>
  <c r="X23" i="30" a="1"/>
  <c r="X23" i="30" s="1"/>
  <c r="X22" i="30" a="1"/>
  <c r="X22" i="30" s="1"/>
  <c r="X21" i="30" a="1"/>
  <c r="X21" i="30" s="1"/>
  <c r="X20" i="30" a="1"/>
  <c r="X20" i="30" s="1"/>
  <c r="X19" i="30" a="1"/>
  <c r="X19" i="30" s="1"/>
  <c r="X18" i="30" a="1"/>
  <c r="X18" i="30" s="1"/>
  <c r="X17" i="30" a="1"/>
  <c r="X17" i="30" s="1"/>
  <c r="X16" i="30" a="1"/>
  <c r="X16" i="30" s="1"/>
  <c r="X15" i="30" a="1"/>
  <c r="X15" i="30" s="1"/>
  <c r="X14" i="30" a="1"/>
  <c r="X14" i="30" s="1"/>
  <c r="X13" i="30" a="1"/>
  <c r="X13" i="30" s="1"/>
  <c r="X12" i="30" a="1"/>
  <c r="X12" i="30" s="1"/>
  <c r="X11" i="30" a="1"/>
  <c r="X11" i="30" s="1"/>
  <c r="X10" i="30" a="1"/>
  <c r="X10" i="30" s="1"/>
  <c r="X9" i="30" a="1"/>
  <c r="X9" i="30" s="1"/>
  <c r="X8" i="30" a="1"/>
  <c r="X8" i="30" s="1"/>
  <c r="X7" i="30" a="1"/>
  <c r="X7" i="30" s="1"/>
  <c r="X6" i="30" a="1"/>
  <c r="X6" i="30" s="1"/>
  <c r="X5" i="30"/>
  <c r="L115" i="30" a="1"/>
  <c r="L115" i="30" s="1"/>
  <c r="L114" i="30" a="1"/>
  <c r="L114" i="30" s="1"/>
  <c r="L113" i="30" a="1"/>
  <c r="L113" i="30" s="1"/>
  <c r="L112" i="30" a="1"/>
  <c r="L112" i="30" s="1"/>
  <c r="L111" i="30" a="1"/>
  <c r="L111" i="30" s="1"/>
  <c r="L110" i="30" a="1"/>
  <c r="L110" i="30" s="1"/>
  <c r="L109" i="30" a="1"/>
  <c r="L109" i="30" s="1"/>
  <c r="L108" i="30" a="1"/>
  <c r="L108" i="30" s="1"/>
  <c r="L107" i="30" a="1"/>
  <c r="L107" i="30" s="1"/>
  <c r="L106" i="30" a="1"/>
  <c r="L106" i="30" s="1"/>
  <c r="L105" i="30" a="1"/>
  <c r="L105" i="30" s="1"/>
  <c r="L104" i="30" a="1"/>
  <c r="L104" i="30" s="1"/>
  <c r="L103" i="30" a="1"/>
  <c r="L103" i="30" s="1"/>
  <c r="L102" i="30" a="1"/>
  <c r="L102" i="30" s="1"/>
  <c r="L101" i="30" a="1"/>
  <c r="L101" i="30" s="1"/>
  <c r="L100" i="30" a="1"/>
  <c r="L100" i="30" s="1"/>
  <c r="L99" i="30" a="1"/>
  <c r="L99" i="30" s="1"/>
  <c r="L98" i="30" a="1"/>
  <c r="L98" i="30" s="1"/>
  <c r="L97" i="30" a="1"/>
  <c r="L97" i="30" s="1"/>
  <c r="L96" i="30" a="1"/>
  <c r="L96" i="30" s="1"/>
  <c r="L95" i="30" a="1"/>
  <c r="L95" i="30" s="1"/>
  <c r="L94" i="30" a="1"/>
  <c r="L94" i="30" s="1"/>
  <c r="L93" i="30" a="1"/>
  <c r="L93" i="30" s="1"/>
  <c r="L92" i="30" a="1"/>
  <c r="L92" i="30" s="1"/>
  <c r="L91" i="30" a="1"/>
  <c r="L91" i="30" s="1"/>
  <c r="L90" i="30" a="1"/>
  <c r="L90" i="30" s="1"/>
  <c r="L89" i="30" a="1"/>
  <c r="L89" i="30" s="1"/>
  <c r="L88" i="30" a="1"/>
  <c r="L88" i="30" s="1"/>
  <c r="L87" i="30" a="1"/>
  <c r="L87" i="30" s="1"/>
  <c r="L86" i="30" a="1"/>
  <c r="L86" i="30" s="1"/>
  <c r="L85" i="30" a="1"/>
  <c r="L85" i="30" s="1"/>
  <c r="L84" i="30" a="1"/>
  <c r="L84" i="30" s="1"/>
  <c r="L83" i="30" a="1"/>
  <c r="L83" i="30" s="1"/>
  <c r="L82" i="30" a="1"/>
  <c r="L82" i="30" s="1"/>
  <c r="L81" i="30" a="1"/>
  <c r="L81" i="30" s="1"/>
  <c r="L80" i="30" a="1"/>
  <c r="L80" i="30" s="1"/>
  <c r="L79" i="30" a="1"/>
  <c r="L79" i="30" s="1"/>
  <c r="L78" i="30" a="1"/>
  <c r="L78" i="30" s="1"/>
  <c r="L77" i="30" a="1"/>
  <c r="L77" i="30" s="1"/>
  <c r="L76" i="30" a="1"/>
  <c r="L76" i="30" s="1"/>
  <c r="L75" i="30" a="1"/>
  <c r="L75" i="30" s="1"/>
  <c r="L74" i="30" a="1"/>
  <c r="L74" i="30" s="1"/>
  <c r="L73" i="30" a="1"/>
  <c r="L73" i="30" s="1"/>
  <c r="L72" i="30" a="1"/>
  <c r="L72" i="30" s="1"/>
  <c r="L71" i="30" a="1"/>
  <c r="L71" i="30" s="1"/>
  <c r="L70" i="30" a="1"/>
  <c r="L70" i="30" s="1"/>
  <c r="L69" i="30" a="1"/>
  <c r="L69" i="30" s="1"/>
  <c r="L68" i="30" a="1"/>
  <c r="L68" i="30" s="1"/>
  <c r="L67" i="30" a="1"/>
  <c r="L67" i="30" s="1"/>
  <c r="L66" i="30" a="1"/>
  <c r="L66" i="30" s="1"/>
  <c r="L65" i="30" a="1"/>
  <c r="L65" i="30" s="1"/>
  <c r="L64" i="30" a="1"/>
  <c r="L64" i="30" s="1"/>
  <c r="L63" i="30" a="1"/>
  <c r="L63" i="30" s="1"/>
  <c r="L62" i="30" a="1"/>
  <c r="L62" i="30" s="1"/>
  <c r="L61" i="30" a="1"/>
  <c r="L61" i="30" s="1"/>
  <c r="L60" i="30" a="1"/>
  <c r="L60" i="30" s="1"/>
  <c r="L59" i="30" a="1"/>
  <c r="L59" i="30" s="1"/>
  <c r="L58" i="30" a="1"/>
  <c r="L58" i="30" s="1"/>
  <c r="L57" i="30" a="1"/>
  <c r="L57" i="30" s="1"/>
  <c r="L56" i="30" a="1"/>
  <c r="L56" i="30" s="1"/>
  <c r="L55" i="30" a="1"/>
  <c r="L55" i="30" s="1"/>
  <c r="L54" i="30" a="1"/>
  <c r="L54" i="30" s="1"/>
  <c r="L53" i="30" a="1"/>
  <c r="L53" i="30" s="1"/>
  <c r="L52" i="30" a="1"/>
  <c r="L52" i="30" s="1"/>
  <c r="L51" i="30" a="1"/>
  <c r="L51" i="30" s="1"/>
  <c r="L50" i="30" a="1"/>
  <c r="L50" i="30" s="1"/>
  <c r="L49" i="30" a="1"/>
  <c r="L49" i="30" s="1"/>
  <c r="L48" i="30" a="1"/>
  <c r="L48" i="30" s="1"/>
  <c r="L47" i="30" a="1"/>
  <c r="L47" i="30" s="1"/>
  <c r="L46" i="30" a="1"/>
  <c r="L46" i="30" s="1"/>
  <c r="L45" i="30" a="1"/>
  <c r="L45" i="30" s="1"/>
  <c r="L44" i="30" a="1"/>
  <c r="L44" i="30" s="1"/>
  <c r="L43" i="30" a="1"/>
  <c r="L43" i="30" s="1"/>
  <c r="L42" i="30" a="1"/>
  <c r="L42" i="30" s="1"/>
  <c r="L41" i="30" a="1"/>
  <c r="L41" i="30" s="1"/>
  <c r="L40" i="30" a="1"/>
  <c r="L40" i="30" s="1"/>
  <c r="L39" i="30" a="1"/>
  <c r="L39" i="30" s="1"/>
  <c r="L38" i="30" a="1"/>
  <c r="L38" i="30" s="1"/>
  <c r="L37" i="30" a="1"/>
  <c r="L37" i="30" s="1"/>
  <c r="L36" i="30" a="1"/>
  <c r="L36" i="30" s="1"/>
  <c r="L35" i="30" a="1"/>
  <c r="L35" i="30" s="1"/>
  <c r="L34" i="30" a="1"/>
  <c r="L34" i="30" s="1"/>
  <c r="L33" i="30" a="1"/>
  <c r="L33" i="30" s="1"/>
  <c r="L32" i="30" a="1"/>
  <c r="L32" i="30" s="1"/>
  <c r="L31" i="30" a="1"/>
  <c r="L31" i="30" s="1"/>
  <c r="L30" i="30" a="1"/>
  <c r="L30" i="30" s="1"/>
  <c r="L29" i="30" a="1"/>
  <c r="L29" i="30" s="1"/>
  <c r="L28" i="30" a="1"/>
  <c r="L28" i="30" s="1"/>
  <c r="L27" i="30" a="1"/>
  <c r="L27" i="30" s="1"/>
  <c r="L26" i="30" a="1"/>
  <c r="L26" i="30" s="1"/>
  <c r="L25" i="30" a="1"/>
  <c r="L25" i="30" s="1"/>
  <c r="L24" i="30" a="1"/>
  <c r="L24" i="30" s="1"/>
  <c r="L23" i="30" a="1"/>
  <c r="L23" i="30" s="1"/>
  <c r="L22" i="30" a="1"/>
  <c r="L22" i="30" s="1"/>
  <c r="L21" i="30" a="1"/>
  <c r="L21" i="30" s="1"/>
  <c r="L20" i="30" a="1"/>
  <c r="L20" i="30" s="1"/>
  <c r="L19" i="30" a="1"/>
  <c r="L19" i="30" s="1"/>
  <c r="L18" i="30" a="1"/>
  <c r="L18" i="30" s="1"/>
  <c r="L17" i="30" a="1"/>
  <c r="L17" i="30" s="1"/>
  <c r="L16" i="30" a="1"/>
  <c r="L16" i="30" s="1"/>
  <c r="L15" i="30" a="1"/>
  <c r="L15" i="30" s="1"/>
  <c r="L14" i="30" a="1"/>
  <c r="L14" i="30" s="1"/>
  <c r="L13" i="30" a="1"/>
  <c r="L13" i="30" s="1"/>
  <c r="L12" i="30" a="1"/>
  <c r="L12" i="30" s="1"/>
  <c r="L11" i="30" a="1"/>
  <c r="L11" i="30" s="1"/>
  <c r="L10" i="30" a="1"/>
  <c r="L10" i="30" s="1"/>
  <c r="L9" i="30" a="1"/>
  <c r="L9" i="30" s="1"/>
  <c r="L8" i="30" a="1"/>
  <c r="L8" i="30" s="1"/>
  <c r="L7" i="30" a="1"/>
  <c r="L7" i="30" s="1"/>
  <c r="L6" i="30" a="1"/>
  <c r="L6" i="30" s="1"/>
  <c r="L5" i="30"/>
  <c r="X115" i="32" a="1"/>
  <c r="X115" i="32" s="1"/>
  <c r="X114" i="32" a="1"/>
  <c r="X114" i="32" s="1"/>
  <c r="X113" i="32" a="1"/>
  <c r="X113" i="32" s="1"/>
  <c r="X112" i="32" a="1"/>
  <c r="X112" i="32" s="1"/>
  <c r="X111" i="32"/>
  <c r="X111" i="32" a="1"/>
  <c r="X110" i="32" a="1"/>
  <c r="X110" i="32" s="1"/>
  <c r="X109" i="32" a="1"/>
  <c r="X109" i="32" s="1"/>
  <c r="X108" i="32" a="1"/>
  <c r="X108" i="32" s="1"/>
  <c r="X107" i="32" a="1"/>
  <c r="X107" i="32" s="1"/>
  <c r="X106" i="32" a="1"/>
  <c r="X106" i="32" s="1"/>
  <c r="X105" i="32"/>
  <c r="X105" i="32" a="1"/>
  <c r="X104" i="32" a="1"/>
  <c r="X104" i="32" s="1"/>
  <c r="X103" i="32" a="1"/>
  <c r="X103" i="32" s="1"/>
  <c r="X102" i="32" a="1"/>
  <c r="X102" i="32" s="1"/>
  <c r="X101" i="32" a="1"/>
  <c r="X101" i="32" s="1"/>
  <c r="X100" i="32" a="1"/>
  <c r="X100" i="32" s="1"/>
  <c r="X99" i="32"/>
  <c r="X99" i="32" a="1"/>
  <c r="X98" i="32" a="1"/>
  <c r="X98" i="32" s="1"/>
  <c r="X97" i="32" a="1"/>
  <c r="X97" i="32" s="1"/>
  <c r="X96" i="32" a="1"/>
  <c r="X96" i="32" s="1"/>
  <c r="X95" i="32" a="1"/>
  <c r="X95" i="32" s="1"/>
  <c r="X94" i="32" a="1"/>
  <c r="X94" i="32" s="1"/>
  <c r="X93" i="32"/>
  <c r="X93" i="32" a="1"/>
  <c r="X92" i="32" a="1"/>
  <c r="X92" i="32" s="1"/>
  <c r="X91" i="32" a="1"/>
  <c r="X91" i="32" s="1"/>
  <c r="X90" i="32" a="1"/>
  <c r="X90" i="32" s="1"/>
  <c r="X89" i="32" a="1"/>
  <c r="X89" i="32" s="1"/>
  <c r="X88" i="32" a="1"/>
  <c r="X88" i="32" s="1"/>
  <c r="X87" i="32"/>
  <c r="X87" i="32" a="1"/>
  <c r="X86" i="32" a="1"/>
  <c r="X86" i="32" s="1"/>
  <c r="X85" i="32" a="1"/>
  <c r="X85" i="32" s="1"/>
  <c r="X84" i="32" a="1"/>
  <c r="X84" i="32" s="1"/>
  <c r="X83" i="32" a="1"/>
  <c r="X83" i="32" s="1"/>
  <c r="X82" i="32" a="1"/>
  <c r="X82" i="32" s="1"/>
  <c r="X81" i="32"/>
  <c r="X81" i="32" a="1"/>
  <c r="X80" i="32" a="1"/>
  <c r="X80" i="32" s="1"/>
  <c r="X79" i="32" a="1"/>
  <c r="X79" i="32" s="1"/>
  <c r="X78" i="32" a="1"/>
  <c r="X78" i="32" s="1"/>
  <c r="X77" i="32" a="1"/>
  <c r="X77" i="32" s="1"/>
  <c r="X76" i="32" a="1"/>
  <c r="X76" i="32" s="1"/>
  <c r="X75" i="32"/>
  <c r="X75" i="32" a="1"/>
  <c r="X74" i="32" a="1"/>
  <c r="X74" i="32" s="1"/>
  <c r="X73" i="32" a="1"/>
  <c r="X73" i="32" s="1"/>
  <c r="X72" i="32" a="1"/>
  <c r="X72" i="32" s="1"/>
  <c r="X71" i="32" a="1"/>
  <c r="X71" i="32" s="1"/>
  <c r="X70" i="32" a="1"/>
  <c r="X70" i="32" s="1"/>
  <c r="X69" i="32"/>
  <c r="X69" i="32" a="1"/>
  <c r="X68" i="32" a="1"/>
  <c r="X68" i="32" s="1"/>
  <c r="X67" i="32" a="1"/>
  <c r="X67" i="32" s="1"/>
  <c r="X66" i="32" a="1"/>
  <c r="X66" i="32" s="1"/>
  <c r="X65" i="32" a="1"/>
  <c r="X65" i="32" s="1"/>
  <c r="X64" i="32" a="1"/>
  <c r="X64" i="32" s="1"/>
  <c r="X63" i="32"/>
  <c r="X63" i="32" a="1"/>
  <c r="X62" i="32" a="1"/>
  <c r="X62" i="32" s="1"/>
  <c r="X61" i="32" a="1"/>
  <c r="X61" i="32" s="1"/>
  <c r="X60" i="32" a="1"/>
  <c r="X60" i="32" s="1"/>
  <c r="X59" i="32" a="1"/>
  <c r="X59" i="32" s="1"/>
  <c r="X58" i="32" a="1"/>
  <c r="X58" i="32" s="1"/>
  <c r="X57" i="32"/>
  <c r="X57" i="32" a="1"/>
  <c r="X56" i="32" a="1"/>
  <c r="X56" i="32" s="1"/>
  <c r="X55" i="32" a="1"/>
  <c r="X55" i="32" s="1"/>
  <c r="X54" i="32" a="1"/>
  <c r="X54" i="32" s="1"/>
  <c r="X53" i="32" a="1"/>
  <c r="X53" i="32" s="1"/>
  <c r="X52" i="32" a="1"/>
  <c r="X52" i="32" s="1"/>
  <c r="X51" i="32"/>
  <c r="X51" i="32" a="1"/>
  <c r="X50" i="32" a="1"/>
  <c r="X50" i="32" s="1"/>
  <c r="X49" i="32" a="1"/>
  <c r="X49" i="32" s="1"/>
  <c r="X48" i="32" a="1"/>
  <c r="X48" i="32" s="1"/>
  <c r="X47" i="32" a="1"/>
  <c r="X47" i="32" s="1"/>
  <c r="X46" i="32" a="1"/>
  <c r="X46" i="32" s="1"/>
  <c r="X45" i="32"/>
  <c r="X45" i="32" a="1"/>
  <c r="X44" i="32" a="1"/>
  <c r="X44" i="32" s="1"/>
  <c r="X43" i="32" a="1"/>
  <c r="X43" i="32" s="1"/>
  <c r="X42" i="32" a="1"/>
  <c r="X42" i="32" s="1"/>
  <c r="X41" i="32" a="1"/>
  <c r="X41" i="32" s="1"/>
  <c r="X40" i="32" a="1"/>
  <c r="X40" i="32" s="1"/>
  <c r="X39" i="32"/>
  <c r="X39" i="32" a="1"/>
  <c r="X38" i="32" a="1"/>
  <c r="X38" i="32" s="1"/>
  <c r="X37" i="32" a="1"/>
  <c r="X37" i="32" s="1"/>
  <c r="X36" i="32" a="1"/>
  <c r="X36" i="32" s="1"/>
  <c r="X35" i="32" a="1"/>
  <c r="X35" i="32" s="1"/>
  <c r="X34" i="32" a="1"/>
  <c r="X34" i="32" s="1"/>
  <c r="X33" i="32"/>
  <c r="X33" i="32" a="1"/>
  <c r="X32" i="32" a="1"/>
  <c r="X32" i="32" s="1"/>
  <c r="X31" i="32" a="1"/>
  <c r="X31" i="32" s="1"/>
  <c r="X30" i="32" a="1"/>
  <c r="X30" i="32" s="1"/>
  <c r="X29" i="32" a="1"/>
  <c r="X29" i="32" s="1"/>
  <c r="X28" i="32" a="1"/>
  <c r="X28" i="32" s="1"/>
  <c r="X27" i="32"/>
  <c r="X27" i="32" a="1"/>
  <c r="X26" i="32" a="1"/>
  <c r="X26" i="32" s="1"/>
  <c r="X25" i="32" a="1"/>
  <c r="X25" i="32" s="1"/>
  <c r="X24" i="32" a="1"/>
  <c r="X24" i="32" s="1"/>
  <c r="X23" i="32" a="1"/>
  <c r="X23" i="32" s="1"/>
  <c r="X22" i="32" a="1"/>
  <c r="X22" i="32" s="1"/>
  <c r="X21" i="32"/>
  <c r="X21" i="32" a="1"/>
  <c r="X20" i="32" a="1"/>
  <c r="X20" i="32" s="1"/>
  <c r="X19" i="32" a="1"/>
  <c r="X19" i="32" s="1"/>
  <c r="X18" i="32" a="1"/>
  <c r="X18" i="32" s="1"/>
  <c r="X17" i="32" a="1"/>
  <c r="X17" i="32" s="1"/>
  <c r="X16" i="32" a="1"/>
  <c r="X16" i="32" s="1"/>
  <c r="X15" i="32"/>
  <c r="X15" i="32" a="1"/>
  <c r="X14" i="32" a="1"/>
  <c r="X14" i="32" s="1"/>
  <c r="X13" i="32" a="1"/>
  <c r="X13" i="32" s="1"/>
  <c r="X12" i="32" a="1"/>
  <c r="X12" i="32" s="1"/>
  <c r="X11" i="32" a="1"/>
  <c r="X11" i="32" s="1"/>
  <c r="X10" i="32" a="1"/>
  <c r="X10" i="32" s="1"/>
  <c r="X9" i="32"/>
  <c r="X9" i="32" a="1"/>
  <c r="X8" i="32" a="1"/>
  <c r="X8" i="32" s="1"/>
  <c r="X7" i="32" a="1"/>
  <c r="X7" i="32" s="1"/>
  <c r="X6" i="32" a="1"/>
  <c r="X6" i="32" s="1"/>
  <c r="X5" i="32"/>
  <c r="L115" i="32" a="1"/>
  <c r="L115" i="32" s="1"/>
  <c r="L114" i="32" a="1"/>
  <c r="L114" i="32" s="1"/>
  <c r="L113" i="32" a="1"/>
  <c r="L113" i="32" s="1"/>
  <c r="L112" i="32"/>
  <c r="L112" i="32" a="1"/>
  <c r="L111" i="32" a="1"/>
  <c r="L111" i="32" s="1"/>
  <c r="L110" i="32" a="1"/>
  <c r="L110" i="32" s="1"/>
  <c r="L109" i="32" a="1"/>
  <c r="L109" i="32" s="1"/>
  <c r="L108" i="32" a="1"/>
  <c r="L108" i="32" s="1"/>
  <c r="L107" i="32" a="1"/>
  <c r="L107" i="32" s="1"/>
  <c r="L106" i="32" a="1"/>
  <c r="L106" i="32" s="1"/>
  <c r="L105" i="32" a="1"/>
  <c r="L105" i="32" s="1"/>
  <c r="L104" i="32" a="1"/>
  <c r="L104" i="32" s="1"/>
  <c r="L103" i="32" a="1"/>
  <c r="L103" i="32" s="1"/>
  <c r="L102" i="32" a="1"/>
  <c r="L102" i="32" s="1"/>
  <c r="L101" i="32" a="1"/>
  <c r="L101" i="32" s="1"/>
  <c r="L100" i="32" a="1"/>
  <c r="L100" i="32" s="1"/>
  <c r="L99" i="32" a="1"/>
  <c r="L99" i="32" s="1"/>
  <c r="L98" i="32" a="1"/>
  <c r="L98" i="32" s="1"/>
  <c r="L97" i="32" a="1"/>
  <c r="L97" i="32" s="1"/>
  <c r="L96" i="32" a="1"/>
  <c r="L96" i="32" s="1"/>
  <c r="L95" i="32" a="1"/>
  <c r="L95" i="32" s="1"/>
  <c r="L94" i="32" a="1"/>
  <c r="L94" i="32" s="1"/>
  <c r="L93" i="32" a="1"/>
  <c r="L93" i="32" s="1"/>
  <c r="L92" i="32" a="1"/>
  <c r="L92" i="32" s="1"/>
  <c r="L91" i="32" a="1"/>
  <c r="L91" i="32" s="1"/>
  <c r="L90" i="32" a="1"/>
  <c r="L90" i="32" s="1"/>
  <c r="L89" i="32" a="1"/>
  <c r="L89" i="32" s="1"/>
  <c r="L88" i="32" a="1"/>
  <c r="L88" i="32" s="1"/>
  <c r="L87" i="32" a="1"/>
  <c r="L87" i="32" s="1"/>
  <c r="L86" i="32" a="1"/>
  <c r="L86" i="32" s="1"/>
  <c r="L85" i="32" a="1"/>
  <c r="L85" i="32" s="1"/>
  <c r="L84" i="32" a="1"/>
  <c r="L84" i="32" s="1"/>
  <c r="L83" i="32" a="1"/>
  <c r="L83" i="32" s="1"/>
  <c r="L82" i="32" a="1"/>
  <c r="L82" i="32" s="1"/>
  <c r="L81" i="32" a="1"/>
  <c r="L81" i="32" s="1"/>
  <c r="L80" i="32" a="1"/>
  <c r="L80" i="32" s="1"/>
  <c r="L79" i="32" a="1"/>
  <c r="L79" i="32" s="1"/>
  <c r="L78" i="32" a="1"/>
  <c r="L78" i="32" s="1"/>
  <c r="L77" i="32" a="1"/>
  <c r="L77" i="32" s="1"/>
  <c r="L76" i="32" a="1"/>
  <c r="L76" i="32" s="1"/>
  <c r="L75" i="32" a="1"/>
  <c r="L75" i="32" s="1"/>
  <c r="L74" i="32" a="1"/>
  <c r="L74" i="32" s="1"/>
  <c r="L73" i="32" a="1"/>
  <c r="L73" i="32" s="1"/>
  <c r="L72" i="32" a="1"/>
  <c r="L72" i="32" s="1"/>
  <c r="L71" i="32" a="1"/>
  <c r="L71" i="32" s="1"/>
  <c r="L70" i="32" a="1"/>
  <c r="L70" i="32" s="1"/>
  <c r="L69" i="32" a="1"/>
  <c r="L69" i="32" s="1"/>
  <c r="L68" i="32" a="1"/>
  <c r="L68" i="32" s="1"/>
  <c r="L67" i="32" a="1"/>
  <c r="L67" i="32" s="1"/>
  <c r="L66" i="32" a="1"/>
  <c r="L66" i="32" s="1"/>
  <c r="L65" i="32" a="1"/>
  <c r="L65" i="32" s="1"/>
  <c r="L64" i="32" a="1"/>
  <c r="L64" i="32" s="1"/>
  <c r="L63" i="32" a="1"/>
  <c r="L63" i="32" s="1"/>
  <c r="L62" i="32" a="1"/>
  <c r="L62" i="32" s="1"/>
  <c r="L61" i="32" a="1"/>
  <c r="L61" i="32" s="1"/>
  <c r="L60" i="32" a="1"/>
  <c r="L60" i="32" s="1"/>
  <c r="L59" i="32" a="1"/>
  <c r="L59" i="32" s="1"/>
  <c r="L58" i="32" a="1"/>
  <c r="L58" i="32" s="1"/>
  <c r="L57" i="32" a="1"/>
  <c r="L57" i="32" s="1"/>
  <c r="L56" i="32" a="1"/>
  <c r="L56" i="32" s="1"/>
  <c r="L55" i="32" a="1"/>
  <c r="L55" i="32" s="1"/>
  <c r="L54" i="32" a="1"/>
  <c r="L54" i="32" s="1"/>
  <c r="L53" i="32" a="1"/>
  <c r="L53" i="32" s="1"/>
  <c r="L52" i="32" a="1"/>
  <c r="L52" i="32" s="1"/>
  <c r="L51" i="32" a="1"/>
  <c r="L51" i="32" s="1"/>
  <c r="L50" i="32" a="1"/>
  <c r="L50" i="32" s="1"/>
  <c r="L49" i="32" a="1"/>
  <c r="L49" i="32" s="1"/>
  <c r="L48" i="32" a="1"/>
  <c r="L48" i="32" s="1"/>
  <c r="L47" i="32" a="1"/>
  <c r="L47" i="32" s="1"/>
  <c r="L46" i="32" a="1"/>
  <c r="L46" i="32" s="1"/>
  <c r="L45" i="32" a="1"/>
  <c r="L45" i="32" s="1"/>
  <c r="L44" i="32" a="1"/>
  <c r="L44" i="32" s="1"/>
  <c r="L43" i="32" a="1"/>
  <c r="L43" i="32" s="1"/>
  <c r="L42" i="32" a="1"/>
  <c r="L42" i="32" s="1"/>
  <c r="L41" i="32" a="1"/>
  <c r="L41" i="32" s="1"/>
  <c r="L40" i="32" a="1"/>
  <c r="L40" i="32" s="1"/>
  <c r="L39" i="32" a="1"/>
  <c r="L39" i="32" s="1"/>
  <c r="L38" i="32" a="1"/>
  <c r="L38" i="32" s="1"/>
  <c r="L37" i="32" a="1"/>
  <c r="L37" i="32" s="1"/>
  <c r="L36" i="32" a="1"/>
  <c r="L36" i="32" s="1"/>
  <c r="L35" i="32" a="1"/>
  <c r="L35" i="32" s="1"/>
  <c r="L34" i="32" a="1"/>
  <c r="L34" i="32" s="1"/>
  <c r="L33" i="32" a="1"/>
  <c r="L33" i="32" s="1"/>
  <c r="L32" i="32" a="1"/>
  <c r="L32" i="32" s="1"/>
  <c r="L31" i="32" a="1"/>
  <c r="L31" i="32" s="1"/>
  <c r="L30" i="32" a="1"/>
  <c r="L30" i="32" s="1"/>
  <c r="L29" i="32" a="1"/>
  <c r="L29" i="32" s="1"/>
  <c r="L28" i="32" a="1"/>
  <c r="L28" i="32" s="1"/>
  <c r="L27" i="32" a="1"/>
  <c r="L27" i="32" s="1"/>
  <c r="L26" i="32" a="1"/>
  <c r="L26" i="32" s="1"/>
  <c r="L25" i="32" a="1"/>
  <c r="L25" i="32" s="1"/>
  <c r="L24" i="32" a="1"/>
  <c r="L24" i="32" s="1"/>
  <c r="L23" i="32" a="1"/>
  <c r="L23" i="32" s="1"/>
  <c r="L22" i="32" a="1"/>
  <c r="L22" i="32" s="1"/>
  <c r="L21" i="32" a="1"/>
  <c r="L21" i="32" s="1"/>
  <c r="L20" i="32" a="1"/>
  <c r="L20" i="32" s="1"/>
  <c r="L19" i="32" a="1"/>
  <c r="L19" i="32" s="1"/>
  <c r="L18" i="32" a="1"/>
  <c r="L18" i="32" s="1"/>
  <c r="L17" i="32" a="1"/>
  <c r="L17" i="32" s="1"/>
  <c r="L16" i="32" a="1"/>
  <c r="L16" i="32" s="1"/>
  <c r="L15" i="32" a="1"/>
  <c r="L15" i="32" s="1"/>
  <c r="L14" i="32" a="1"/>
  <c r="L14" i="32" s="1"/>
  <c r="L13" i="32" a="1"/>
  <c r="L13" i="32" s="1"/>
  <c r="L12" i="32" a="1"/>
  <c r="L12" i="32" s="1"/>
  <c r="L11" i="32" a="1"/>
  <c r="L11" i="32" s="1"/>
  <c r="L10" i="32" a="1"/>
  <c r="L10" i="32" s="1"/>
  <c r="L9" i="32" a="1"/>
  <c r="L9" i="32" s="1"/>
  <c r="L8" i="32" a="1"/>
  <c r="L8" i="32" s="1"/>
  <c r="L7" i="32" a="1"/>
  <c r="L7" i="32" s="1"/>
  <c r="L6" i="32" a="1"/>
  <c r="L6" i="32" s="1"/>
  <c r="L5" i="32"/>
  <c r="X115" i="4" a="1"/>
  <c r="X115" i="4" s="1"/>
  <c r="X114" i="4" a="1"/>
  <c r="X114" i="4" s="1"/>
  <c r="X113" i="4" a="1"/>
  <c r="X113" i="4" s="1"/>
  <c r="X112" i="4" a="1"/>
  <c r="X112" i="4" s="1"/>
  <c r="X111" i="4" a="1"/>
  <c r="X111" i="4" s="1"/>
  <c r="X110" i="4"/>
  <c r="X110" i="4" a="1"/>
  <c r="X109" i="4" a="1"/>
  <c r="X109" i="4" s="1"/>
  <c r="X108" i="4" a="1"/>
  <c r="X108" i="4" s="1"/>
  <c r="X107" i="4" a="1"/>
  <c r="X107" i="4" s="1"/>
  <c r="X106" i="4" a="1"/>
  <c r="X106" i="4" s="1"/>
  <c r="X105" i="4" a="1"/>
  <c r="X105" i="4" s="1"/>
  <c r="X104" i="4"/>
  <c r="X104" i="4" a="1"/>
  <c r="X103" i="4" a="1"/>
  <c r="X103" i="4" s="1"/>
  <c r="X102" i="4" a="1"/>
  <c r="X102" i="4" s="1"/>
  <c r="X101" i="4" a="1"/>
  <c r="X101" i="4" s="1"/>
  <c r="X100" i="4" a="1"/>
  <c r="X100" i="4" s="1"/>
  <c r="X99" i="4" a="1"/>
  <c r="X99" i="4" s="1"/>
  <c r="X98" i="4"/>
  <c r="X98" i="4" a="1"/>
  <c r="X97" i="4" a="1"/>
  <c r="X97" i="4" s="1"/>
  <c r="X96" i="4" a="1"/>
  <c r="X96" i="4" s="1"/>
  <c r="X95" i="4" a="1"/>
  <c r="X95" i="4" s="1"/>
  <c r="X94" i="4" a="1"/>
  <c r="X94" i="4" s="1"/>
  <c r="X93" i="4" a="1"/>
  <c r="X93" i="4" s="1"/>
  <c r="X92" i="4"/>
  <c r="X92" i="4" a="1"/>
  <c r="X91" i="4" a="1"/>
  <c r="X91" i="4" s="1"/>
  <c r="X90" i="4" a="1"/>
  <c r="X90" i="4" s="1"/>
  <c r="X89" i="4" a="1"/>
  <c r="X89" i="4" s="1"/>
  <c r="X88" i="4" a="1"/>
  <c r="X88" i="4" s="1"/>
  <c r="X87" i="4" a="1"/>
  <c r="X87" i="4" s="1"/>
  <c r="X86" i="4"/>
  <c r="X86" i="4" a="1"/>
  <c r="X85" i="4" a="1"/>
  <c r="X85" i="4" s="1"/>
  <c r="X84" i="4" a="1"/>
  <c r="X84" i="4" s="1"/>
  <c r="X83" i="4" a="1"/>
  <c r="X83" i="4" s="1"/>
  <c r="X82" i="4" a="1"/>
  <c r="X82" i="4" s="1"/>
  <c r="X81" i="4" a="1"/>
  <c r="X81" i="4" s="1"/>
  <c r="X80" i="4"/>
  <c r="X80" i="4" a="1"/>
  <c r="X79" i="4" a="1"/>
  <c r="X79" i="4" s="1"/>
  <c r="X78" i="4" a="1"/>
  <c r="X78" i="4" s="1"/>
  <c r="X77" i="4" a="1"/>
  <c r="X77" i="4" s="1"/>
  <c r="X76" i="4" a="1"/>
  <c r="X76" i="4" s="1"/>
  <c r="X75" i="4" a="1"/>
  <c r="X75" i="4" s="1"/>
  <c r="X74" i="4"/>
  <c r="X74" i="4" a="1"/>
  <c r="X73" i="4" a="1"/>
  <c r="X73" i="4" s="1"/>
  <c r="X72" i="4" a="1"/>
  <c r="X72" i="4" s="1"/>
  <c r="X71" i="4" a="1"/>
  <c r="X71" i="4" s="1"/>
  <c r="X70" i="4" a="1"/>
  <c r="X70" i="4" s="1"/>
  <c r="X69" i="4" a="1"/>
  <c r="X69" i="4" s="1"/>
  <c r="X68" i="4"/>
  <c r="X68" i="4" a="1"/>
  <c r="X67" i="4" a="1"/>
  <c r="X67" i="4" s="1"/>
  <c r="X66" i="4" a="1"/>
  <c r="X66" i="4" s="1"/>
  <c r="X65" i="4" a="1"/>
  <c r="X65" i="4" s="1"/>
  <c r="X64" i="4" a="1"/>
  <c r="X64" i="4" s="1"/>
  <c r="X63" i="4" a="1"/>
  <c r="X63" i="4" s="1"/>
  <c r="X62" i="4"/>
  <c r="X62" i="4" a="1"/>
  <c r="X61" i="4" a="1"/>
  <c r="X61" i="4" s="1"/>
  <c r="X60" i="4" a="1"/>
  <c r="X60" i="4" s="1"/>
  <c r="X59" i="4" a="1"/>
  <c r="X59" i="4" s="1"/>
  <c r="X58" i="4" a="1"/>
  <c r="X58" i="4" s="1"/>
  <c r="X57" i="4" a="1"/>
  <c r="X57" i="4" s="1"/>
  <c r="X56" i="4"/>
  <c r="X56" i="4" a="1"/>
  <c r="X55" i="4" a="1"/>
  <c r="X55" i="4" s="1"/>
  <c r="X54" i="4" a="1"/>
  <c r="X54" i="4" s="1"/>
  <c r="X53" i="4" a="1"/>
  <c r="X53" i="4" s="1"/>
  <c r="X52" i="4" a="1"/>
  <c r="X52" i="4" s="1"/>
  <c r="X51" i="4" a="1"/>
  <c r="X51" i="4" s="1"/>
  <c r="X50" i="4"/>
  <c r="X50" i="4" a="1"/>
  <c r="X49" i="4" a="1"/>
  <c r="X49" i="4" s="1"/>
  <c r="X48" i="4" a="1"/>
  <c r="X48" i="4" s="1"/>
  <c r="X47" i="4" a="1"/>
  <c r="X47" i="4" s="1"/>
  <c r="X46" i="4" a="1"/>
  <c r="X46" i="4" s="1"/>
  <c r="X45" i="4" a="1"/>
  <c r="X45" i="4" s="1"/>
  <c r="X44" i="4"/>
  <c r="X44" i="4" a="1"/>
  <c r="X43" i="4" a="1"/>
  <c r="X43" i="4" s="1"/>
  <c r="X42" i="4" a="1"/>
  <c r="X42" i="4" s="1"/>
  <c r="X41" i="4" a="1"/>
  <c r="X41" i="4" s="1"/>
  <c r="X40" i="4" a="1"/>
  <c r="X40" i="4" s="1"/>
  <c r="X39" i="4" a="1"/>
  <c r="X39" i="4" s="1"/>
  <c r="X38" i="4"/>
  <c r="X38" i="4" a="1"/>
  <c r="X37" i="4" a="1"/>
  <c r="X37" i="4" s="1"/>
  <c r="X36" i="4" a="1"/>
  <c r="X36" i="4" s="1"/>
  <c r="X35" i="4" a="1"/>
  <c r="X35" i="4" s="1"/>
  <c r="X34" i="4" a="1"/>
  <c r="X34" i="4" s="1"/>
  <c r="X33" i="4" a="1"/>
  <c r="X33" i="4" s="1"/>
  <c r="X32" i="4"/>
  <c r="X32" i="4" a="1"/>
  <c r="X31" i="4" a="1"/>
  <c r="X31" i="4" s="1"/>
  <c r="X30" i="4" a="1"/>
  <c r="X30" i="4" s="1"/>
  <c r="X29" i="4" a="1"/>
  <c r="X29" i="4" s="1"/>
  <c r="X28" i="4" a="1"/>
  <c r="X28" i="4" s="1"/>
  <c r="X27" i="4" a="1"/>
  <c r="X27" i="4" s="1"/>
  <c r="X26" i="4"/>
  <c r="X26" i="4" a="1"/>
  <c r="X25" i="4" a="1"/>
  <c r="X25" i="4" s="1"/>
  <c r="X24" i="4" a="1"/>
  <c r="X24" i="4" s="1"/>
  <c r="X23" i="4" a="1"/>
  <c r="X23" i="4" s="1"/>
  <c r="X22" i="4" a="1"/>
  <c r="X22" i="4" s="1"/>
  <c r="X21" i="4" a="1"/>
  <c r="X21" i="4" s="1"/>
  <c r="X20" i="4"/>
  <c r="X20" i="4" a="1"/>
  <c r="X19" i="4" a="1"/>
  <c r="X19" i="4" s="1"/>
  <c r="X18" i="4" a="1"/>
  <c r="X18" i="4" s="1"/>
  <c r="X17" i="4" a="1"/>
  <c r="X17" i="4" s="1"/>
  <c r="X16" i="4" a="1"/>
  <c r="X16" i="4" s="1"/>
  <c r="X15" i="4" a="1"/>
  <c r="X15" i="4" s="1"/>
  <c r="X14" i="4"/>
  <c r="X14" i="4" a="1"/>
  <c r="X13" i="4" a="1"/>
  <c r="X13" i="4" s="1"/>
  <c r="X12" i="4" a="1"/>
  <c r="X12" i="4" s="1"/>
  <c r="X11" i="4" a="1"/>
  <c r="X11" i="4" s="1"/>
  <c r="X10" i="4" a="1"/>
  <c r="X10" i="4" s="1"/>
  <c r="X9" i="4" a="1"/>
  <c r="X9" i="4" s="1"/>
  <c r="X8" i="4"/>
  <c r="X8" i="4" a="1"/>
  <c r="X7" i="4" a="1"/>
  <c r="X7" i="4" s="1"/>
  <c r="X6" i="4" a="1"/>
  <c r="X6" i="4" s="1"/>
  <c r="X5" i="4"/>
  <c r="L115" i="4" a="1"/>
  <c r="L115" i="4" s="1"/>
  <c r="L114" i="4" a="1"/>
  <c r="L114" i="4" s="1"/>
  <c r="L113" i="4"/>
  <c r="L113" i="4" a="1"/>
  <c r="L112" i="4" a="1"/>
  <c r="L112" i="4" s="1"/>
  <c r="L111" i="4" a="1"/>
  <c r="L111" i="4" s="1"/>
  <c r="L110" i="4"/>
  <c r="L110" i="4" a="1"/>
  <c r="L109" i="4" a="1"/>
  <c r="L109" i="4" s="1"/>
  <c r="L108" i="4" a="1"/>
  <c r="L108" i="4" s="1"/>
  <c r="L107" i="4" a="1"/>
  <c r="L107" i="4" s="1"/>
  <c r="L106" i="4" a="1"/>
  <c r="L106" i="4" s="1"/>
  <c r="L105" i="4" a="1"/>
  <c r="L105" i="4" s="1"/>
  <c r="L104" i="4"/>
  <c r="L104" i="4" a="1"/>
  <c r="L103" i="4" a="1"/>
  <c r="L103" i="4" s="1"/>
  <c r="L102" i="4" a="1"/>
  <c r="L102" i="4" s="1"/>
  <c r="L101" i="4" a="1"/>
  <c r="L101" i="4" s="1"/>
  <c r="L100" i="4" a="1"/>
  <c r="L100" i="4" s="1"/>
  <c r="L99" i="4" a="1"/>
  <c r="L99" i="4" s="1"/>
  <c r="L98" i="4"/>
  <c r="L98" i="4" a="1"/>
  <c r="L97" i="4" a="1"/>
  <c r="L97" i="4" s="1"/>
  <c r="L96" i="4" a="1"/>
  <c r="L96" i="4" s="1"/>
  <c r="L95" i="4" a="1"/>
  <c r="L95" i="4" s="1"/>
  <c r="L94" i="4" a="1"/>
  <c r="L94" i="4" s="1"/>
  <c r="L93" i="4" a="1"/>
  <c r="L93" i="4" s="1"/>
  <c r="L92" i="4"/>
  <c r="L92" i="4" a="1"/>
  <c r="L91" i="4" a="1"/>
  <c r="L91" i="4" s="1"/>
  <c r="L90" i="4" a="1"/>
  <c r="L90" i="4" s="1"/>
  <c r="L89" i="4" a="1"/>
  <c r="L89" i="4" s="1"/>
  <c r="L88" i="4" a="1"/>
  <c r="L88" i="4" s="1"/>
  <c r="L87" i="4" a="1"/>
  <c r="L87" i="4" s="1"/>
  <c r="L86" i="4"/>
  <c r="L86" i="4" a="1"/>
  <c r="L85" i="4" a="1"/>
  <c r="L85" i="4" s="1"/>
  <c r="L84" i="4" a="1"/>
  <c r="L84" i="4" s="1"/>
  <c r="L83" i="4" a="1"/>
  <c r="L83" i="4" s="1"/>
  <c r="L82" i="4" a="1"/>
  <c r="L82" i="4" s="1"/>
  <c r="L81" i="4" a="1"/>
  <c r="L81" i="4" s="1"/>
  <c r="L80" i="4"/>
  <c r="L80" i="4" a="1"/>
  <c r="L79" i="4" a="1"/>
  <c r="L79" i="4" s="1"/>
  <c r="L78" i="4" a="1"/>
  <c r="L78" i="4" s="1"/>
  <c r="L77" i="4" a="1"/>
  <c r="L77" i="4" s="1"/>
  <c r="L76" i="4" a="1"/>
  <c r="L76" i="4" s="1"/>
  <c r="L75" i="4" a="1"/>
  <c r="L75" i="4" s="1"/>
  <c r="L74" i="4"/>
  <c r="L74" i="4" a="1"/>
  <c r="L73" i="4" a="1"/>
  <c r="L73" i="4" s="1"/>
  <c r="L72" i="4" a="1"/>
  <c r="L72" i="4" s="1"/>
  <c r="L71" i="4" a="1"/>
  <c r="L71" i="4" s="1"/>
  <c r="L70" i="4" a="1"/>
  <c r="L70" i="4" s="1"/>
  <c r="L69" i="4" a="1"/>
  <c r="L69" i="4" s="1"/>
  <c r="L68" i="4"/>
  <c r="L68" i="4" a="1"/>
  <c r="L67" i="4" a="1"/>
  <c r="L67" i="4" s="1"/>
  <c r="L66" i="4" a="1"/>
  <c r="L66" i="4" s="1"/>
  <c r="L65" i="4" a="1"/>
  <c r="L65" i="4" s="1"/>
  <c r="L64" i="4" a="1"/>
  <c r="L64" i="4" s="1"/>
  <c r="L63" i="4" a="1"/>
  <c r="L63" i="4" s="1"/>
  <c r="L62" i="4"/>
  <c r="L62" i="4" a="1"/>
  <c r="L61" i="4" a="1"/>
  <c r="L61" i="4" s="1"/>
  <c r="L60" i="4" a="1"/>
  <c r="L60" i="4" s="1"/>
  <c r="L59" i="4" a="1"/>
  <c r="L59" i="4" s="1"/>
  <c r="L58" i="4" a="1"/>
  <c r="L58" i="4" s="1"/>
  <c r="L57" i="4" a="1"/>
  <c r="L57" i="4" s="1"/>
  <c r="L56" i="4"/>
  <c r="L56" i="4" a="1"/>
  <c r="L55" i="4" a="1"/>
  <c r="L55" i="4" s="1"/>
  <c r="L54" i="4" a="1"/>
  <c r="L54" i="4" s="1"/>
  <c r="L53" i="4" a="1"/>
  <c r="L53" i="4" s="1"/>
  <c r="L52" i="4" a="1"/>
  <c r="L52" i="4" s="1"/>
  <c r="L51" i="4" a="1"/>
  <c r="L51" i="4" s="1"/>
  <c r="L50" i="4"/>
  <c r="L50" i="4" a="1"/>
  <c r="L49" i="4" a="1"/>
  <c r="L49" i="4" s="1"/>
  <c r="L48" i="4" a="1"/>
  <c r="L48" i="4" s="1"/>
  <c r="L47" i="4" a="1"/>
  <c r="L47" i="4" s="1"/>
  <c r="L46" i="4" a="1"/>
  <c r="L46" i="4" s="1"/>
  <c r="L45" i="4" a="1"/>
  <c r="L45" i="4" s="1"/>
  <c r="L44" i="4" a="1"/>
  <c r="L44" i="4" s="1"/>
  <c r="L43" i="4" a="1"/>
  <c r="L43" i="4" s="1"/>
  <c r="L42" i="4" a="1"/>
  <c r="L42" i="4" s="1"/>
  <c r="L41" i="4" a="1"/>
  <c r="L41" i="4" s="1"/>
  <c r="L40" i="4" a="1"/>
  <c r="L40" i="4" s="1"/>
  <c r="L39" i="4" a="1"/>
  <c r="L39" i="4" s="1"/>
  <c r="L38" i="4" a="1"/>
  <c r="L38" i="4" s="1"/>
  <c r="L37" i="4" a="1"/>
  <c r="L37" i="4" s="1"/>
  <c r="L36" i="4" a="1"/>
  <c r="L36" i="4" s="1"/>
  <c r="L35" i="4" a="1"/>
  <c r="L35" i="4" s="1"/>
  <c r="L34" i="4" a="1"/>
  <c r="L34" i="4" s="1"/>
  <c r="L33" i="4" a="1"/>
  <c r="L33" i="4" s="1"/>
  <c r="L32" i="4" a="1"/>
  <c r="L32" i="4" s="1"/>
  <c r="L31" i="4" a="1"/>
  <c r="L31" i="4" s="1"/>
  <c r="L30" i="4" a="1"/>
  <c r="L30" i="4" s="1"/>
  <c r="L29" i="4" a="1"/>
  <c r="L29" i="4" s="1"/>
  <c r="L28" i="4" a="1"/>
  <c r="L28" i="4" s="1"/>
  <c r="L27" i="4" a="1"/>
  <c r="L27" i="4" s="1"/>
  <c r="L26" i="4" a="1"/>
  <c r="L26" i="4" s="1"/>
  <c r="L25" i="4" a="1"/>
  <c r="L25" i="4" s="1"/>
  <c r="L24" i="4" a="1"/>
  <c r="L24" i="4" s="1"/>
  <c r="L23" i="4" a="1"/>
  <c r="L23" i="4" s="1"/>
  <c r="L22" i="4" a="1"/>
  <c r="L22" i="4" s="1"/>
  <c r="L21" i="4" a="1"/>
  <c r="L21" i="4" s="1"/>
  <c r="L20" i="4" a="1"/>
  <c r="L20" i="4" s="1"/>
  <c r="L19" i="4" a="1"/>
  <c r="L19" i="4" s="1"/>
  <c r="L18" i="4" a="1"/>
  <c r="L18" i="4" s="1"/>
  <c r="L17" i="4" a="1"/>
  <c r="L17" i="4" s="1"/>
  <c r="L16" i="4" a="1"/>
  <c r="L16" i="4" s="1"/>
  <c r="L15" i="4" a="1"/>
  <c r="L15" i="4" s="1"/>
  <c r="L14" i="4" a="1"/>
  <c r="L14" i="4" s="1"/>
  <c r="L13" i="4" a="1"/>
  <c r="L13" i="4" s="1"/>
  <c r="L12" i="4" a="1"/>
  <c r="L12" i="4" s="1"/>
  <c r="L11" i="4" a="1"/>
  <c r="L11" i="4" s="1"/>
  <c r="L10" i="4" a="1"/>
  <c r="L10" i="4" s="1"/>
  <c r="L9" i="4" a="1"/>
  <c r="L9" i="4" s="1"/>
  <c r="L8" i="4" a="1"/>
  <c r="L8" i="4" s="1"/>
  <c r="L7" i="4" a="1"/>
  <c r="L7" i="4" s="1"/>
  <c r="L6" i="4" a="1"/>
  <c r="L6" i="4" s="1"/>
  <c r="L5" i="4"/>
  <c r="X115" i="15" a="1"/>
  <c r="X115" i="15" s="1"/>
  <c r="X114" i="15" a="1"/>
  <c r="X114" i="15" s="1"/>
  <c r="X113" i="15" a="1"/>
  <c r="X113" i="15" s="1"/>
  <c r="X112" i="15" a="1"/>
  <c r="X112" i="15" s="1"/>
  <c r="X111" i="15" a="1"/>
  <c r="X111" i="15" s="1"/>
  <c r="X110" i="15"/>
  <c r="X110" i="15" a="1"/>
  <c r="X109" i="15" a="1"/>
  <c r="X109" i="15" s="1"/>
  <c r="X108" i="15" a="1"/>
  <c r="X108" i="15" s="1"/>
  <c r="X107" i="15" a="1"/>
  <c r="X107" i="15" s="1"/>
  <c r="X106" i="15" a="1"/>
  <c r="X106" i="15" s="1"/>
  <c r="X105" i="15" a="1"/>
  <c r="X105" i="15" s="1"/>
  <c r="X104" i="15"/>
  <c r="X104" i="15" a="1"/>
  <c r="X103" i="15" a="1"/>
  <c r="X103" i="15" s="1"/>
  <c r="X102" i="15" a="1"/>
  <c r="X102" i="15" s="1"/>
  <c r="X101" i="15" a="1"/>
  <c r="X101" i="15" s="1"/>
  <c r="X100" i="15" a="1"/>
  <c r="X100" i="15" s="1"/>
  <c r="X99" i="15" a="1"/>
  <c r="X99" i="15" s="1"/>
  <c r="X98" i="15"/>
  <c r="X98" i="15" a="1"/>
  <c r="X97" i="15" a="1"/>
  <c r="X97" i="15" s="1"/>
  <c r="X96" i="15" a="1"/>
  <c r="X96" i="15" s="1"/>
  <c r="X95" i="15" a="1"/>
  <c r="X95" i="15" s="1"/>
  <c r="X94" i="15" a="1"/>
  <c r="X94" i="15" s="1"/>
  <c r="X93" i="15" a="1"/>
  <c r="X93" i="15" s="1"/>
  <c r="X92" i="15"/>
  <c r="X92" i="15" a="1"/>
  <c r="X91" i="15" a="1"/>
  <c r="X91" i="15" s="1"/>
  <c r="X90" i="15" a="1"/>
  <c r="X90" i="15" s="1"/>
  <c r="X89" i="15" a="1"/>
  <c r="X89" i="15" s="1"/>
  <c r="X88" i="15" a="1"/>
  <c r="X88" i="15" s="1"/>
  <c r="X87" i="15" a="1"/>
  <c r="X87" i="15" s="1"/>
  <c r="X86" i="15"/>
  <c r="X86" i="15" a="1"/>
  <c r="X85" i="15" a="1"/>
  <c r="X85" i="15" s="1"/>
  <c r="X84" i="15" a="1"/>
  <c r="X84" i="15" s="1"/>
  <c r="X83" i="15" a="1"/>
  <c r="X83" i="15" s="1"/>
  <c r="X82" i="15" a="1"/>
  <c r="X82" i="15" s="1"/>
  <c r="X81" i="15" a="1"/>
  <c r="X81" i="15" s="1"/>
  <c r="X80" i="15"/>
  <c r="X80" i="15" a="1"/>
  <c r="X79" i="15" a="1"/>
  <c r="X79" i="15" s="1"/>
  <c r="X78" i="15" a="1"/>
  <c r="X78" i="15" s="1"/>
  <c r="X77" i="15" a="1"/>
  <c r="X77" i="15" s="1"/>
  <c r="X76" i="15" a="1"/>
  <c r="X76" i="15" s="1"/>
  <c r="X75" i="15" a="1"/>
  <c r="X75" i="15" s="1"/>
  <c r="X74" i="15"/>
  <c r="X74" i="15" a="1"/>
  <c r="X73" i="15" a="1"/>
  <c r="X73" i="15" s="1"/>
  <c r="X72" i="15" a="1"/>
  <c r="X72" i="15" s="1"/>
  <c r="X71" i="15" a="1"/>
  <c r="X71" i="15" s="1"/>
  <c r="X70" i="15" a="1"/>
  <c r="X70" i="15" s="1"/>
  <c r="X69" i="15" a="1"/>
  <c r="X69" i="15" s="1"/>
  <c r="X68" i="15"/>
  <c r="X68" i="15" a="1"/>
  <c r="X67" i="15" a="1"/>
  <c r="X67" i="15" s="1"/>
  <c r="X66" i="15" a="1"/>
  <c r="X66" i="15" s="1"/>
  <c r="X65" i="15" a="1"/>
  <c r="X65" i="15" s="1"/>
  <c r="X64" i="15" a="1"/>
  <c r="X64" i="15" s="1"/>
  <c r="X63" i="15" a="1"/>
  <c r="X63" i="15" s="1"/>
  <c r="X62" i="15"/>
  <c r="X62" i="15" a="1"/>
  <c r="X61" i="15" a="1"/>
  <c r="X61" i="15" s="1"/>
  <c r="X60" i="15" a="1"/>
  <c r="X60" i="15" s="1"/>
  <c r="X59" i="15" a="1"/>
  <c r="X59" i="15" s="1"/>
  <c r="X58" i="15" a="1"/>
  <c r="X58" i="15" s="1"/>
  <c r="X57" i="15" a="1"/>
  <c r="X57" i="15" s="1"/>
  <c r="X56" i="15"/>
  <c r="X56" i="15" a="1"/>
  <c r="X55" i="15" a="1"/>
  <c r="X55" i="15" s="1"/>
  <c r="X54" i="15" a="1"/>
  <c r="X54" i="15" s="1"/>
  <c r="X53" i="15" a="1"/>
  <c r="X53" i="15" s="1"/>
  <c r="X52" i="15" a="1"/>
  <c r="X52" i="15" s="1"/>
  <c r="X51" i="15" a="1"/>
  <c r="X51" i="15" s="1"/>
  <c r="X50" i="15"/>
  <c r="X50" i="15" a="1"/>
  <c r="X49" i="15" a="1"/>
  <c r="X49" i="15" s="1"/>
  <c r="X48" i="15" a="1"/>
  <c r="X48" i="15" s="1"/>
  <c r="X47" i="15" a="1"/>
  <c r="X47" i="15" s="1"/>
  <c r="X46" i="15" a="1"/>
  <c r="X46" i="15" s="1"/>
  <c r="X45" i="15" a="1"/>
  <c r="X45" i="15" s="1"/>
  <c r="X44" i="15"/>
  <c r="X44" i="15" a="1"/>
  <c r="X43" i="15" a="1"/>
  <c r="X43" i="15" s="1"/>
  <c r="X42" i="15" a="1"/>
  <c r="X42" i="15" s="1"/>
  <c r="X41" i="15" a="1"/>
  <c r="X41" i="15" s="1"/>
  <c r="X40" i="15" a="1"/>
  <c r="X40" i="15" s="1"/>
  <c r="X39" i="15" a="1"/>
  <c r="X39" i="15" s="1"/>
  <c r="X38" i="15"/>
  <c r="X38" i="15" a="1"/>
  <c r="X37" i="15" a="1"/>
  <c r="X37" i="15" s="1"/>
  <c r="X36" i="15" a="1"/>
  <c r="X36" i="15" s="1"/>
  <c r="X35" i="15" a="1"/>
  <c r="X35" i="15" s="1"/>
  <c r="X34" i="15" a="1"/>
  <c r="X34" i="15" s="1"/>
  <c r="X33" i="15" a="1"/>
  <c r="X33" i="15" s="1"/>
  <c r="X32" i="15"/>
  <c r="X32" i="15" a="1"/>
  <c r="X31" i="15" a="1"/>
  <c r="X31" i="15" s="1"/>
  <c r="X30" i="15" a="1"/>
  <c r="X30" i="15" s="1"/>
  <c r="X29" i="15" a="1"/>
  <c r="X29" i="15" s="1"/>
  <c r="X28" i="15" a="1"/>
  <c r="X28" i="15" s="1"/>
  <c r="X27" i="15" a="1"/>
  <c r="X27" i="15" s="1"/>
  <c r="X26" i="15"/>
  <c r="X26" i="15" a="1"/>
  <c r="X25" i="15" a="1"/>
  <c r="X25" i="15" s="1"/>
  <c r="X24" i="15" a="1"/>
  <c r="X24" i="15" s="1"/>
  <c r="X23" i="15" a="1"/>
  <c r="X23" i="15" s="1"/>
  <c r="X22" i="15" a="1"/>
  <c r="X22" i="15" s="1"/>
  <c r="X21" i="15" a="1"/>
  <c r="X21" i="15" s="1"/>
  <c r="X20" i="15"/>
  <c r="X20" i="15" a="1"/>
  <c r="X19" i="15" a="1"/>
  <c r="X19" i="15" s="1"/>
  <c r="X18" i="15" a="1"/>
  <c r="X18" i="15" s="1"/>
  <c r="X17" i="15" a="1"/>
  <c r="X17" i="15" s="1"/>
  <c r="X16" i="15" a="1"/>
  <c r="X16" i="15" s="1"/>
  <c r="X15" i="15" a="1"/>
  <c r="X15" i="15" s="1"/>
  <c r="X14" i="15"/>
  <c r="X14" i="15" a="1"/>
  <c r="X13" i="15" a="1"/>
  <c r="X13" i="15" s="1"/>
  <c r="X12" i="15" a="1"/>
  <c r="X12" i="15" s="1"/>
  <c r="X11" i="15" a="1"/>
  <c r="X11" i="15" s="1"/>
  <c r="X10" i="15" a="1"/>
  <c r="X10" i="15" s="1"/>
  <c r="X9" i="15" a="1"/>
  <c r="X9" i="15" s="1"/>
  <c r="X8" i="15"/>
  <c r="X8" i="15" a="1"/>
  <c r="X7" i="15" a="1"/>
  <c r="X7" i="15" s="1"/>
  <c r="X6" i="15" a="1"/>
  <c r="X6" i="15" s="1"/>
  <c r="X5" i="15"/>
  <c r="L115" i="15" a="1"/>
  <c r="L115" i="15" s="1"/>
  <c r="L114" i="15" a="1"/>
  <c r="L114" i="15" s="1"/>
  <c r="L113" i="15" a="1"/>
  <c r="L113" i="15" s="1"/>
  <c r="L112" i="15" a="1"/>
  <c r="L112" i="15" s="1"/>
  <c r="L111" i="15" a="1"/>
  <c r="L111" i="15" s="1"/>
  <c r="L110" i="15"/>
  <c r="L110" i="15" a="1"/>
  <c r="L109" i="15" a="1"/>
  <c r="L109" i="15" s="1"/>
  <c r="L108" i="15" a="1"/>
  <c r="L108" i="15" s="1"/>
  <c r="L107" i="15" a="1"/>
  <c r="L107" i="15" s="1"/>
  <c r="L106" i="15" a="1"/>
  <c r="L106" i="15" s="1"/>
  <c r="L105" i="15" a="1"/>
  <c r="L105" i="15" s="1"/>
  <c r="L104" i="15"/>
  <c r="L104" i="15" a="1"/>
  <c r="L103" i="15" a="1"/>
  <c r="L103" i="15" s="1"/>
  <c r="L102" i="15" a="1"/>
  <c r="L102" i="15" s="1"/>
  <c r="L101" i="15" a="1"/>
  <c r="L101" i="15" s="1"/>
  <c r="L100" i="15" a="1"/>
  <c r="L100" i="15" s="1"/>
  <c r="L99" i="15" a="1"/>
  <c r="L99" i="15" s="1"/>
  <c r="L98" i="15"/>
  <c r="L98" i="15" a="1"/>
  <c r="L97" i="15" a="1"/>
  <c r="L97" i="15" s="1"/>
  <c r="L96" i="15" a="1"/>
  <c r="L96" i="15" s="1"/>
  <c r="L95" i="15" a="1"/>
  <c r="L95" i="15" s="1"/>
  <c r="L94" i="15" a="1"/>
  <c r="L94" i="15" s="1"/>
  <c r="L93" i="15" a="1"/>
  <c r="L93" i="15" s="1"/>
  <c r="L92" i="15"/>
  <c r="L92" i="15" a="1"/>
  <c r="L91" i="15" a="1"/>
  <c r="L91" i="15" s="1"/>
  <c r="L90" i="15" a="1"/>
  <c r="L90" i="15" s="1"/>
  <c r="L89" i="15" a="1"/>
  <c r="L89" i="15" s="1"/>
  <c r="L88" i="15" a="1"/>
  <c r="L88" i="15" s="1"/>
  <c r="L87" i="15" a="1"/>
  <c r="L87" i="15" s="1"/>
  <c r="L86" i="15"/>
  <c r="L86" i="15" a="1"/>
  <c r="L85" i="15" a="1"/>
  <c r="L85" i="15" s="1"/>
  <c r="L84" i="15" a="1"/>
  <c r="L84" i="15" s="1"/>
  <c r="L83" i="15" a="1"/>
  <c r="L83" i="15" s="1"/>
  <c r="L82" i="15" a="1"/>
  <c r="L82" i="15" s="1"/>
  <c r="L81" i="15" a="1"/>
  <c r="L81" i="15" s="1"/>
  <c r="L80" i="15"/>
  <c r="L80" i="15" a="1"/>
  <c r="L79" i="15" a="1"/>
  <c r="L79" i="15" s="1"/>
  <c r="L78" i="15" a="1"/>
  <c r="L78" i="15" s="1"/>
  <c r="L77" i="15" a="1"/>
  <c r="L77" i="15" s="1"/>
  <c r="L76" i="15" a="1"/>
  <c r="L76" i="15" s="1"/>
  <c r="L75" i="15" a="1"/>
  <c r="L75" i="15" s="1"/>
  <c r="L74" i="15"/>
  <c r="L74" i="15" a="1"/>
  <c r="L73" i="15" a="1"/>
  <c r="L73" i="15" s="1"/>
  <c r="L72" i="15" a="1"/>
  <c r="L72" i="15" s="1"/>
  <c r="L71" i="15" a="1"/>
  <c r="L71" i="15" s="1"/>
  <c r="L70" i="15" a="1"/>
  <c r="L70" i="15" s="1"/>
  <c r="L69" i="15" a="1"/>
  <c r="L69" i="15" s="1"/>
  <c r="L68" i="15"/>
  <c r="L68" i="15" a="1"/>
  <c r="L67" i="15" a="1"/>
  <c r="L67" i="15" s="1"/>
  <c r="L66" i="15" a="1"/>
  <c r="L66" i="15" s="1"/>
  <c r="L65" i="15" a="1"/>
  <c r="L65" i="15" s="1"/>
  <c r="L64" i="15" a="1"/>
  <c r="L64" i="15" s="1"/>
  <c r="L63" i="15" a="1"/>
  <c r="L63" i="15" s="1"/>
  <c r="L62" i="15"/>
  <c r="L62" i="15" a="1"/>
  <c r="L61" i="15" a="1"/>
  <c r="L61" i="15" s="1"/>
  <c r="L60" i="15" a="1"/>
  <c r="L60" i="15" s="1"/>
  <c r="L59" i="15" a="1"/>
  <c r="L59" i="15" s="1"/>
  <c r="L58" i="15" a="1"/>
  <c r="L58" i="15" s="1"/>
  <c r="L57" i="15" a="1"/>
  <c r="L57" i="15" s="1"/>
  <c r="L56" i="15"/>
  <c r="L56" i="15" a="1"/>
  <c r="L55" i="15" a="1"/>
  <c r="L55" i="15" s="1"/>
  <c r="L54" i="15" a="1"/>
  <c r="L54" i="15" s="1"/>
  <c r="L53" i="15" a="1"/>
  <c r="L53" i="15" s="1"/>
  <c r="L52" i="15" a="1"/>
  <c r="L52" i="15" s="1"/>
  <c r="L51" i="15" a="1"/>
  <c r="L51" i="15" s="1"/>
  <c r="L50" i="15"/>
  <c r="L50" i="15" a="1"/>
  <c r="L49" i="15" a="1"/>
  <c r="L49" i="15" s="1"/>
  <c r="L48" i="15" a="1"/>
  <c r="L48" i="15" s="1"/>
  <c r="L47" i="15" a="1"/>
  <c r="L47" i="15" s="1"/>
  <c r="L46" i="15" a="1"/>
  <c r="L46" i="15" s="1"/>
  <c r="L45" i="15" a="1"/>
  <c r="L45" i="15" s="1"/>
  <c r="L44" i="15"/>
  <c r="L44" i="15" a="1"/>
  <c r="L43" i="15" a="1"/>
  <c r="L43" i="15" s="1"/>
  <c r="L42" i="15" a="1"/>
  <c r="L42" i="15" s="1"/>
  <c r="L41" i="15" a="1"/>
  <c r="L41" i="15" s="1"/>
  <c r="L40" i="15" a="1"/>
  <c r="L40" i="15" s="1"/>
  <c r="L39" i="15" a="1"/>
  <c r="L39" i="15" s="1"/>
  <c r="L38" i="15"/>
  <c r="L38" i="15" a="1"/>
  <c r="L37" i="15" a="1"/>
  <c r="L37" i="15" s="1"/>
  <c r="L36" i="15" a="1"/>
  <c r="L36" i="15" s="1"/>
  <c r="L35" i="15" a="1"/>
  <c r="L35" i="15" s="1"/>
  <c r="L34" i="15" a="1"/>
  <c r="L34" i="15" s="1"/>
  <c r="L33" i="15" a="1"/>
  <c r="L33" i="15" s="1"/>
  <c r="L32" i="15"/>
  <c r="L32" i="15" a="1"/>
  <c r="L31" i="15" a="1"/>
  <c r="L31" i="15" s="1"/>
  <c r="L30" i="15" a="1"/>
  <c r="L30" i="15" s="1"/>
  <c r="L29" i="15" a="1"/>
  <c r="L29" i="15" s="1"/>
  <c r="L28" i="15" a="1"/>
  <c r="L28" i="15" s="1"/>
  <c r="L27" i="15" a="1"/>
  <c r="L27" i="15" s="1"/>
  <c r="L26" i="15"/>
  <c r="L26" i="15" a="1"/>
  <c r="L25" i="15" a="1"/>
  <c r="L25" i="15" s="1"/>
  <c r="L24" i="15" a="1"/>
  <c r="L24" i="15" s="1"/>
  <c r="L23" i="15" a="1"/>
  <c r="L23" i="15" s="1"/>
  <c r="L22" i="15" a="1"/>
  <c r="L22" i="15" s="1"/>
  <c r="L21" i="15" a="1"/>
  <c r="L21" i="15" s="1"/>
  <c r="L20" i="15"/>
  <c r="L20" i="15" a="1"/>
  <c r="L19" i="15" a="1"/>
  <c r="L19" i="15" s="1"/>
  <c r="L18" i="15" a="1"/>
  <c r="L18" i="15" s="1"/>
  <c r="L17" i="15" a="1"/>
  <c r="L17" i="15" s="1"/>
  <c r="L16" i="15" a="1"/>
  <c r="L16" i="15" s="1"/>
  <c r="L15" i="15" a="1"/>
  <c r="L15" i="15" s="1"/>
  <c r="L14" i="15"/>
  <c r="L14" i="15" a="1"/>
  <c r="L13" i="15" a="1"/>
  <c r="L13" i="15" s="1"/>
  <c r="L12" i="15" a="1"/>
  <c r="L12" i="15" s="1"/>
  <c r="L11" i="15" a="1"/>
  <c r="L11" i="15" s="1"/>
  <c r="L10" i="15" a="1"/>
  <c r="L10" i="15" s="1"/>
  <c r="L9" i="15" a="1"/>
  <c r="L9" i="15" s="1"/>
  <c r="L8" i="15"/>
  <c r="L8" i="15" a="1"/>
  <c r="L7" i="15" a="1"/>
  <c r="L7" i="15" s="1"/>
  <c r="L6" i="15" a="1"/>
  <c r="L6" i="15" s="1"/>
  <c r="L5" i="15"/>
  <c r="L115" i="1" a="1"/>
  <c r="L115" i="1" s="1"/>
  <c r="L114" i="1" a="1"/>
  <c r="L114" i="1" s="1"/>
  <c r="L113" i="1" a="1"/>
  <c r="L113" i="1" s="1"/>
  <c r="L112" i="1" a="1"/>
  <c r="L112" i="1" s="1"/>
  <c r="L111" i="1" a="1"/>
  <c r="L111" i="1" s="1"/>
  <c r="L110" i="1" a="1"/>
  <c r="L110" i="1" s="1"/>
  <c r="L109" i="1" a="1"/>
  <c r="L109" i="1" s="1"/>
  <c r="L108" i="1" a="1"/>
  <c r="L108" i="1" s="1"/>
  <c r="L107" i="1" a="1"/>
  <c r="L107" i="1" s="1"/>
  <c r="L106" i="1" a="1"/>
  <c r="L106" i="1" s="1"/>
  <c r="L105" i="1" a="1"/>
  <c r="L105" i="1" s="1"/>
  <c r="L104" i="1" a="1"/>
  <c r="L104" i="1" s="1"/>
  <c r="L103" i="1" a="1"/>
  <c r="L103" i="1" s="1"/>
  <c r="L102" i="1" a="1"/>
  <c r="L102" i="1" s="1"/>
  <c r="L101" i="1" a="1"/>
  <c r="L101" i="1" s="1"/>
  <c r="L100" i="1" a="1"/>
  <c r="L100" i="1" s="1"/>
  <c r="L99" i="1" a="1"/>
  <c r="L99" i="1" s="1"/>
  <c r="L98" i="1" a="1"/>
  <c r="L98" i="1" s="1"/>
  <c r="L97" i="1" a="1"/>
  <c r="L97" i="1" s="1"/>
  <c r="L96" i="1" a="1"/>
  <c r="L96" i="1" s="1"/>
  <c r="L95" i="1" a="1"/>
  <c r="L95" i="1" s="1"/>
  <c r="L94" i="1" a="1"/>
  <c r="L94" i="1" s="1"/>
  <c r="L93" i="1" a="1"/>
  <c r="L93" i="1" s="1"/>
  <c r="L92" i="1" a="1"/>
  <c r="L92" i="1" s="1"/>
  <c r="L91" i="1" a="1"/>
  <c r="L91" i="1" s="1"/>
  <c r="L90" i="1" a="1"/>
  <c r="L90" i="1" s="1"/>
  <c r="L89" i="1" a="1"/>
  <c r="L89" i="1" s="1"/>
  <c r="L88" i="1" a="1"/>
  <c r="L88" i="1" s="1"/>
  <c r="L87" i="1" a="1"/>
  <c r="L87" i="1" s="1"/>
  <c r="L86" i="1" a="1"/>
  <c r="L86" i="1" s="1"/>
  <c r="L85" i="1" a="1"/>
  <c r="L85" i="1" s="1"/>
  <c r="L84" i="1" a="1"/>
  <c r="L84" i="1" s="1"/>
  <c r="L83" i="1" a="1"/>
  <c r="L83" i="1" s="1"/>
  <c r="L82" i="1" a="1"/>
  <c r="L82" i="1" s="1"/>
  <c r="L81" i="1" a="1"/>
  <c r="L81" i="1" s="1"/>
  <c r="L80" i="1" a="1"/>
  <c r="L80" i="1" s="1"/>
  <c r="L79" i="1" a="1"/>
  <c r="L79" i="1" s="1"/>
  <c r="L78" i="1" a="1"/>
  <c r="L78" i="1" s="1"/>
  <c r="L77" i="1" a="1"/>
  <c r="L77" i="1" s="1"/>
  <c r="L76" i="1" a="1"/>
  <c r="L76" i="1" s="1"/>
  <c r="L75" i="1" a="1"/>
  <c r="L75" i="1" s="1"/>
  <c r="L74" i="1" a="1"/>
  <c r="L74" i="1" s="1"/>
  <c r="L73" i="1" a="1"/>
  <c r="L73" i="1" s="1"/>
  <c r="L72" i="1" a="1"/>
  <c r="L72" i="1" s="1"/>
  <c r="L71" i="1" a="1"/>
  <c r="L71" i="1" s="1"/>
  <c r="L70" i="1" a="1"/>
  <c r="L70" i="1" s="1"/>
  <c r="L69" i="1" a="1"/>
  <c r="L69" i="1" s="1"/>
  <c r="L68" i="1" a="1"/>
  <c r="L68" i="1" s="1"/>
  <c r="L67" i="1" a="1"/>
  <c r="L67" i="1" s="1"/>
  <c r="L66" i="1" a="1"/>
  <c r="L66" i="1" s="1"/>
  <c r="L65" i="1" a="1"/>
  <c r="L65" i="1" s="1"/>
  <c r="L64" i="1" a="1"/>
  <c r="L64" i="1" s="1"/>
  <c r="L63" i="1" a="1"/>
  <c r="L63" i="1" s="1"/>
  <c r="L62" i="1" a="1"/>
  <c r="L62" i="1" s="1"/>
  <c r="L61" i="1" a="1"/>
  <c r="L61" i="1" s="1"/>
  <c r="L60" i="1" a="1"/>
  <c r="L60" i="1" s="1"/>
  <c r="L59" i="1" a="1"/>
  <c r="L59" i="1" s="1"/>
  <c r="L58" i="1" a="1"/>
  <c r="L58" i="1" s="1"/>
  <c r="L57" i="1" a="1"/>
  <c r="L57" i="1" s="1"/>
  <c r="L56" i="1" a="1"/>
  <c r="L56" i="1" s="1"/>
  <c r="L55" i="1" a="1"/>
  <c r="L55" i="1" s="1"/>
  <c r="L54" i="1" a="1"/>
  <c r="L54" i="1" s="1"/>
  <c r="L53" i="1" a="1"/>
  <c r="L53" i="1" s="1"/>
  <c r="L52" i="1" a="1"/>
  <c r="L52" i="1" s="1"/>
  <c r="L51" i="1" a="1"/>
  <c r="L51" i="1" s="1"/>
  <c r="L50" i="1" a="1"/>
  <c r="L50" i="1" s="1"/>
  <c r="L49" i="1" a="1"/>
  <c r="L49" i="1" s="1"/>
  <c r="L48" i="1" a="1"/>
  <c r="L48" i="1" s="1"/>
  <c r="L47" i="1" a="1"/>
  <c r="L47" i="1" s="1"/>
  <c r="L46" i="1" a="1"/>
  <c r="L46" i="1" s="1"/>
  <c r="L45" i="1" a="1"/>
  <c r="L45" i="1" s="1"/>
  <c r="L44" i="1" a="1"/>
  <c r="L44" i="1" s="1"/>
  <c r="L43" i="1" a="1"/>
  <c r="L43" i="1" s="1"/>
  <c r="L42" i="1" a="1"/>
  <c r="L42" i="1" s="1"/>
  <c r="L41" i="1" a="1"/>
  <c r="L41" i="1" s="1"/>
  <c r="L40" i="1" a="1"/>
  <c r="L40" i="1" s="1"/>
  <c r="L39" i="1" a="1"/>
  <c r="L39" i="1" s="1"/>
  <c r="L38" i="1" a="1"/>
  <c r="L38" i="1" s="1"/>
  <c r="L37" i="1" a="1"/>
  <c r="L37" i="1" s="1"/>
  <c r="L36" i="1" a="1"/>
  <c r="L36" i="1" s="1"/>
  <c r="L35" i="1" a="1"/>
  <c r="L35" i="1" s="1"/>
  <c r="L34" i="1" a="1"/>
  <c r="L34" i="1" s="1"/>
  <c r="L33" i="1" a="1"/>
  <c r="L33" i="1" s="1"/>
  <c r="L32" i="1" a="1"/>
  <c r="L32" i="1" s="1"/>
  <c r="L31" i="1" a="1"/>
  <c r="L31" i="1" s="1"/>
  <c r="L30" i="1" a="1"/>
  <c r="L30" i="1" s="1"/>
  <c r="L29" i="1" a="1"/>
  <c r="L29" i="1" s="1"/>
  <c r="L28" i="1" a="1"/>
  <c r="L28" i="1" s="1"/>
  <c r="L27" i="1" a="1"/>
  <c r="L27" i="1" s="1"/>
  <c r="L26" i="1" a="1"/>
  <c r="L26" i="1" s="1"/>
  <c r="L25" i="1" a="1"/>
  <c r="L25" i="1" s="1"/>
  <c r="L24" i="1" a="1"/>
  <c r="L24" i="1" s="1"/>
  <c r="L23" i="1" a="1"/>
  <c r="L23" i="1" s="1"/>
  <c r="L22" i="1" a="1"/>
  <c r="L22" i="1" s="1"/>
  <c r="L21" i="1" a="1"/>
  <c r="L21" i="1" s="1"/>
  <c r="L20" i="1" a="1"/>
  <c r="L20" i="1" s="1"/>
  <c r="L19" i="1" a="1"/>
  <c r="L19" i="1" s="1"/>
  <c r="L18" i="1" a="1"/>
  <c r="L18" i="1" s="1"/>
  <c r="L17" i="1" a="1"/>
  <c r="L17" i="1" s="1"/>
  <c r="L16" i="1" a="1"/>
  <c r="L16" i="1" s="1"/>
  <c r="L15" i="1" a="1"/>
  <c r="L15" i="1" s="1"/>
  <c r="L14" i="1" a="1"/>
  <c r="L14" i="1" s="1"/>
  <c r="L13" i="1" a="1"/>
  <c r="L13" i="1" s="1"/>
  <c r="L12" i="1" a="1"/>
  <c r="L12" i="1" s="1"/>
  <c r="L11" i="1" a="1"/>
  <c r="L11" i="1" s="1"/>
  <c r="L10" i="1" a="1"/>
  <c r="L10" i="1" s="1"/>
  <c r="L9" i="1" a="1"/>
  <c r="L9" i="1" s="1"/>
  <c r="L8" i="1" a="1"/>
  <c r="L8" i="1" s="1"/>
  <c r="L7" i="1" a="1"/>
  <c r="L7" i="1" s="1"/>
  <c r="L6" i="1" a="1"/>
  <c r="L6" i="1" s="1"/>
  <c r="L5" i="1"/>
  <c r="X115" i="1"/>
  <c r="X115" i="1" a="1"/>
  <c r="X114" i="1" a="1"/>
  <c r="X114" i="1" s="1"/>
  <c r="X113" i="1" a="1"/>
  <c r="X113" i="1" s="1"/>
  <c r="X112" i="1" a="1"/>
  <c r="X112" i="1" s="1"/>
  <c r="X111" i="1" a="1"/>
  <c r="X111" i="1" s="1"/>
  <c r="X110" i="1"/>
  <c r="X110" i="1" a="1"/>
  <c r="X109" i="1"/>
  <c r="X109" i="1" a="1"/>
  <c r="X108" i="1" a="1"/>
  <c r="X108" i="1" s="1"/>
  <c r="X107" i="1" a="1"/>
  <c r="X107" i="1" s="1"/>
  <c r="X106" i="1" a="1"/>
  <c r="X106" i="1" s="1"/>
  <c r="X105" i="1" a="1"/>
  <c r="X105" i="1" s="1"/>
  <c r="X104" i="1"/>
  <c r="X104" i="1" a="1"/>
  <c r="X103" i="1"/>
  <c r="X103" i="1" a="1"/>
  <c r="X102" i="1" a="1"/>
  <c r="X102" i="1" s="1"/>
  <c r="X101" i="1" a="1"/>
  <c r="X101" i="1" s="1"/>
  <c r="X100" i="1" a="1"/>
  <c r="X100" i="1" s="1"/>
  <c r="X99" i="1" a="1"/>
  <c r="X99" i="1" s="1"/>
  <c r="X98" i="1"/>
  <c r="X98" i="1" a="1"/>
  <c r="X97" i="1"/>
  <c r="X97" i="1" a="1"/>
  <c r="X96" i="1" a="1"/>
  <c r="X96" i="1" s="1"/>
  <c r="X95" i="1" a="1"/>
  <c r="X95" i="1" s="1"/>
  <c r="X94" i="1" a="1"/>
  <c r="X94" i="1" s="1"/>
  <c r="X93" i="1" a="1"/>
  <c r="X93" i="1" s="1"/>
  <c r="X92" i="1"/>
  <c r="X92" i="1" a="1"/>
  <c r="X91" i="1"/>
  <c r="X91" i="1" a="1"/>
  <c r="X90" i="1" a="1"/>
  <c r="X90" i="1" s="1"/>
  <c r="X89" i="1" a="1"/>
  <c r="X89" i="1" s="1"/>
  <c r="X88" i="1" a="1"/>
  <c r="X88" i="1" s="1"/>
  <c r="X87" i="1" a="1"/>
  <c r="X87" i="1" s="1"/>
  <c r="X86" i="1"/>
  <c r="X86" i="1" a="1"/>
  <c r="X85" i="1"/>
  <c r="X85" i="1" a="1"/>
  <c r="X84" i="1" a="1"/>
  <c r="X84" i="1" s="1"/>
  <c r="X83" i="1" a="1"/>
  <c r="X83" i="1" s="1"/>
  <c r="X82" i="1" a="1"/>
  <c r="X82" i="1" s="1"/>
  <c r="X81" i="1" a="1"/>
  <c r="X81" i="1" s="1"/>
  <c r="X80" i="1"/>
  <c r="X80" i="1" a="1"/>
  <c r="X79" i="1"/>
  <c r="X79" i="1" a="1"/>
  <c r="X78" i="1" a="1"/>
  <c r="X78" i="1" s="1"/>
  <c r="X77" i="1" a="1"/>
  <c r="X77" i="1" s="1"/>
  <c r="X76" i="1" a="1"/>
  <c r="X76" i="1" s="1"/>
  <c r="X75" i="1" a="1"/>
  <c r="X75" i="1" s="1"/>
  <c r="X74" i="1"/>
  <c r="X74" i="1" a="1"/>
  <c r="X73" i="1"/>
  <c r="X73" i="1" a="1"/>
  <c r="X72" i="1" a="1"/>
  <c r="X72" i="1" s="1"/>
  <c r="X71" i="1" a="1"/>
  <c r="X71" i="1" s="1"/>
  <c r="X70" i="1" a="1"/>
  <c r="X70" i="1" s="1"/>
  <c r="X69" i="1" a="1"/>
  <c r="X69" i="1" s="1"/>
  <c r="X68" i="1"/>
  <c r="X68" i="1" a="1"/>
  <c r="X67" i="1"/>
  <c r="X67" i="1" a="1"/>
  <c r="X66" i="1" a="1"/>
  <c r="X66" i="1" s="1"/>
  <c r="X65" i="1" a="1"/>
  <c r="X65" i="1" s="1"/>
  <c r="X64" i="1" a="1"/>
  <c r="X64" i="1" s="1"/>
  <c r="X63" i="1" a="1"/>
  <c r="X63" i="1" s="1"/>
  <c r="X62" i="1"/>
  <c r="X62" i="1" a="1"/>
  <c r="X61" i="1" a="1"/>
  <c r="X61" i="1" s="1"/>
  <c r="X60" i="1" a="1"/>
  <c r="X60" i="1" s="1"/>
  <c r="X59" i="1" a="1"/>
  <c r="X59" i="1" s="1"/>
  <c r="X58" i="1" a="1"/>
  <c r="X58" i="1" s="1"/>
  <c r="X57" i="1" a="1"/>
  <c r="X57" i="1" s="1"/>
  <c r="X56" i="1"/>
  <c r="X56" i="1" a="1"/>
  <c r="X55" i="1" a="1"/>
  <c r="X55" i="1" s="1"/>
  <c r="X54" i="1" a="1"/>
  <c r="X54" i="1" s="1"/>
  <c r="X53" i="1" a="1"/>
  <c r="X53" i="1" s="1"/>
  <c r="X52" i="1" a="1"/>
  <c r="X52" i="1" s="1"/>
  <c r="X51" i="1" a="1"/>
  <c r="X51" i="1" s="1"/>
  <c r="X50" i="1"/>
  <c r="X50" i="1" a="1"/>
  <c r="X49" i="1" a="1"/>
  <c r="X49" i="1" s="1"/>
  <c r="X48" i="1" a="1"/>
  <c r="X48" i="1" s="1"/>
  <c r="X47" i="1" a="1"/>
  <c r="X47" i="1" s="1"/>
  <c r="X46" i="1" a="1"/>
  <c r="X46" i="1" s="1"/>
  <c r="X45" i="1" a="1"/>
  <c r="X45" i="1" s="1"/>
  <c r="X44" i="1"/>
  <c r="X44" i="1" a="1"/>
  <c r="X43" i="1" a="1"/>
  <c r="X43" i="1" s="1"/>
  <c r="X42" i="1" a="1"/>
  <c r="X42" i="1" s="1"/>
  <c r="X41" i="1" a="1"/>
  <c r="X41" i="1" s="1"/>
  <c r="X40" i="1" a="1"/>
  <c r="X40" i="1" s="1"/>
  <c r="X39" i="1" a="1"/>
  <c r="X39" i="1" s="1"/>
  <c r="X38" i="1"/>
  <c r="X38" i="1" a="1"/>
  <c r="X37" i="1" a="1"/>
  <c r="X37" i="1" s="1"/>
  <c r="X36" i="1" a="1"/>
  <c r="X36" i="1" s="1"/>
  <c r="X35" i="1" a="1"/>
  <c r="X35" i="1" s="1"/>
  <c r="X34" i="1" a="1"/>
  <c r="X34" i="1" s="1"/>
  <c r="X33" i="1" a="1"/>
  <c r="X33" i="1" s="1"/>
  <c r="X32" i="1"/>
  <c r="X32" i="1" a="1"/>
  <c r="X31" i="1" a="1"/>
  <c r="X31" i="1" s="1"/>
  <c r="X30" i="1" a="1"/>
  <c r="X30" i="1" s="1"/>
  <c r="X29" i="1" a="1"/>
  <c r="X29" i="1" s="1"/>
  <c r="X28" i="1" a="1"/>
  <c r="X28" i="1" s="1"/>
  <c r="X27" i="1" a="1"/>
  <c r="X27" i="1" s="1"/>
  <c r="X26" i="1"/>
  <c r="X26" i="1" a="1"/>
  <c r="X25" i="1" a="1"/>
  <c r="X25" i="1" s="1"/>
  <c r="X24" i="1" a="1"/>
  <c r="X24" i="1" s="1"/>
  <c r="X23" i="1" a="1"/>
  <c r="X23" i="1" s="1"/>
  <c r="X22" i="1" a="1"/>
  <c r="X22" i="1" s="1"/>
  <c r="X21" i="1" a="1"/>
  <c r="X21" i="1" s="1"/>
  <c r="X20" i="1"/>
  <c r="X20" i="1" a="1"/>
  <c r="X19" i="1" a="1"/>
  <c r="X19" i="1" s="1"/>
  <c r="X18" i="1" a="1"/>
  <c r="X18" i="1" s="1"/>
  <c r="X17" i="1" a="1"/>
  <c r="X17" i="1" s="1"/>
  <c r="X16" i="1" a="1"/>
  <c r="X16" i="1" s="1"/>
  <c r="X15" i="1" a="1"/>
  <c r="X15" i="1" s="1"/>
  <c r="X14" i="1"/>
  <c r="X14" i="1" a="1"/>
  <c r="X13" i="1" a="1"/>
  <c r="X13" i="1" s="1"/>
  <c r="X12" i="1" a="1"/>
  <c r="X12" i="1" s="1"/>
  <c r="X11" i="1" a="1"/>
  <c r="X11" i="1" s="1"/>
  <c r="X10" i="1" a="1"/>
  <c r="X10" i="1" s="1"/>
  <c r="X9" i="1" a="1"/>
  <c r="X9" i="1" s="1"/>
  <c r="X8" i="1"/>
  <c r="X8" i="1" a="1"/>
  <c r="X7" i="1" a="1"/>
  <c r="X7" i="1" s="1"/>
  <c r="X6" i="1" a="1"/>
  <c r="X6" i="1" s="1"/>
  <c r="X5" i="1"/>
  <c r="L115" i="19" a="1"/>
  <c r="L115" i="19" s="1"/>
  <c r="L114" i="19" a="1"/>
  <c r="L114" i="19" s="1"/>
  <c r="L113" i="19" a="1"/>
  <c r="L113" i="19" s="1"/>
  <c r="L112" i="19" a="1"/>
  <c r="L112" i="19" s="1"/>
  <c r="L111" i="19" a="1"/>
  <c r="L111" i="19" s="1"/>
  <c r="L110" i="19" a="1"/>
  <c r="L110" i="19" s="1"/>
  <c r="L109" i="19" a="1"/>
  <c r="L109" i="19" s="1"/>
  <c r="L108" i="19" a="1"/>
  <c r="L108" i="19" s="1"/>
  <c r="L107" i="19" a="1"/>
  <c r="L107" i="19" s="1"/>
  <c r="L106" i="19" a="1"/>
  <c r="L106" i="19" s="1"/>
  <c r="L105" i="19" a="1"/>
  <c r="L105" i="19" s="1"/>
  <c r="L104" i="19" a="1"/>
  <c r="L104" i="19" s="1"/>
  <c r="L103" i="19" a="1"/>
  <c r="L103" i="19" s="1"/>
  <c r="L102" i="19" a="1"/>
  <c r="L102" i="19" s="1"/>
  <c r="L101" i="19" a="1"/>
  <c r="L101" i="19" s="1"/>
  <c r="L100" i="19" a="1"/>
  <c r="L100" i="19" s="1"/>
  <c r="L99" i="19" a="1"/>
  <c r="L99" i="19" s="1"/>
  <c r="L98" i="19" a="1"/>
  <c r="L98" i="19" s="1"/>
  <c r="L97" i="19" a="1"/>
  <c r="L97" i="19" s="1"/>
  <c r="L96" i="19" a="1"/>
  <c r="L96" i="19" s="1"/>
  <c r="L95" i="19" a="1"/>
  <c r="L95" i="19" s="1"/>
  <c r="L94" i="19" a="1"/>
  <c r="L94" i="19" s="1"/>
  <c r="L93" i="19" a="1"/>
  <c r="L93" i="19" s="1"/>
  <c r="L92" i="19" a="1"/>
  <c r="L92" i="19" s="1"/>
  <c r="L91" i="19" a="1"/>
  <c r="L91" i="19" s="1"/>
  <c r="L90" i="19" a="1"/>
  <c r="L90" i="19" s="1"/>
  <c r="L89" i="19" a="1"/>
  <c r="L89" i="19" s="1"/>
  <c r="L88" i="19" a="1"/>
  <c r="L88" i="19" s="1"/>
  <c r="L87" i="19" a="1"/>
  <c r="L87" i="19" s="1"/>
  <c r="L86" i="19" a="1"/>
  <c r="L86" i="19" s="1"/>
  <c r="L85" i="19" a="1"/>
  <c r="L85" i="19" s="1"/>
  <c r="L84" i="19" a="1"/>
  <c r="L84" i="19" s="1"/>
  <c r="L83" i="19" a="1"/>
  <c r="L83" i="19" s="1"/>
  <c r="L82" i="19" a="1"/>
  <c r="L82" i="19" s="1"/>
  <c r="L81" i="19" a="1"/>
  <c r="L81" i="19" s="1"/>
  <c r="L80" i="19" a="1"/>
  <c r="L80" i="19" s="1"/>
  <c r="L79" i="19" a="1"/>
  <c r="L79" i="19" s="1"/>
  <c r="L78" i="19" a="1"/>
  <c r="L78" i="19" s="1"/>
  <c r="L77" i="19" a="1"/>
  <c r="L77" i="19" s="1"/>
  <c r="L76" i="19" a="1"/>
  <c r="L76" i="19" s="1"/>
  <c r="L75" i="19" a="1"/>
  <c r="L75" i="19" s="1"/>
  <c r="L74" i="19" a="1"/>
  <c r="L74" i="19" s="1"/>
  <c r="L73" i="19" a="1"/>
  <c r="L73" i="19" s="1"/>
  <c r="L72" i="19" a="1"/>
  <c r="L72" i="19" s="1"/>
  <c r="L71" i="19" a="1"/>
  <c r="L71" i="19" s="1"/>
  <c r="L70" i="19" a="1"/>
  <c r="L70" i="19" s="1"/>
  <c r="L69" i="19" a="1"/>
  <c r="L69" i="19" s="1"/>
  <c r="L68" i="19" a="1"/>
  <c r="L68" i="19" s="1"/>
  <c r="L67" i="19" a="1"/>
  <c r="L67" i="19" s="1"/>
  <c r="L66" i="19" a="1"/>
  <c r="L66" i="19" s="1"/>
  <c r="L65" i="19" a="1"/>
  <c r="L65" i="19" s="1"/>
  <c r="L64" i="19" a="1"/>
  <c r="L64" i="19" s="1"/>
  <c r="L63" i="19" a="1"/>
  <c r="L63" i="19" s="1"/>
  <c r="L62" i="19" a="1"/>
  <c r="L62" i="19" s="1"/>
  <c r="L61" i="19" a="1"/>
  <c r="L61" i="19" s="1"/>
  <c r="L60" i="19" a="1"/>
  <c r="L60" i="19" s="1"/>
  <c r="L59" i="19" a="1"/>
  <c r="L59" i="19" s="1"/>
  <c r="L58" i="19" a="1"/>
  <c r="L58" i="19" s="1"/>
  <c r="L57" i="19" a="1"/>
  <c r="L57" i="19" s="1"/>
  <c r="L56" i="19" a="1"/>
  <c r="L56" i="19" s="1"/>
  <c r="L55" i="19" a="1"/>
  <c r="L55" i="19" s="1"/>
  <c r="L54" i="19" a="1"/>
  <c r="L54" i="19" s="1"/>
  <c r="L53" i="19" a="1"/>
  <c r="L53" i="19" s="1"/>
  <c r="L52" i="19" a="1"/>
  <c r="L52" i="19" s="1"/>
  <c r="L51" i="19" a="1"/>
  <c r="L51" i="19" s="1"/>
  <c r="L50" i="19" a="1"/>
  <c r="L50" i="19" s="1"/>
  <c r="L49" i="19" a="1"/>
  <c r="L49" i="19" s="1"/>
  <c r="L48" i="19" a="1"/>
  <c r="L48" i="19" s="1"/>
  <c r="L47" i="19" a="1"/>
  <c r="L47" i="19" s="1"/>
  <c r="L46" i="19" a="1"/>
  <c r="L46" i="19" s="1"/>
  <c r="L45" i="19" a="1"/>
  <c r="L45" i="19" s="1"/>
  <c r="L44" i="19" a="1"/>
  <c r="L44" i="19" s="1"/>
  <c r="L43" i="19" a="1"/>
  <c r="L43" i="19" s="1"/>
  <c r="L42" i="19" a="1"/>
  <c r="L42" i="19" s="1"/>
  <c r="L41" i="19" a="1"/>
  <c r="L41" i="19" s="1"/>
  <c r="L40" i="19" a="1"/>
  <c r="L40" i="19" s="1"/>
  <c r="L39" i="19" a="1"/>
  <c r="L39" i="19" s="1"/>
  <c r="L38" i="19" a="1"/>
  <c r="L38" i="19" s="1"/>
  <c r="L37" i="19" a="1"/>
  <c r="L37" i="19" s="1"/>
  <c r="L36" i="19" a="1"/>
  <c r="L36" i="19" s="1"/>
  <c r="L35" i="19" a="1"/>
  <c r="L35" i="19" s="1"/>
  <c r="L34" i="19" a="1"/>
  <c r="L34" i="19" s="1"/>
  <c r="L33" i="19" a="1"/>
  <c r="L33" i="19" s="1"/>
  <c r="L32" i="19" a="1"/>
  <c r="L32" i="19" s="1"/>
  <c r="L31" i="19" a="1"/>
  <c r="L31" i="19" s="1"/>
  <c r="L30" i="19" a="1"/>
  <c r="L30" i="19" s="1"/>
  <c r="L29" i="19" a="1"/>
  <c r="L29" i="19" s="1"/>
  <c r="L28" i="19" a="1"/>
  <c r="L28" i="19" s="1"/>
  <c r="L27" i="19" a="1"/>
  <c r="L27" i="19" s="1"/>
  <c r="L26" i="19" a="1"/>
  <c r="L26" i="19" s="1"/>
  <c r="L25" i="19" a="1"/>
  <c r="L25" i="19" s="1"/>
  <c r="L24" i="19" a="1"/>
  <c r="L24" i="19" s="1"/>
  <c r="L23" i="19" a="1"/>
  <c r="L23" i="19" s="1"/>
  <c r="L22" i="19" a="1"/>
  <c r="L22" i="19" s="1"/>
  <c r="L21" i="19" a="1"/>
  <c r="L21" i="19" s="1"/>
  <c r="L20" i="19" a="1"/>
  <c r="L20" i="19" s="1"/>
  <c r="L19" i="19" a="1"/>
  <c r="L19" i="19" s="1"/>
  <c r="L18" i="19" a="1"/>
  <c r="L18" i="19" s="1"/>
  <c r="L17" i="19" a="1"/>
  <c r="L17" i="19" s="1"/>
  <c r="L16" i="19" a="1"/>
  <c r="L16" i="19" s="1"/>
  <c r="L15" i="19" a="1"/>
  <c r="L15" i="19" s="1"/>
  <c r="L14" i="19" a="1"/>
  <c r="L14" i="19" s="1"/>
  <c r="L13" i="19" a="1"/>
  <c r="L13" i="19" s="1"/>
  <c r="L12" i="19" a="1"/>
  <c r="L12" i="19" s="1"/>
  <c r="L11" i="19" a="1"/>
  <c r="L11" i="19" s="1"/>
  <c r="L10" i="19" a="1"/>
  <c r="L10" i="19" s="1"/>
  <c r="L9" i="19" a="1"/>
  <c r="L9" i="19" s="1"/>
  <c r="L8" i="19" a="1"/>
  <c r="L8" i="19" s="1"/>
  <c r="L7" i="19" a="1"/>
  <c r="L7" i="19" s="1"/>
  <c r="L6" i="19" a="1"/>
  <c r="L6" i="19" s="1"/>
  <c r="L5" i="19"/>
  <c r="CG6" i="18"/>
  <c r="CG7" i="18" s="1"/>
  <c r="CG8" i="18" s="1"/>
  <c r="CG9" i="18" s="1"/>
  <c r="CG10" i="18" s="1"/>
  <c r="CG11" i="18" s="1"/>
  <c r="CG12" i="18" s="1"/>
  <c r="CG13" i="18" s="1"/>
  <c r="CG14" i="18" s="1"/>
  <c r="CG15" i="18" s="1"/>
  <c r="CG16" i="18" s="1"/>
  <c r="CG17" i="18" s="1"/>
  <c r="CG18" i="18" s="1"/>
  <c r="CG19" i="18" s="1"/>
  <c r="CG20" i="18" s="1"/>
  <c r="CG21" i="18" s="1"/>
  <c r="CG22" i="18" s="1"/>
  <c r="CG23" i="18" s="1"/>
  <c r="CG24" i="18" s="1"/>
  <c r="CG25" i="18" s="1"/>
  <c r="CG26" i="18" s="1"/>
  <c r="CG27" i="18" s="1"/>
  <c r="CG28" i="18" s="1"/>
  <c r="CG29" i="18" s="1"/>
  <c r="CG30" i="18" s="1"/>
  <c r="CG31" i="18" s="1"/>
  <c r="CG32" i="18" s="1"/>
  <c r="CG33" i="18" s="1"/>
  <c r="CG34" i="18" s="1"/>
  <c r="CG35" i="18" s="1"/>
  <c r="CG36" i="18" s="1"/>
  <c r="CG37" i="18" s="1"/>
  <c r="CG38" i="18" s="1"/>
  <c r="CG39" i="18" s="1"/>
  <c r="CG40" i="18" s="1"/>
  <c r="CG41" i="18" s="1"/>
  <c r="CG42" i="18" s="1"/>
  <c r="CG43" i="18" s="1"/>
  <c r="CG44" i="18" s="1"/>
  <c r="CG45" i="18" s="1"/>
  <c r="CG46" i="18" s="1"/>
  <c r="CG47" i="18" s="1"/>
  <c r="CG48" i="18" s="1"/>
  <c r="CG49" i="18" s="1"/>
  <c r="CG50" i="18" s="1"/>
  <c r="CG51" i="18" s="1"/>
  <c r="CG52" i="18" s="1"/>
  <c r="CG53" i="18" s="1"/>
  <c r="CG54" i="18" s="1"/>
  <c r="CG55" i="18" s="1"/>
  <c r="CG56" i="18" s="1"/>
  <c r="CG57" i="18" s="1"/>
  <c r="CG58" i="18" s="1"/>
  <c r="CG59" i="18" s="1"/>
  <c r="CG60" i="18" s="1"/>
  <c r="CG61" i="18" s="1"/>
  <c r="CG62" i="18" s="1"/>
  <c r="CG63" i="18" s="1"/>
  <c r="CG64" i="18" s="1"/>
  <c r="CG65" i="18" s="1"/>
  <c r="CG66" i="18" s="1"/>
  <c r="CG67" i="18" s="1"/>
  <c r="CG68" i="18" s="1"/>
  <c r="CG69" i="18" s="1"/>
  <c r="CG70" i="18" s="1"/>
  <c r="CG71" i="18" s="1"/>
  <c r="CG72" i="18" s="1"/>
  <c r="CG73" i="18" s="1"/>
  <c r="CG74" i="18" s="1"/>
  <c r="CG75" i="18" s="1"/>
  <c r="CG76" i="18" s="1"/>
  <c r="CG77" i="18" s="1"/>
  <c r="CG78" i="18" s="1"/>
  <c r="CG79" i="18" s="1"/>
  <c r="CG80" i="18" s="1"/>
  <c r="CG81" i="18" s="1"/>
  <c r="CG82" i="18" s="1"/>
  <c r="CG83" i="18" s="1"/>
  <c r="CG84" i="18" s="1"/>
  <c r="CG85" i="18" s="1"/>
  <c r="CG86" i="18" s="1"/>
  <c r="CG87" i="18" s="1"/>
  <c r="CG88" i="18" s="1"/>
  <c r="CG89" i="18" s="1"/>
  <c r="CG90" i="18" s="1"/>
  <c r="CG91" i="18" s="1"/>
  <c r="CG92" i="18" s="1"/>
  <c r="CG93" i="18" s="1"/>
  <c r="CG94" i="18" s="1"/>
  <c r="CG95" i="18" s="1"/>
  <c r="CG96" i="18" s="1"/>
  <c r="CG97" i="18" s="1"/>
  <c r="CG98" i="18" s="1"/>
  <c r="CG99" i="18" s="1"/>
  <c r="CG100" i="18" s="1"/>
  <c r="CG101" i="18" s="1"/>
  <c r="CG102" i="18" s="1"/>
  <c r="CG103" i="18" s="1"/>
  <c r="CG104" i="18" s="1"/>
  <c r="CG105" i="18" s="1"/>
  <c r="CG106" i="18" s="1"/>
  <c r="CG107" i="18" s="1"/>
  <c r="CG108" i="18" s="1"/>
  <c r="CG109" i="18" s="1"/>
  <c r="CG110" i="18" s="1"/>
  <c r="CG111" i="18" s="1"/>
  <c r="CG112" i="18" s="1"/>
  <c r="CG113" i="18" s="1"/>
  <c r="CG114" i="18" s="1"/>
  <c r="CG115" i="18" s="1"/>
  <c r="BU6" i="18"/>
  <c r="BU7" i="18" s="1"/>
  <c r="BU8" i="18" s="1"/>
  <c r="BU9" i="18" s="1"/>
  <c r="BU10" i="18" s="1"/>
  <c r="BU11" i="18" s="1"/>
  <c r="BU12" i="18" s="1"/>
  <c r="BU13" i="18" s="1"/>
  <c r="BU14" i="18" s="1"/>
  <c r="BU15" i="18" s="1"/>
  <c r="BU16" i="18" s="1"/>
  <c r="BU17" i="18" s="1"/>
  <c r="BU18" i="18" s="1"/>
  <c r="BU19" i="18" s="1"/>
  <c r="BU20" i="18" s="1"/>
  <c r="BU21" i="18" s="1"/>
  <c r="BU22" i="18" s="1"/>
  <c r="BU23" i="18" s="1"/>
  <c r="BU24" i="18" s="1"/>
  <c r="BU25" i="18" s="1"/>
  <c r="BU26" i="18" s="1"/>
  <c r="BU27" i="18" s="1"/>
  <c r="BU28" i="18" s="1"/>
  <c r="BU29" i="18" s="1"/>
  <c r="BU30" i="18" s="1"/>
  <c r="BU31" i="18" s="1"/>
  <c r="BU32" i="18" s="1"/>
  <c r="BU33" i="18" s="1"/>
  <c r="BU34" i="18" s="1"/>
  <c r="BU35" i="18" s="1"/>
  <c r="BU36" i="18" s="1"/>
  <c r="BU37" i="18" s="1"/>
  <c r="BU38" i="18" s="1"/>
  <c r="BU39" i="18" s="1"/>
  <c r="BU40" i="18" s="1"/>
  <c r="BU41" i="18" s="1"/>
  <c r="BU42" i="18" s="1"/>
  <c r="BU43" i="18" s="1"/>
  <c r="BU44" i="18" s="1"/>
  <c r="BU45" i="18" s="1"/>
  <c r="BU46" i="18" s="1"/>
  <c r="BU47" i="18" s="1"/>
  <c r="BU48" i="18" s="1"/>
  <c r="BU49" i="18" s="1"/>
  <c r="BU50" i="18" s="1"/>
  <c r="BU51" i="18" s="1"/>
  <c r="BU52" i="18" s="1"/>
  <c r="BU53" i="18" s="1"/>
  <c r="BU54" i="18" s="1"/>
  <c r="BU55" i="18" s="1"/>
  <c r="BU56" i="18" s="1"/>
  <c r="BU57" i="18" s="1"/>
  <c r="BU58" i="18" s="1"/>
  <c r="BU59" i="18" s="1"/>
  <c r="BU60" i="18" s="1"/>
  <c r="BU61" i="18" s="1"/>
  <c r="BU62" i="18" s="1"/>
  <c r="BU63" i="18" s="1"/>
  <c r="BU64" i="18" s="1"/>
  <c r="BU65" i="18" s="1"/>
  <c r="BU66" i="18" s="1"/>
  <c r="BU67" i="18" s="1"/>
  <c r="BU68" i="18" s="1"/>
  <c r="BU69" i="18" s="1"/>
  <c r="BU70" i="18" s="1"/>
  <c r="BU71" i="18" s="1"/>
  <c r="BU72" i="18" s="1"/>
  <c r="BU73" i="18" s="1"/>
  <c r="BU74" i="18" s="1"/>
  <c r="BU75" i="18" s="1"/>
  <c r="BU76" i="18" s="1"/>
  <c r="BU77" i="18" s="1"/>
  <c r="BU78" i="18" s="1"/>
  <c r="BU79" i="18" s="1"/>
  <c r="BU80" i="18" s="1"/>
  <c r="BU81" i="18" s="1"/>
  <c r="BU82" i="18" s="1"/>
  <c r="BU83" i="18" s="1"/>
  <c r="BU84" i="18" s="1"/>
  <c r="BU85" i="18" s="1"/>
  <c r="BU86" i="18" s="1"/>
  <c r="BU87" i="18" s="1"/>
  <c r="BU88" i="18" s="1"/>
  <c r="BU89" i="18" s="1"/>
  <c r="BU90" i="18" s="1"/>
  <c r="BU91" i="18" s="1"/>
  <c r="BU92" i="18" s="1"/>
  <c r="BU93" i="18" s="1"/>
  <c r="BU94" i="18" s="1"/>
  <c r="BU95" i="18" s="1"/>
  <c r="BU96" i="18" s="1"/>
  <c r="BU97" i="18" s="1"/>
  <c r="BU98" i="18" s="1"/>
  <c r="BU99" i="18" s="1"/>
  <c r="BU100" i="18" s="1"/>
  <c r="BU101" i="18" s="1"/>
  <c r="BU102" i="18" s="1"/>
  <c r="BU103" i="18" s="1"/>
  <c r="BU104" i="18" s="1"/>
  <c r="BU105" i="18" s="1"/>
  <c r="BU106" i="18" s="1"/>
  <c r="BU107" i="18" s="1"/>
  <c r="BU108" i="18" s="1"/>
  <c r="BU109" i="18" s="1"/>
  <c r="BU110" i="18" s="1"/>
  <c r="BU111" i="18" s="1"/>
  <c r="BU112" i="18" s="1"/>
  <c r="BU113" i="18" s="1"/>
  <c r="BU114" i="18" s="1"/>
  <c r="BU115" i="18" s="1"/>
  <c r="BI6" i="18"/>
  <c r="BI7" i="18" s="1"/>
  <c r="BI8" i="18" s="1"/>
  <c r="BI9" i="18" s="1"/>
  <c r="BI10" i="18" s="1"/>
  <c r="BI11" i="18" s="1"/>
  <c r="BI12" i="18" s="1"/>
  <c r="BI13" i="18" s="1"/>
  <c r="BI14" i="18" s="1"/>
  <c r="BI15" i="18" s="1"/>
  <c r="BI16" i="18" s="1"/>
  <c r="BI17" i="18" s="1"/>
  <c r="BI18" i="18" s="1"/>
  <c r="BI19" i="18" s="1"/>
  <c r="BI20" i="18" s="1"/>
  <c r="BI21" i="18" s="1"/>
  <c r="BI22" i="18" s="1"/>
  <c r="BI23" i="18" s="1"/>
  <c r="BI24" i="18" s="1"/>
  <c r="BI25" i="18" s="1"/>
  <c r="BI26" i="18" s="1"/>
  <c r="BI27" i="18" s="1"/>
  <c r="BI28" i="18" s="1"/>
  <c r="BI29" i="18" s="1"/>
  <c r="BI30" i="18" s="1"/>
  <c r="BI31" i="18" s="1"/>
  <c r="BI32" i="18" s="1"/>
  <c r="BI33" i="18" s="1"/>
  <c r="BI34" i="18" s="1"/>
  <c r="BI35" i="18" s="1"/>
  <c r="BI36" i="18" s="1"/>
  <c r="BI37" i="18" s="1"/>
  <c r="BI38" i="18" s="1"/>
  <c r="BI39" i="18" s="1"/>
  <c r="BI40" i="18" s="1"/>
  <c r="BI41" i="18" s="1"/>
  <c r="BI42" i="18" s="1"/>
  <c r="BI43" i="18" s="1"/>
  <c r="BI44" i="18" s="1"/>
  <c r="BI45" i="18" s="1"/>
  <c r="BI46" i="18" s="1"/>
  <c r="BI47" i="18" s="1"/>
  <c r="BI48" i="18" s="1"/>
  <c r="BI49" i="18" s="1"/>
  <c r="BI50" i="18" s="1"/>
  <c r="BI51" i="18" s="1"/>
  <c r="BI52" i="18" s="1"/>
  <c r="BI53" i="18" s="1"/>
  <c r="BI54" i="18" s="1"/>
  <c r="BI55" i="18" s="1"/>
  <c r="BI56" i="18" s="1"/>
  <c r="BI57" i="18" s="1"/>
  <c r="BI58" i="18" s="1"/>
  <c r="BI59" i="18" s="1"/>
  <c r="BI60" i="18" s="1"/>
  <c r="BI61" i="18" s="1"/>
  <c r="BI62" i="18" s="1"/>
  <c r="BI63" i="18" s="1"/>
  <c r="BI64" i="18" s="1"/>
  <c r="BI65" i="18" s="1"/>
  <c r="BI66" i="18" s="1"/>
  <c r="BI67" i="18" s="1"/>
  <c r="BI68" i="18" s="1"/>
  <c r="BI69" i="18" s="1"/>
  <c r="BI70" i="18" s="1"/>
  <c r="BI71" i="18" s="1"/>
  <c r="BI72" i="18" s="1"/>
  <c r="BI73" i="18" s="1"/>
  <c r="BI74" i="18" s="1"/>
  <c r="BI75" i="18" s="1"/>
  <c r="BI76" i="18" s="1"/>
  <c r="BI77" i="18" s="1"/>
  <c r="BI78" i="18" s="1"/>
  <c r="BI79" i="18" s="1"/>
  <c r="BI80" i="18" s="1"/>
  <c r="BI81" i="18" s="1"/>
  <c r="BI82" i="18" s="1"/>
  <c r="BI83" i="18" s="1"/>
  <c r="BI84" i="18" s="1"/>
  <c r="BI85" i="18" s="1"/>
  <c r="BI86" i="18" s="1"/>
  <c r="BI87" i="18" s="1"/>
  <c r="BI88" i="18" s="1"/>
  <c r="BI89" i="18" s="1"/>
  <c r="BI90" i="18" s="1"/>
  <c r="BI91" i="18" s="1"/>
  <c r="BI92" i="18" s="1"/>
  <c r="BI93" i="18" s="1"/>
  <c r="BI94" i="18" s="1"/>
  <c r="BI95" i="18" s="1"/>
  <c r="BI96" i="18" s="1"/>
  <c r="BI97" i="18" s="1"/>
  <c r="BI98" i="18" s="1"/>
  <c r="BI99" i="18" s="1"/>
  <c r="BI100" i="18" s="1"/>
  <c r="BI101" i="18" s="1"/>
  <c r="BI102" i="18" s="1"/>
  <c r="BI103" i="18" s="1"/>
  <c r="BI104" i="18" s="1"/>
  <c r="BI105" i="18" s="1"/>
  <c r="BI106" i="18" s="1"/>
  <c r="BI107" i="18" s="1"/>
  <c r="BI108" i="18" s="1"/>
  <c r="BI109" i="18" s="1"/>
  <c r="BI110" i="18" s="1"/>
  <c r="BI111" i="18" s="1"/>
  <c r="BI112" i="18" s="1"/>
  <c r="BI113" i="18" s="1"/>
  <c r="BI114" i="18" s="1"/>
  <c r="BI115" i="18" s="1"/>
  <c r="AW6" i="18"/>
  <c r="AW7" i="18" s="1"/>
  <c r="AW8" i="18" s="1"/>
  <c r="AW9" i="18" s="1"/>
  <c r="AW10" i="18" s="1"/>
  <c r="AW11" i="18" s="1"/>
  <c r="AW12" i="18" s="1"/>
  <c r="AW13" i="18" s="1"/>
  <c r="AW14" i="18" s="1"/>
  <c r="AW15" i="18" s="1"/>
  <c r="AW16" i="18" s="1"/>
  <c r="AW17" i="18" s="1"/>
  <c r="AW18" i="18" s="1"/>
  <c r="AW19" i="18" s="1"/>
  <c r="AW20" i="18" s="1"/>
  <c r="AW21" i="18" s="1"/>
  <c r="AW22" i="18" s="1"/>
  <c r="AW23" i="18" s="1"/>
  <c r="AW24" i="18" s="1"/>
  <c r="AW25" i="18" s="1"/>
  <c r="AW26" i="18" s="1"/>
  <c r="AW27" i="18" s="1"/>
  <c r="AW28" i="18" s="1"/>
  <c r="AW29" i="18" s="1"/>
  <c r="AW30" i="18" s="1"/>
  <c r="AW31" i="18" s="1"/>
  <c r="AW32" i="18" s="1"/>
  <c r="AW33" i="18" s="1"/>
  <c r="AW34" i="18" s="1"/>
  <c r="AW35" i="18" s="1"/>
  <c r="AW36" i="18" s="1"/>
  <c r="AW37" i="18" s="1"/>
  <c r="AW38" i="18" s="1"/>
  <c r="AW39" i="18" s="1"/>
  <c r="AW40" i="18" s="1"/>
  <c r="AW41" i="18" s="1"/>
  <c r="AW42" i="18" s="1"/>
  <c r="AW43" i="18" s="1"/>
  <c r="AW44" i="18" s="1"/>
  <c r="AW45" i="18" s="1"/>
  <c r="AW46" i="18" s="1"/>
  <c r="AW47" i="18" s="1"/>
  <c r="AW48" i="18" s="1"/>
  <c r="AW49" i="18" s="1"/>
  <c r="AW50" i="18" s="1"/>
  <c r="AW51" i="18" s="1"/>
  <c r="AW52" i="18" s="1"/>
  <c r="AW53" i="18" s="1"/>
  <c r="AW54" i="18" s="1"/>
  <c r="AW55" i="18" s="1"/>
  <c r="AW56" i="18" s="1"/>
  <c r="AW57" i="18" s="1"/>
  <c r="AW58" i="18" s="1"/>
  <c r="AW59" i="18" s="1"/>
  <c r="AW60" i="18" s="1"/>
  <c r="AW61" i="18" s="1"/>
  <c r="AW62" i="18" s="1"/>
  <c r="AW63" i="18" s="1"/>
  <c r="AW64" i="18" s="1"/>
  <c r="AW65" i="18" s="1"/>
  <c r="AW66" i="18" s="1"/>
  <c r="AW67" i="18" s="1"/>
  <c r="AW68" i="18" s="1"/>
  <c r="AW69" i="18" s="1"/>
  <c r="AW70" i="18" s="1"/>
  <c r="AW71" i="18" s="1"/>
  <c r="AW72" i="18" s="1"/>
  <c r="AW73" i="18" s="1"/>
  <c r="AW74" i="18" s="1"/>
  <c r="AW75" i="18" s="1"/>
  <c r="AW76" i="18" s="1"/>
  <c r="AW77" i="18" s="1"/>
  <c r="AW78" i="18" s="1"/>
  <c r="AW79" i="18" s="1"/>
  <c r="AW80" i="18" s="1"/>
  <c r="AW81" i="18" s="1"/>
  <c r="AW82" i="18" s="1"/>
  <c r="AW83" i="18" s="1"/>
  <c r="AW84" i="18" s="1"/>
  <c r="AW85" i="18" s="1"/>
  <c r="AW86" i="18" s="1"/>
  <c r="AW87" i="18" s="1"/>
  <c r="AW88" i="18" s="1"/>
  <c r="AW89" i="18" s="1"/>
  <c r="AW90" i="18" s="1"/>
  <c r="AW91" i="18" s="1"/>
  <c r="AW92" i="18" s="1"/>
  <c r="AW93" i="18" s="1"/>
  <c r="AW94" i="18" s="1"/>
  <c r="AW95" i="18" s="1"/>
  <c r="AW96" i="18" s="1"/>
  <c r="AW97" i="18" s="1"/>
  <c r="AW98" i="18" s="1"/>
  <c r="AW99" i="18" s="1"/>
  <c r="AW100" i="18" s="1"/>
  <c r="AW101" i="18" s="1"/>
  <c r="AW102" i="18" s="1"/>
  <c r="AW103" i="18" s="1"/>
  <c r="AW104" i="18" s="1"/>
  <c r="AW105" i="18" s="1"/>
  <c r="AW106" i="18" s="1"/>
  <c r="AW107" i="18" s="1"/>
  <c r="AW108" i="18" s="1"/>
  <c r="AW109" i="18" s="1"/>
  <c r="AW110" i="18" s="1"/>
  <c r="AW111" i="18" s="1"/>
  <c r="AW112" i="18" s="1"/>
  <c r="AW113" i="18" s="1"/>
  <c r="AW114" i="18" s="1"/>
  <c r="AW115" i="18" s="1"/>
  <c r="AK6" i="18"/>
  <c r="AK7" i="18" s="1"/>
  <c r="AK8" i="18" s="1"/>
  <c r="AK9" i="18" s="1"/>
  <c r="AK10" i="18" s="1"/>
  <c r="AK11" i="18" s="1"/>
  <c r="AK12" i="18" s="1"/>
  <c r="AK13" i="18" s="1"/>
  <c r="AK14" i="18" s="1"/>
  <c r="AK15" i="18" s="1"/>
  <c r="AK16" i="18" s="1"/>
  <c r="AK17" i="18" s="1"/>
  <c r="AK18" i="18" s="1"/>
  <c r="AK19" i="18" s="1"/>
  <c r="AK20" i="18" s="1"/>
  <c r="AK21" i="18" s="1"/>
  <c r="AK22" i="18" s="1"/>
  <c r="AK23" i="18" s="1"/>
  <c r="AK24" i="18" s="1"/>
  <c r="AK25" i="18" s="1"/>
  <c r="AK26" i="18" s="1"/>
  <c r="AK27" i="18" s="1"/>
  <c r="AK28" i="18" s="1"/>
  <c r="AK29" i="18" s="1"/>
  <c r="AK30" i="18" s="1"/>
  <c r="AK31" i="18" s="1"/>
  <c r="AK32" i="18" s="1"/>
  <c r="AK33" i="18" s="1"/>
  <c r="AK34" i="18" s="1"/>
  <c r="AK35" i="18" s="1"/>
  <c r="AK36" i="18" s="1"/>
  <c r="AK37" i="18" s="1"/>
  <c r="AK38" i="18" s="1"/>
  <c r="AK39" i="18" s="1"/>
  <c r="AK40" i="18" s="1"/>
  <c r="AK41" i="18" s="1"/>
  <c r="AK42" i="18" s="1"/>
  <c r="AK43" i="18" s="1"/>
  <c r="AK44" i="18" s="1"/>
  <c r="AK45" i="18" s="1"/>
  <c r="AK46" i="18" s="1"/>
  <c r="AK47" i="18" s="1"/>
  <c r="AK48" i="18" s="1"/>
  <c r="AK49" i="18" s="1"/>
  <c r="AK50" i="18" s="1"/>
  <c r="AK51" i="18" s="1"/>
  <c r="AK52" i="18" s="1"/>
  <c r="AK53" i="18" s="1"/>
  <c r="AK54" i="18" s="1"/>
  <c r="AK55" i="18" s="1"/>
  <c r="AK56" i="18" s="1"/>
  <c r="AK57" i="18" s="1"/>
  <c r="AK58" i="18" s="1"/>
  <c r="AK59" i="18" s="1"/>
  <c r="AK60" i="18" s="1"/>
  <c r="AK61" i="18" s="1"/>
  <c r="AK62" i="18" s="1"/>
  <c r="AK63" i="18" s="1"/>
  <c r="AK64" i="18" s="1"/>
  <c r="AK65" i="18" s="1"/>
  <c r="AK66" i="18" s="1"/>
  <c r="AK67" i="18" s="1"/>
  <c r="AK68" i="18" s="1"/>
  <c r="AK69" i="18" s="1"/>
  <c r="AK70" i="18" s="1"/>
  <c r="AK71" i="18" s="1"/>
  <c r="AK72" i="18" s="1"/>
  <c r="AK73" i="18" s="1"/>
  <c r="AK74" i="18" s="1"/>
  <c r="AK75" i="18" s="1"/>
  <c r="AK76" i="18" s="1"/>
  <c r="AK77" i="18" s="1"/>
  <c r="AK78" i="18" s="1"/>
  <c r="AK79" i="18" s="1"/>
  <c r="AK80" i="18" s="1"/>
  <c r="AK81" i="18" s="1"/>
  <c r="AK82" i="18" s="1"/>
  <c r="AK83" i="18" s="1"/>
  <c r="AK84" i="18" s="1"/>
  <c r="AK85" i="18" s="1"/>
  <c r="AK86" i="18" s="1"/>
  <c r="AK87" i="18" s="1"/>
  <c r="AK88" i="18" s="1"/>
  <c r="AK89" i="18" s="1"/>
  <c r="AK90" i="18" s="1"/>
  <c r="AK91" i="18" s="1"/>
  <c r="AK92" i="18" s="1"/>
  <c r="AK93" i="18" s="1"/>
  <c r="AK94" i="18" s="1"/>
  <c r="AK95" i="18" s="1"/>
  <c r="AK96" i="18" s="1"/>
  <c r="AK97" i="18" s="1"/>
  <c r="AK98" i="18" s="1"/>
  <c r="AK99" i="18" s="1"/>
  <c r="AK100" i="18" s="1"/>
  <c r="AK101" i="18" s="1"/>
  <c r="AK102" i="18" s="1"/>
  <c r="AK103" i="18" s="1"/>
  <c r="AK104" i="18" s="1"/>
  <c r="AK105" i="18" s="1"/>
  <c r="AK106" i="18" s="1"/>
  <c r="AK107" i="18" s="1"/>
  <c r="AK108" i="18" s="1"/>
  <c r="AK109" i="18" s="1"/>
  <c r="AK110" i="18" s="1"/>
  <c r="AK111" i="18" s="1"/>
  <c r="AK112" i="18" s="1"/>
  <c r="AK113" i="18" s="1"/>
  <c r="AK114" i="18" s="1"/>
  <c r="AK115" i="18" s="1"/>
  <c r="Y6" i="18"/>
  <c r="Y7" i="18" s="1"/>
  <c r="Y8" i="18" s="1"/>
  <c r="Y9" i="18" s="1"/>
  <c r="Y10" i="18" s="1"/>
  <c r="Y11" i="18" s="1"/>
  <c r="Y12" i="18" s="1"/>
  <c r="Y13" i="18" s="1"/>
  <c r="Y14" i="18" s="1"/>
  <c r="Y15" i="18" s="1"/>
  <c r="Y16" i="18" s="1"/>
  <c r="Y17" i="18" s="1"/>
  <c r="Y18" i="18" s="1"/>
  <c r="Y19" i="18" s="1"/>
  <c r="Y20" i="18" s="1"/>
  <c r="Y21" i="18" s="1"/>
  <c r="Y22" i="18" s="1"/>
  <c r="Y23" i="18" s="1"/>
  <c r="Y24" i="18" s="1"/>
  <c r="Y25" i="18" s="1"/>
  <c r="Y26" i="18" s="1"/>
  <c r="Y27" i="18" s="1"/>
  <c r="Y28" i="18" s="1"/>
  <c r="Y29" i="18" s="1"/>
  <c r="Y30" i="18" s="1"/>
  <c r="Y31" i="18" s="1"/>
  <c r="Y32" i="18" s="1"/>
  <c r="Y33" i="18" s="1"/>
  <c r="Y34" i="18" s="1"/>
  <c r="Y35" i="18" s="1"/>
  <c r="Y36" i="18" s="1"/>
  <c r="Y37" i="18" s="1"/>
  <c r="Y38" i="18" s="1"/>
  <c r="Y39" i="18" s="1"/>
  <c r="Y40" i="18" s="1"/>
  <c r="Y41" i="18" s="1"/>
  <c r="Y42" i="18" s="1"/>
  <c r="Y43" i="18" s="1"/>
  <c r="Y44" i="18" s="1"/>
  <c r="Y45" i="18" s="1"/>
  <c r="Y46" i="18" s="1"/>
  <c r="Y47" i="18" s="1"/>
  <c r="Y48" i="18" s="1"/>
  <c r="Y49" i="18" s="1"/>
  <c r="Y50" i="18" s="1"/>
  <c r="Y51" i="18" s="1"/>
  <c r="Y52" i="18" s="1"/>
  <c r="Y53" i="18" s="1"/>
  <c r="Y54" i="18" s="1"/>
  <c r="Y55" i="18" s="1"/>
  <c r="Y56" i="18" s="1"/>
  <c r="Y57" i="18" s="1"/>
  <c r="Y58" i="18" s="1"/>
  <c r="Y59" i="18" s="1"/>
  <c r="Y60" i="18" s="1"/>
  <c r="Y61" i="18" s="1"/>
  <c r="Y62" i="18" s="1"/>
  <c r="Y63" i="18" s="1"/>
  <c r="Y64" i="18" s="1"/>
  <c r="Y65" i="18" s="1"/>
  <c r="Y66" i="18" s="1"/>
  <c r="Y67" i="18" s="1"/>
  <c r="Y68" i="18" s="1"/>
  <c r="Y69" i="18" s="1"/>
  <c r="Y70" i="18" s="1"/>
  <c r="Y71" i="18" s="1"/>
  <c r="Y72" i="18" s="1"/>
  <c r="Y73" i="18" s="1"/>
  <c r="Y74" i="18" s="1"/>
  <c r="Y75" i="18" s="1"/>
  <c r="Y76" i="18" s="1"/>
  <c r="Y77" i="18" s="1"/>
  <c r="Y78" i="18" s="1"/>
  <c r="Y79" i="18" s="1"/>
  <c r="Y80" i="18" s="1"/>
  <c r="Y81" i="18" s="1"/>
  <c r="Y82" i="18" s="1"/>
  <c r="Y83" i="18" s="1"/>
  <c r="Y84" i="18" s="1"/>
  <c r="Y85" i="18" s="1"/>
  <c r="Y86" i="18" s="1"/>
  <c r="Y87" i="18" s="1"/>
  <c r="Y88" i="18" s="1"/>
  <c r="Y89" i="18" s="1"/>
  <c r="Y90" i="18" s="1"/>
  <c r="Y91" i="18" s="1"/>
  <c r="Y92" i="18" s="1"/>
  <c r="Y93" i="18" s="1"/>
  <c r="Y94" i="18" s="1"/>
  <c r="Y95" i="18" s="1"/>
  <c r="Y96" i="18" s="1"/>
  <c r="Y97" i="18" s="1"/>
  <c r="Y98" i="18" s="1"/>
  <c r="Y99" i="18" s="1"/>
  <c r="Y100" i="18" s="1"/>
  <c r="Y101" i="18" s="1"/>
  <c r="Y102" i="18" s="1"/>
  <c r="Y103" i="18" s="1"/>
  <c r="Y104" i="18" s="1"/>
  <c r="Y105" i="18" s="1"/>
  <c r="Y106" i="18" s="1"/>
  <c r="Y107" i="18" s="1"/>
  <c r="Y108" i="18" s="1"/>
  <c r="Y109" i="18" s="1"/>
  <c r="Y110" i="18" s="1"/>
  <c r="Y111" i="18" s="1"/>
  <c r="Y112" i="18" s="1"/>
  <c r="Y113" i="18" s="1"/>
  <c r="Y114" i="18" s="1"/>
  <c r="Y115" i="18" s="1"/>
  <c r="M6" i="18"/>
  <c r="M7" i="18" s="1"/>
  <c r="M8" i="18" s="1"/>
  <c r="M9" i="18" s="1"/>
  <c r="M10" i="18" s="1"/>
  <c r="M11" i="18" s="1"/>
  <c r="M12" i="18" s="1"/>
  <c r="M13" i="18" s="1"/>
  <c r="M14" i="18" s="1"/>
  <c r="M15" i="18" s="1"/>
  <c r="M16" i="18" s="1"/>
  <c r="M17" i="18" s="1"/>
  <c r="M18" i="18" s="1"/>
  <c r="M19" i="18" s="1"/>
  <c r="M20" i="18" s="1"/>
  <c r="M21" i="18" s="1"/>
  <c r="M22" i="18" s="1"/>
  <c r="M23" i="18" s="1"/>
  <c r="M24" i="18" s="1"/>
  <c r="M25" i="18" s="1"/>
  <c r="M26" i="18" s="1"/>
  <c r="M27" i="18" s="1"/>
  <c r="M28" i="18" s="1"/>
  <c r="M29" i="18" s="1"/>
  <c r="M30" i="18" s="1"/>
  <c r="M31" i="18" s="1"/>
  <c r="M32" i="18" s="1"/>
  <c r="M33" i="18" s="1"/>
  <c r="M34" i="18" s="1"/>
  <c r="M35" i="18" s="1"/>
  <c r="M36" i="18" s="1"/>
  <c r="M37" i="18" s="1"/>
  <c r="M38" i="18" s="1"/>
  <c r="M39" i="18" s="1"/>
  <c r="M40" i="18" s="1"/>
  <c r="M41" i="18" s="1"/>
  <c r="M42" i="18" s="1"/>
  <c r="M43" i="18" s="1"/>
  <c r="M44" i="18" s="1"/>
  <c r="M45" i="18" s="1"/>
  <c r="M46" i="18" s="1"/>
  <c r="M47" i="18" s="1"/>
  <c r="M48" i="18" s="1"/>
  <c r="M49" i="18" s="1"/>
  <c r="M50" i="18" s="1"/>
  <c r="M51" i="18" s="1"/>
  <c r="M52" i="18" s="1"/>
  <c r="M53" i="18" s="1"/>
  <c r="M54" i="18" s="1"/>
  <c r="M55" i="18" s="1"/>
  <c r="M56" i="18" s="1"/>
  <c r="M57" i="18" s="1"/>
  <c r="M58" i="18" s="1"/>
  <c r="M59" i="18" s="1"/>
  <c r="M60" i="18" s="1"/>
  <c r="M61" i="18" s="1"/>
  <c r="M62" i="18" s="1"/>
  <c r="M63" i="18" s="1"/>
  <c r="M64" i="18" s="1"/>
  <c r="M65" i="18" s="1"/>
  <c r="M66" i="18" s="1"/>
  <c r="M67" i="18" s="1"/>
  <c r="M68" i="18" s="1"/>
  <c r="M69" i="18" s="1"/>
  <c r="M70" i="18" s="1"/>
  <c r="M71" i="18" s="1"/>
  <c r="M72" i="18" s="1"/>
  <c r="M73" i="18" s="1"/>
  <c r="M74" i="18" s="1"/>
  <c r="M75" i="18" s="1"/>
  <c r="M76" i="18" s="1"/>
  <c r="M77" i="18" s="1"/>
  <c r="M78" i="18" s="1"/>
  <c r="M79" i="18" s="1"/>
  <c r="M80" i="18" s="1"/>
  <c r="M81" i="18" s="1"/>
  <c r="M82" i="18" s="1"/>
  <c r="M83" i="18" s="1"/>
  <c r="M84" i="18" s="1"/>
  <c r="M85" i="18" s="1"/>
  <c r="M86" i="18" s="1"/>
  <c r="M87" i="18" s="1"/>
  <c r="M88" i="18" s="1"/>
  <c r="M89" i="18" s="1"/>
  <c r="M90" i="18" s="1"/>
  <c r="M91" i="18" s="1"/>
  <c r="M92" i="18" s="1"/>
  <c r="M93" i="18" s="1"/>
  <c r="M94" i="18" s="1"/>
  <c r="M95" i="18" s="1"/>
  <c r="M96" i="18" s="1"/>
  <c r="M97" i="18" s="1"/>
  <c r="M98" i="18" s="1"/>
  <c r="M99" i="18" s="1"/>
  <c r="M100" i="18" s="1"/>
  <c r="M101" i="18" s="1"/>
  <c r="M102" i="18" s="1"/>
  <c r="M103" i="18" s="1"/>
  <c r="M104" i="18" s="1"/>
  <c r="M105" i="18" s="1"/>
  <c r="M106" i="18" s="1"/>
  <c r="M107" i="18" s="1"/>
  <c r="M108" i="18" s="1"/>
  <c r="M109" i="18" s="1"/>
  <c r="M110" i="18" s="1"/>
  <c r="M111" i="18" s="1"/>
  <c r="M112" i="18" s="1"/>
  <c r="M113" i="18" s="1"/>
  <c r="M114" i="18" s="1"/>
  <c r="M115" i="18" s="1"/>
  <c r="A9" i="18"/>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8" i="18"/>
  <c r="A7" i="18"/>
  <c r="A6" i="18"/>
  <c r="CR105" i="18" a="1"/>
  <c r="CR105" i="18" s="1"/>
  <c r="CR104" i="18" a="1"/>
  <c r="CR104" i="18" s="1"/>
  <c r="CR93" i="18" a="1"/>
  <c r="CR93" i="18" s="1"/>
  <c r="CR80" i="18" a="1"/>
  <c r="CR80" i="18" s="1"/>
  <c r="CR69" i="18" a="1"/>
  <c r="CR69" i="18" s="1"/>
  <c r="CR68" i="18" a="1"/>
  <c r="CR68" i="18" s="1"/>
  <c r="CR57" i="18" a="1"/>
  <c r="CR57" i="18" s="1"/>
  <c r="CR56" i="18" a="1"/>
  <c r="CR56" i="18" s="1"/>
  <c r="CR44" i="18" a="1"/>
  <c r="CR44" i="18" s="1"/>
  <c r="CR33" i="18" a="1"/>
  <c r="CR33" i="18" s="1"/>
  <c r="CR32" i="18" a="1"/>
  <c r="CR32" i="18" s="1"/>
  <c r="CR21" i="18" a="1"/>
  <c r="CR21" i="18" s="1"/>
  <c r="CR9" i="18" a="1"/>
  <c r="CR9" i="18" s="1"/>
  <c r="CR8" i="18" a="1"/>
  <c r="CR8" i="18" s="1"/>
  <c r="CF115" i="18" a="1"/>
  <c r="CF115" i="18" s="1"/>
  <c r="CF103" i="18" a="1"/>
  <c r="CF103" i="18" s="1"/>
  <c r="CF93" i="18" a="1"/>
  <c r="CF93" i="18" s="1"/>
  <c r="CF82" i="18" a="1"/>
  <c r="CF82" i="18" s="1"/>
  <c r="CF70" i="18" a="1"/>
  <c r="CF70" i="18" s="1"/>
  <c r="CF58" i="18" a="1"/>
  <c r="CF58" i="18" s="1"/>
  <c r="CF46" i="18" a="1"/>
  <c r="CF46" i="18" s="1"/>
  <c r="CF34" i="18" a="1"/>
  <c r="CF34" i="18" s="1"/>
  <c r="CF22" i="18" a="1"/>
  <c r="CF22" i="18" s="1"/>
  <c r="CF10" i="18" a="1"/>
  <c r="CF10" i="18" s="1"/>
  <c r="BT110" i="18" a="1"/>
  <c r="BT110" i="18" s="1"/>
  <c r="BT109" i="18" a="1"/>
  <c r="BT109" i="18" s="1"/>
  <c r="BT108" i="18" a="1"/>
  <c r="BT108" i="18" s="1"/>
  <c r="BT97" i="18" a="1"/>
  <c r="BT97" i="18" s="1"/>
  <c r="BT96" i="18" a="1"/>
  <c r="BT96" i="18" s="1"/>
  <c r="BT85" i="18" a="1"/>
  <c r="BT85" i="18" s="1"/>
  <c r="BT75" i="18" a="1"/>
  <c r="BT75" i="18" s="1"/>
  <c r="BT74" i="18" a="1"/>
  <c r="BT74" i="18" s="1"/>
  <c r="BT64" i="18" a="1"/>
  <c r="BT64" i="18" s="1"/>
  <c r="BT63" i="18" a="1"/>
  <c r="BT63" i="18" s="1"/>
  <c r="BT62" i="18" a="1"/>
  <c r="BT62" i="18" s="1"/>
  <c r="BT51" i="18" a="1"/>
  <c r="BT51" i="18" s="1"/>
  <c r="BT50" i="18" a="1"/>
  <c r="BT50" i="18" s="1"/>
  <c r="BT40" i="18" a="1"/>
  <c r="BT40" i="18" s="1"/>
  <c r="BT39" i="18" a="1"/>
  <c r="BT39" i="18" s="1"/>
  <c r="BT38" i="18" a="1"/>
  <c r="BT38" i="18" s="1"/>
  <c r="BT28" i="18" a="1"/>
  <c r="BT28" i="18" s="1"/>
  <c r="BT27" i="18" a="1"/>
  <c r="BT27" i="18" s="1"/>
  <c r="BT26" i="18" a="1"/>
  <c r="BT26" i="18" s="1"/>
  <c r="BT16" i="18" a="1"/>
  <c r="BT16" i="18" s="1"/>
  <c r="BT15" i="18" a="1"/>
  <c r="BT15" i="18" s="1"/>
  <c r="BH112" i="18" a="1"/>
  <c r="BH112" i="18" s="1"/>
  <c r="BH100" i="18" a="1"/>
  <c r="BH100" i="18" s="1"/>
  <c r="BH89" i="18" a="1"/>
  <c r="BH89" i="18" s="1"/>
  <c r="BH77" i="18" a="1"/>
  <c r="BH77" i="18" s="1"/>
  <c r="BH65" i="18" a="1"/>
  <c r="BH65" i="18" s="1"/>
  <c r="BH53" i="18" a="1"/>
  <c r="BH53" i="18" s="1"/>
  <c r="BH41" i="18" a="1"/>
  <c r="BH41" i="18" s="1"/>
  <c r="BH29" i="18" a="1"/>
  <c r="BH29" i="18" s="1"/>
  <c r="BH18" i="18" a="1"/>
  <c r="BH18" i="18" s="1"/>
  <c r="BH6" i="18" a="1"/>
  <c r="BH6" i="18" s="1"/>
  <c r="AV115" i="18" a="1"/>
  <c r="AV115" i="18" s="1"/>
  <c r="AV103" i="18" a="1"/>
  <c r="AV103" i="18" s="1"/>
  <c r="AV92" i="18" a="1"/>
  <c r="AV92" i="18" s="1"/>
  <c r="AV91" i="18" a="1"/>
  <c r="AV91" i="18" s="1"/>
  <c r="AV80" i="18" a="1"/>
  <c r="AV80" i="18" s="1"/>
  <c r="AV69" i="18" a="1"/>
  <c r="AV69" i="18" s="1"/>
  <c r="AV68" i="18" a="1"/>
  <c r="AV68" i="18" s="1"/>
  <c r="AV57" i="18" a="1"/>
  <c r="AV57" i="18" s="1"/>
  <c r="AV56" i="18" a="1"/>
  <c r="AV56" i="18" s="1"/>
  <c r="AV45" i="18" a="1"/>
  <c r="AV45" i="18" s="1"/>
  <c r="AV44" i="18" a="1"/>
  <c r="AV44" i="18" s="1"/>
  <c r="AV32" i="18" a="1"/>
  <c r="AV32" i="18" s="1"/>
  <c r="AV20" i="18" a="1"/>
  <c r="AV20" i="18" s="1"/>
  <c r="AV9" i="18" a="1"/>
  <c r="AV9" i="18" s="1"/>
  <c r="AV8" i="18" a="1"/>
  <c r="AV8" i="18" s="1"/>
  <c r="AJ104" i="18" a="1"/>
  <c r="AJ104" i="18" s="1"/>
  <c r="AJ80" i="18" a="1"/>
  <c r="AJ80" i="18" s="1"/>
  <c r="AJ68" i="18" a="1"/>
  <c r="AJ68" i="18" s="1"/>
  <c r="AJ56" i="18" a="1"/>
  <c r="AJ56" i="18" s="1"/>
  <c r="AJ44" i="18" a="1"/>
  <c r="AJ44" i="18" s="1"/>
  <c r="AJ32" i="18" a="1"/>
  <c r="AJ32" i="18" s="1"/>
  <c r="AJ20" i="18" a="1"/>
  <c r="AJ20" i="18" s="1"/>
  <c r="AJ8" i="18" a="1"/>
  <c r="AJ8" i="18" s="1"/>
  <c r="CO115" i="18"/>
  <c r="CR115" i="18" s="1" a="1"/>
  <c r="CR115" i="18" s="1"/>
  <c r="CH115" i="18"/>
  <c r="CC115" i="18"/>
  <c r="CD115" i="18" s="1"/>
  <c r="BV115" i="18"/>
  <c r="CO114" i="18"/>
  <c r="CR114" i="18" s="1" a="1"/>
  <c r="CR114" i="18" s="1"/>
  <c r="CH114" i="18"/>
  <c r="CC114" i="18"/>
  <c r="CD114" i="18" s="1"/>
  <c r="BV114" i="18"/>
  <c r="CO113" i="18"/>
  <c r="CR113" i="18" s="1" a="1"/>
  <c r="CR113" i="18" s="1"/>
  <c r="CH113" i="18"/>
  <c r="CC113" i="18"/>
  <c r="CF113" i="18" s="1" a="1"/>
  <c r="CF113" i="18" s="1"/>
  <c r="BV113" i="18"/>
  <c r="CO112" i="18"/>
  <c r="CR112" i="18" s="1" a="1"/>
  <c r="CR112" i="18" s="1"/>
  <c r="CH112" i="18"/>
  <c r="CC112" i="18"/>
  <c r="CF112" i="18" s="1" a="1"/>
  <c r="CF112" i="18" s="1"/>
  <c r="BV112" i="18"/>
  <c r="CO111" i="18"/>
  <c r="CR111" i="18" s="1" a="1"/>
  <c r="CR111" i="18" s="1"/>
  <c r="CH111" i="18"/>
  <c r="CC111" i="18"/>
  <c r="CF111" i="18" s="1" a="1"/>
  <c r="CF111" i="18" s="1"/>
  <c r="BV111" i="18"/>
  <c r="CO110" i="18"/>
  <c r="CQ110" i="18" s="1"/>
  <c r="CH110" i="18"/>
  <c r="CC110" i="18"/>
  <c r="CF110" i="18" s="1" a="1"/>
  <c r="CF110" i="18" s="1"/>
  <c r="BV110" i="18"/>
  <c r="CO109" i="18"/>
  <c r="CR109" i="18" s="1" a="1"/>
  <c r="CR109" i="18" s="1"/>
  <c r="CH109" i="18"/>
  <c r="CC109" i="18"/>
  <c r="CF109" i="18" s="1" a="1"/>
  <c r="CF109" i="18" s="1"/>
  <c r="BV109" i="18"/>
  <c r="CO108" i="18"/>
  <c r="CR108" i="18" s="1" a="1"/>
  <c r="CR108" i="18" s="1"/>
  <c r="CH108" i="18"/>
  <c r="CE108" i="18"/>
  <c r="CC108" i="18"/>
  <c r="CD108" i="18" s="1"/>
  <c r="BV108" i="18"/>
  <c r="CO107" i="18"/>
  <c r="CR107" i="18" s="1" a="1"/>
  <c r="CR107" i="18" s="1"/>
  <c r="CH107" i="18"/>
  <c r="CE107" i="18"/>
  <c r="CC107" i="18"/>
  <c r="CF107" i="18" s="1" a="1"/>
  <c r="CF107" i="18" s="1"/>
  <c r="BV107" i="18"/>
  <c r="CO106" i="18"/>
  <c r="CR106" i="18" s="1" a="1"/>
  <c r="CR106" i="18" s="1"/>
  <c r="CH106" i="18"/>
  <c r="CC106" i="18"/>
  <c r="CF106" i="18" s="1" a="1"/>
  <c r="CF106" i="18" s="1"/>
  <c r="BV106" i="18"/>
  <c r="CO105" i="18"/>
  <c r="CQ105" i="18" s="1"/>
  <c r="CH105" i="18"/>
  <c r="CC105" i="18"/>
  <c r="CF105" i="18" s="1" a="1"/>
  <c r="CF105" i="18" s="1"/>
  <c r="BV105" i="18"/>
  <c r="CP104" i="18"/>
  <c r="CO104" i="18"/>
  <c r="CQ104" i="18" s="1"/>
  <c r="CH104" i="18"/>
  <c r="CC104" i="18"/>
  <c r="CF104" i="18" s="1" a="1"/>
  <c r="CF104" i="18" s="1"/>
  <c r="BV104" i="18"/>
  <c r="CO103" i="18"/>
  <c r="CQ103" i="18" s="1"/>
  <c r="CH103" i="18"/>
  <c r="CE103" i="18"/>
  <c r="CD103" i="18"/>
  <c r="CC103" i="18"/>
  <c r="BV103" i="18"/>
  <c r="CO102" i="18"/>
  <c r="CR102" i="18" s="1" a="1"/>
  <c r="CR102" i="18" s="1"/>
  <c r="CH102" i="18"/>
  <c r="CC102" i="18"/>
  <c r="CD102" i="18" s="1"/>
  <c r="BV102" i="18"/>
  <c r="CP101" i="18"/>
  <c r="CO101" i="18"/>
  <c r="CR101" i="18" s="1" a="1"/>
  <c r="CR101" i="18" s="1"/>
  <c r="CH101" i="18"/>
  <c r="CE101" i="18"/>
  <c r="CC101" i="18"/>
  <c r="CF101" i="18" s="1" a="1"/>
  <c r="CF101" i="18" s="1"/>
  <c r="BV101" i="18"/>
  <c r="CO100" i="18"/>
  <c r="CR100" i="18" s="1" a="1"/>
  <c r="CR100" i="18" s="1"/>
  <c r="CH100" i="18"/>
  <c r="CC100" i="18"/>
  <c r="CF100" i="18" s="1" a="1"/>
  <c r="CF100" i="18" s="1"/>
  <c r="BV100" i="18"/>
  <c r="CO99" i="18"/>
  <c r="CR99" i="18" s="1" a="1"/>
  <c r="CR99" i="18" s="1"/>
  <c r="CH99" i="18"/>
  <c r="CC99" i="18"/>
  <c r="CF99" i="18" s="1" a="1"/>
  <c r="CF99" i="18" s="1"/>
  <c r="BV99" i="18"/>
  <c r="CO98" i="18"/>
  <c r="CQ98" i="18" s="1"/>
  <c r="CH98" i="18"/>
  <c r="CC98" i="18"/>
  <c r="CF98" i="18" s="1" a="1"/>
  <c r="CF98" i="18" s="1"/>
  <c r="BV98" i="18"/>
  <c r="CO97" i="18"/>
  <c r="CR97" i="18" s="1" a="1"/>
  <c r="CR97" i="18" s="1"/>
  <c r="CH97" i="18"/>
  <c r="CC97" i="18"/>
  <c r="CE97" i="18" s="1"/>
  <c r="BV97" i="18"/>
  <c r="CO96" i="18"/>
  <c r="CR96" i="18" s="1" a="1"/>
  <c r="CR96" i="18" s="1"/>
  <c r="CH96" i="18"/>
  <c r="CE96" i="18"/>
  <c r="CC96" i="18"/>
  <c r="CD96" i="18" s="1"/>
  <c r="BV96" i="18"/>
  <c r="CO95" i="18"/>
  <c r="CP95" i="18" s="1"/>
  <c r="CH95" i="18"/>
  <c r="CC95" i="18"/>
  <c r="CE95" i="18" s="1"/>
  <c r="BV95" i="18"/>
  <c r="CO94" i="18"/>
  <c r="CR94" i="18" s="1" a="1"/>
  <c r="CR94" i="18" s="1"/>
  <c r="CH94" i="18"/>
  <c r="CC94" i="18"/>
  <c r="CE94" i="18" s="1"/>
  <c r="BV94" i="18"/>
  <c r="CQ93" i="18"/>
  <c r="CP93" i="18"/>
  <c r="CO93" i="18"/>
  <c r="CH93" i="18"/>
  <c r="CC93" i="18"/>
  <c r="BV93" i="18"/>
  <c r="CO92" i="18"/>
  <c r="CQ92" i="18" s="1"/>
  <c r="CH92" i="18"/>
  <c r="CC92" i="18"/>
  <c r="CF92" i="18" s="1" a="1"/>
  <c r="CF92" i="18" s="1"/>
  <c r="BV92" i="18"/>
  <c r="CO91" i="18"/>
  <c r="CQ91" i="18" s="1"/>
  <c r="CH91" i="18"/>
  <c r="CE91" i="18"/>
  <c r="CD91" i="18"/>
  <c r="CC91" i="18"/>
  <c r="CF91" i="18" s="1" a="1"/>
  <c r="CF91" i="18" s="1"/>
  <c r="BV91" i="18"/>
  <c r="CO90" i="18"/>
  <c r="CR90" i="18" s="1" a="1"/>
  <c r="CR90" i="18" s="1"/>
  <c r="CH90" i="18"/>
  <c r="CC90" i="18"/>
  <c r="CD90" i="18" s="1"/>
  <c r="BV90" i="18"/>
  <c r="CP89" i="18"/>
  <c r="CO89" i="18"/>
  <c r="CR89" i="18" s="1" a="1"/>
  <c r="CR89" i="18" s="1"/>
  <c r="CH89" i="18"/>
  <c r="CC89" i="18"/>
  <c r="CF89" i="18" s="1" a="1"/>
  <c r="CF89" i="18" s="1"/>
  <c r="BV89" i="18"/>
  <c r="CO88" i="18"/>
  <c r="CR88" i="18" s="1" a="1"/>
  <c r="CR88" i="18" s="1"/>
  <c r="CH88" i="18"/>
  <c r="CE88" i="18"/>
  <c r="CC88" i="18"/>
  <c r="CF88" i="18" s="1" a="1"/>
  <c r="CF88" i="18" s="1"/>
  <c r="BV88" i="18"/>
  <c r="CQ87" i="18"/>
  <c r="CO87" i="18"/>
  <c r="CP87" i="18" s="1"/>
  <c r="CH87" i="18"/>
  <c r="CC87" i="18"/>
  <c r="CF87" i="18" s="1" a="1"/>
  <c r="CF87" i="18" s="1"/>
  <c r="BV87" i="18"/>
  <c r="CO86" i="18"/>
  <c r="CR86" i="18" s="1" a="1"/>
  <c r="CR86" i="18" s="1"/>
  <c r="CH86" i="18"/>
  <c r="CC86" i="18"/>
  <c r="CF86" i="18" s="1" a="1"/>
  <c r="CF86" i="18" s="1"/>
  <c r="BV86" i="18"/>
  <c r="CP85" i="18"/>
  <c r="CO85" i="18"/>
  <c r="CQ85" i="18" s="1"/>
  <c r="CH85" i="18"/>
  <c r="CC85" i="18"/>
  <c r="CF85" i="18" s="1" a="1"/>
  <c r="CF85" i="18" s="1"/>
  <c r="BV85" i="18"/>
  <c r="CO84" i="18"/>
  <c r="CR84" i="18" s="1" a="1"/>
  <c r="CR84" i="18" s="1"/>
  <c r="CH84" i="18"/>
  <c r="CE84" i="18"/>
  <c r="CC84" i="18"/>
  <c r="CD84" i="18" s="1"/>
  <c r="BV84" i="18"/>
  <c r="CQ83" i="18"/>
  <c r="CP83" i="18"/>
  <c r="CO83" i="18"/>
  <c r="CR83" i="18" s="1" a="1"/>
  <c r="CR83" i="18" s="1"/>
  <c r="CH83" i="18"/>
  <c r="CC83" i="18"/>
  <c r="CF83" i="18" s="1" a="1"/>
  <c r="CF83" i="18" s="1"/>
  <c r="BV83" i="18"/>
  <c r="CO82" i="18"/>
  <c r="CR82" i="18" s="1" a="1"/>
  <c r="CR82" i="18" s="1"/>
  <c r="CH82" i="18"/>
  <c r="CE82" i="18"/>
  <c r="CC82" i="18"/>
  <c r="BV82" i="18"/>
  <c r="CO81" i="18"/>
  <c r="CP81" i="18" s="1"/>
  <c r="CH81" i="18"/>
  <c r="CC81" i="18"/>
  <c r="CF81" i="18" s="1" a="1"/>
  <c r="CF81" i="18" s="1"/>
  <c r="BV81" i="18"/>
  <c r="CP80" i="18"/>
  <c r="CO80" i="18"/>
  <c r="CQ80" i="18" s="1"/>
  <c r="CH80" i="18"/>
  <c r="CC80" i="18"/>
  <c r="CF80" i="18" s="1" a="1"/>
  <c r="CF80" i="18" s="1"/>
  <c r="BV80" i="18"/>
  <c r="CO79" i="18"/>
  <c r="CQ79" i="18" s="1"/>
  <c r="CH79" i="18"/>
  <c r="CC79" i="18"/>
  <c r="CF79" i="18" s="1" a="1"/>
  <c r="CF79" i="18" s="1"/>
  <c r="BV79" i="18"/>
  <c r="CO78" i="18"/>
  <c r="CR78" i="18" s="1" a="1"/>
  <c r="CR78" i="18" s="1"/>
  <c r="CH78" i="18"/>
  <c r="CC78" i="18"/>
  <c r="CD78" i="18" s="1"/>
  <c r="BV78" i="18"/>
  <c r="CO77" i="18"/>
  <c r="CR77" i="18" s="1" a="1"/>
  <c r="CR77" i="18" s="1"/>
  <c r="CH77" i="18"/>
  <c r="CC77" i="18"/>
  <c r="CF77" i="18" s="1" a="1"/>
  <c r="CF77" i="18" s="1"/>
  <c r="BV77" i="18"/>
  <c r="CO76" i="18"/>
  <c r="CR76" i="18" s="1" a="1"/>
  <c r="CR76" i="18" s="1"/>
  <c r="CH76" i="18"/>
  <c r="CC76" i="18"/>
  <c r="CE76" i="18" s="1"/>
  <c r="BV76" i="18"/>
  <c r="CQ75" i="18"/>
  <c r="CO75" i="18"/>
  <c r="CR75" i="18" s="1" a="1"/>
  <c r="CR75" i="18" s="1"/>
  <c r="CH75" i="18"/>
  <c r="CC75" i="18"/>
  <c r="CF75" i="18" s="1" a="1"/>
  <c r="CF75" i="18" s="1"/>
  <c r="BV75" i="18"/>
  <c r="CO74" i="18"/>
  <c r="CQ74" i="18" s="1"/>
  <c r="CH74" i="18"/>
  <c r="CC74" i="18"/>
  <c r="CF74" i="18" s="1" a="1"/>
  <c r="CF74" i="18" s="1"/>
  <c r="BV74" i="18"/>
  <c r="CO73" i="18"/>
  <c r="CP73" i="18" s="1"/>
  <c r="CH73" i="18"/>
  <c r="CE73" i="18"/>
  <c r="CC73" i="18"/>
  <c r="CF73" i="18" s="1" a="1"/>
  <c r="CF73" i="18" s="1"/>
  <c r="BV73" i="18"/>
  <c r="CO72" i="18"/>
  <c r="CR72" i="18" s="1" a="1"/>
  <c r="CR72" i="18" s="1"/>
  <c r="CH72" i="18"/>
  <c r="CC72" i="18"/>
  <c r="CD72" i="18" s="1"/>
  <c r="BV72" i="18"/>
  <c r="CQ71" i="18"/>
  <c r="CP71" i="18"/>
  <c r="CO71" i="18"/>
  <c r="CR71" i="18" s="1" a="1"/>
  <c r="CR71" i="18" s="1"/>
  <c r="CH71" i="18"/>
  <c r="CC71" i="18"/>
  <c r="CE71" i="18" s="1"/>
  <c r="BV71" i="18"/>
  <c r="CO70" i="18"/>
  <c r="CR70" i="18" s="1" a="1"/>
  <c r="CR70" i="18" s="1"/>
  <c r="CH70" i="18"/>
  <c r="CC70" i="18"/>
  <c r="BV70" i="18"/>
  <c r="CQ69" i="18"/>
  <c r="CP69" i="18"/>
  <c r="CO69" i="18"/>
  <c r="CH69" i="18"/>
  <c r="CC69" i="18"/>
  <c r="CF69" i="18" s="1" a="1"/>
  <c r="CF69" i="18" s="1"/>
  <c r="BV69" i="18"/>
  <c r="CO68" i="18"/>
  <c r="CQ68" i="18" s="1"/>
  <c r="CH68" i="18"/>
  <c r="CC68" i="18"/>
  <c r="CF68" i="18" s="1" a="1"/>
  <c r="CF68" i="18" s="1"/>
  <c r="BV68" i="18"/>
  <c r="CQ67" i="18"/>
  <c r="CO67" i="18"/>
  <c r="CP67" i="18" s="1"/>
  <c r="CH67" i="18"/>
  <c r="CE67" i="18"/>
  <c r="CD67" i="18"/>
  <c r="CC67" i="18"/>
  <c r="CF67" i="18" s="1" a="1"/>
  <c r="CF67" i="18" s="1"/>
  <c r="BV67" i="18"/>
  <c r="CO66" i="18"/>
  <c r="CR66" i="18" s="1" a="1"/>
  <c r="CR66" i="18" s="1"/>
  <c r="CH66" i="18"/>
  <c r="CC66" i="18"/>
  <c r="CD66" i="18" s="1"/>
  <c r="BV66" i="18"/>
  <c r="CQ65" i="18"/>
  <c r="CP65" i="18"/>
  <c r="CO65" i="18"/>
  <c r="CR65" i="18" s="1" a="1"/>
  <c r="CR65" i="18" s="1"/>
  <c r="CH65" i="18"/>
  <c r="CE65" i="18"/>
  <c r="CC65" i="18"/>
  <c r="CD65" i="18" s="1"/>
  <c r="BV65" i="18"/>
  <c r="CO64" i="18"/>
  <c r="CR64" i="18" s="1" a="1"/>
  <c r="CR64" i="18" s="1"/>
  <c r="CH64" i="18"/>
  <c r="CC64" i="18"/>
  <c r="CF64" i="18" s="1" a="1"/>
  <c r="CF64" i="18" s="1"/>
  <c r="BV64" i="18"/>
  <c r="CO63" i="18"/>
  <c r="CP63" i="18" s="1"/>
  <c r="CH63" i="18"/>
  <c r="CC63" i="18"/>
  <c r="CF63" i="18" s="1" a="1"/>
  <c r="CF63" i="18" s="1"/>
  <c r="BV63" i="18"/>
  <c r="CP62" i="18"/>
  <c r="CO62" i="18"/>
  <c r="CQ62" i="18" s="1"/>
  <c r="CH62" i="18"/>
  <c r="CC62" i="18"/>
  <c r="CF62" i="18" s="1" a="1"/>
  <c r="CF62" i="18" s="1"/>
  <c r="BV62" i="18"/>
  <c r="CO61" i="18"/>
  <c r="CQ61" i="18" s="1"/>
  <c r="CH61" i="18"/>
  <c r="CC61" i="18"/>
  <c r="CE61" i="18" s="1"/>
  <c r="BV61" i="18"/>
  <c r="CP60" i="18"/>
  <c r="CO60" i="18"/>
  <c r="CR60" i="18" s="1" a="1"/>
  <c r="CR60" i="18" s="1"/>
  <c r="CH60" i="18"/>
  <c r="CC60" i="18"/>
  <c r="CD60" i="18" s="1"/>
  <c r="BV60" i="18"/>
  <c r="CO59" i="18"/>
  <c r="CQ59" i="18" s="1"/>
  <c r="CH59" i="18"/>
  <c r="CE59" i="18"/>
  <c r="CC59" i="18"/>
  <c r="CD59" i="18" s="1"/>
  <c r="BV59" i="18"/>
  <c r="CO58" i="18"/>
  <c r="CR58" i="18" s="1" a="1"/>
  <c r="CR58" i="18" s="1"/>
  <c r="CH58" i="18"/>
  <c r="CC58" i="18"/>
  <c r="BV58" i="18"/>
  <c r="CO57" i="18"/>
  <c r="CQ57" i="18" s="1"/>
  <c r="CH57" i="18"/>
  <c r="CC57" i="18"/>
  <c r="CF57" i="18" s="1" a="1"/>
  <c r="CF57" i="18" s="1"/>
  <c r="BV57" i="18"/>
  <c r="CQ56" i="18"/>
  <c r="CP56" i="18"/>
  <c r="CO56" i="18"/>
  <c r="CH56" i="18"/>
  <c r="CC56" i="18"/>
  <c r="CF56" i="18" s="1" a="1"/>
  <c r="CF56" i="18" s="1"/>
  <c r="BV56" i="18"/>
  <c r="CO55" i="18"/>
  <c r="CQ55" i="18" s="1"/>
  <c r="CH55" i="18"/>
  <c r="CC55" i="18"/>
  <c r="CF55" i="18" s="1" a="1"/>
  <c r="CF55" i="18" s="1"/>
  <c r="BV55" i="18"/>
  <c r="CO54" i="18"/>
  <c r="CR54" i="18" s="1" a="1"/>
  <c r="CR54" i="18" s="1"/>
  <c r="CH54" i="18"/>
  <c r="CC54" i="18"/>
  <c r="CD54" i="18" s="1"/>
  <c r="BV54" i="18"/>
  <c r="CQ53" i="18"/>
  <c r="CO53" i="18"/>
  <c r="CR53" i="18" s="1" a="1"/>
  <c r="CR53" i="18" s="1"/>
  <c r="CH53" i="18"/>
  <c r="CE53" i="18"/>
  <c r="CC53" i="18"/>
  <c r="CD53" i="18" s="1"/>
  <c r="BV53" i="18"/>
  <c r="CO52" i="18"/>
  <c r="CR52" i="18" s="1" a="1"/>
  <c r="CR52" i="18" s="1"/>
  <c r="CH52" i="18"/>
  <c r="CC52" i="18"/>
  <c r="CF52" i="18" s="1" a="1"/>
  <c r="CF52" i="18" s="1"/>
  <c r="BV52" i="18"/>
  <c r="CQ51" i="18"/>
  <c r="CP51" i="18"/>
  <c r="CO51" i="18"/>
  <c r="CR51" i="18" s="1" a="1"/>
  <c r="CR51" i="18" s="1"/>
  <c r="CH51" i="18"/>
  <c r="CC51" i="18"/>
  <c r="CF51" i="18" s="1" a="1"/>
  <c r="CF51" i="18" s="1"/>
  <c r="BV51" i="18"/>
  <c r="CO50" i="18"/>
  <c r="CR50" i="18" s="1" a="1"/>
  <c r="CR50" i="18" s="1"/>
  <c r="CH50" i="18"/>
  <c r="CC50" i="18"/>
  <c r="CF50" i="18" s="1" a="1"/>
  <c r="CF50" i="18" s="1"/>
  <c r="BV50" i="18"/>
  <c r="CP49" i="18"/>
  <c r="CO49" i="18"/>
  <c r="CQ49" i="18" s="1"/>
  <c r="CH49" i="18"/>
  <c r="CE49" i="18"/>
  <c r="CC49" i="18"/>
  <c r="CD49" i="18" s="1"/>
  <c r="BV49" i="18"/>
  <c r="CO48" i="18"/>
  <c r="CQ48" i="18" s="1"/>
  <c r="CH48" i="18"/>
  <c r="CE48" i="18"/>
  <c r="CC48" i="18"/>
  <c r="CD48" i="18" s="1"/>
  <c r="BV48" i="18"/>
  <c r="CO47" i="18"/>
  <c r="CQ47" i="18" s="1"/>
  <c r="CH47" i="18"/>
  <c r="CE47" i="18"/>
  <c r="CC47" i="18"/>
  <c r="CF47" i="18" s="1" a="1"/>
  <c r="CF47" i="18" s="1"/>
  <c r="BV47" i="18"/>
  <c r="CO46" i="18"/>
  <c r="CR46" i="18" s="1" a="1"/>
  <c r="CR46" i="18" s="1"/>
  <c r="CH46" i="18"/>
  <c r="CC46" i="18"/>
  <c r="CE46" i="18" s="1"/>
  <c r="BV46" i="18"/>
  <c r="CO45" i="18"/>
  <c r="CR45" i="18" s="1" a="1"/>
  <c r="CR45" i="18" s="1"/>
  <c r="CH45" i="18"/>
  <c r="CC45" i="18"/>
  <c r="CF45" i="18" s="1" a="1"/>
  <c r="CF45" i="18" s="1"/>
  <c r="BV45" i="18"/>
  <c r="CO44" i="18"/>
  <c r="CQ44" i="18" s="1"/>
  <c r="CH44" i="18"/>
  <c r="CC44" i="18"/>
  <c r="CF44" i="18" s="1" a="1"/>
  <c r="CF44" i="18" s="1"/>
  <c r="BV44" i="18"/>
  <c r="CP43" i="18"/>
  <c r="CO43" i="18"/>
  <c r="CQ43" i="18" s="1"/>
  <c r="CH43" i="18"/>
  <c r="CE43" i="18"/>
  <c r="CD43" i="18"/>
  <c r="CC43" i="18"/>
  <c r="CF43" i="18" s="1" a="1"/>
  <c r="CF43" i="18" s="1"/>
  <c r="BV43" i="18"/>
  <c r="CO42" i="18"/>
  <c r="CQ42" i="18" s="1"/>
  <c r="CH42" i="18"/>
  <c r="CC42" i="18"/>
  <c r="CD42" i="18" s="1"/>
  <c r="BV42" i="18"/>
  <c r="CO41" i="18"/>
  <c r="CR41" i="18" s="1" a="1"/>
  <c r="CR41" i="18" s="1"/>
  <c r="CH41" i="18"/>
  <c r="CC41" i="18"/>
  <c r="CE41" i="18" s="1"/>
  <c r="BV41" i="18"/>
  <c r="CO40" i="18"/>
  <c r="CR40" i="18" s="1" a="1"/>
  <c r="CR40" i="18" s="1"/>
  <c r="CH40" i="18"/>
  <c r="CC40" i="18"/>
  <c r="CF40" i="18" s="1" a="1"/>
  <c r="CF40" i="18" s="1"/>
  <c r="BV40" i="18"/>
  <c r="CQ39" i="18"/>
  <c r="CP39" i="18"/>
  <c r="CO39" i="18"/>
  <c r="CR39" i="18" s="1" a="1"/>
  <c r="CR39" i="18" s="1"/>
  <c r="CH39" i="18"/>
  <c r="CC39" i="18"/>
  <c r="CF39" i="18" s="1" a="1"/>
  <c r="CF39" i="18" s="1"/>
  <c r="BV39" i="18"/>
  <c r="CO38" i="18"/>
  <c r="CP38" i="18" s="1"/>
  <c r="CH38" i="18"/>
  <c r="CC38" i="18"/>
  <c r="CF38" i="18" s="1" a="1"/>
  <c r="CF38" i="18" s="1"/>
  <c r="BV38" i="18"/>
  <c r="CP37" i="18"/>
  <c r="CO37" i="18"/>
  <c r="CQ37" i="18" s="1"/>
  <c r="CH37" i="18"/>
  <c r="CE37" i="18"/>
  <c r="CC37" i="18"/>
  <c r="CD37" i="18" s="1"/>
  <c r="BV37" i="18"/>
  <c r="CO36" i="18"/>
  <c r="CQ36" i="18" s="1"/>
  <c r="CH36" i="18"/>
  <c r="CC36" i="18"/>
  <c r="CD36" i="18" s="1"/>
  <c r="BV36" i="18"/>
  <c r="CO35" i="18"/>
  <c r="CR35" i="18" s="1" a="1"/>
  <c r="CR35" i="18" s="1"/>
  <c r="CH35" i="18"/>
  <c r="CE35" i="18"/>
  <c r="CC35" i="18"/>
  <c r="CF35" i="18" s="1" a="1"/>
  <c r="CF35" i="18" s="1"/>
  <c r="BV35" i="18"/>
  <c r="CO34" i="18"/>
  <c r="CR34" i="18" s="1" a="1"/>
  <c r="CR34" i="18" s="1"/>
  <c r="CH34" i="18"/>
  <c r="CE34" i="18"/>
  <c r="CD34" i="18"/>
  <c r="CC34" i="18"/>
  <c r="BV34" i="18"/>
  <c r="CQ33" i="18"/>
  <c r="CP33" i="18"/>
  <c r="CO33" i="18"/>
  <c r="CH33" i="18"/>
  <c r="CC33" i="18"/>
  <c r="CE33" i="18" s="1"/>
  <c r="BV33" i="18"/>
  <c r="CO32" i="18"/>
  <c r="CQ32" i="18" s="1"/>
  <c r="CH32" i="18"/>
  <c r="CC32" i="18"/>
  <c r="CF32" i="18" s="1" a="1"/>
  <c r="CF32" i="18" s="1"/>
  <c r="BV32" i="18"/>
  <c r="CO31" i="18"/>
  <c r="CQ31" i="18" s="1"/>
  <c r="CH31" i="18"/>
  <c r="CE31" i="18"/>
  <c r="CC31" i="18"/>
  <c r="CF31" i="18" s="1" a="1"/>
  <c r="CF31" i="18" s="1"/>
  <c r="BV31" i="18"/>
  <c r="CO30" i="18"/>
  <c r="CP30" i="18" s="1"/>
  <c r="CH30" i="18"/>
  <c r="CC30" i="18"/>
  <c r="CD30" i="18" s="1"/>
  <c r="BV30" i="18"/>
  <c r="CO29" i="18"/>
  <c r="CP29" i="18" s="1"/>
  <c r="CH29" i="18"/>
  <c r="CE29" i="18"/>
  <c r="CC29" i="18"/>
  <c r="CF29" i="18" s="1" a="1"/>
  <c r="CF29" i="18" s="1"/>
  <c r="BV29" i="18"/>
  <c r="CO28" i="18"/>
  <c r="CR28" i="18" s="1" a="1"/>
  <c r="CR28" i="18" s="1"/>
  <c r="CH28" i="18"/>
  <c r="CE28" i="18"/>
  <c r="CD28" i="18"/>
  <c r="CC28" i="18"/>
  <c r="CF28" i="18" s="1" a="1"/>
  <c r="CF28" i="18" s="1"/>
  <c r="BV28" i="18"/>
  <c r="CQ27" i="18"/>
  <c r="CO27" i="18"/>
  <c r="CP27" i="18" s="1"/>
  <c r="CH27" i="18"/>
  <c r="CE27" i="18"/>
  <c r="CC27" i="18"/>
  <c r="CD27" i="18" s="1"/>
  <c r="BV27" i="18"/>
  <c r="CP26" i="18"/>
  <c r="CO26" i="18"/>
  <c r="CR26" i="18" s="1" a="1"/>
  <c r="CR26" i="18" s="1"/>
  <c r="CH26" i="18"/>
  <c r="CC26" i="18"/>
  <c r="CF26" i="18" s="1" a="1"/>
  <c r="CF26" i="18" s="1"/>
  <c r="BV26" i="18"/>
  <c r="CP25" i="18"/>
  <c r="CO25" i="18"/>
  <c r="CQ25" i="18" s="1"/>
  <c r="CH25" i="18"/>
  <c r="CC25" i="18"/>
  <c r="CF25" i="18" s="1" a="1"/>
  <c r="CF25" i="18" s="1"/>
  <c r="BV25" i="18"/>
  <c r="CO24" i="18"/>
  <c r="CP24" i="18" s="1"/>
  <c r="CH24" i="18"/>
  <c r="CC24" i="18"/>
  <c r="CD24" i="18" s="1"/>
  <c r="BV24" i="18"/>
  <c r="CO23" i="18"/>
  <c r="CR23" i="18" s="1" a="1"/>
  <c r="CR23" i="18" s="1"/>
  <c r="CH23" i="18"/>
  <c r="CC23" i="18"/>
  <c r="CF23" i="18" s="1" a="1"/>
  <c r="CF23" i="18" s="1"/>
  <c r="BV23" i="18"/>
  <c r="CO22" i="18"/>
  <c r="CR22" i="18" s="1" a="1"/>
  <c r="CR22" i="18" s="1"/>
  <c r="CH22" i="18"/>
  <c r="CC22" i="18"/>
  <c r="CE22" i="18" s="1"/>
  <c r="BV22" i="18"/>
  <c r="CO21" i="18"/>
  <c r="CP21" i="18" s="1"/>
  <c r="CH21" i="18"/>
  <c r="CC21" i="18"/>
  <c r="CE21" i="18" s="1"/>
  <c r="BV21" i="18"/>
  <c r="CO20" i="18"/>
  <c r="CQ20" i="18" s="1"/>
  <c r="CH20" i="18"/>
  <c r="CC20" i="18"/>
  <c r="CF20" i="18" s="1" a="1"/>
  <c r="CF20" i="18" s="1"/>
  <c r="BV20" i="18"/>
  <c r="CO19" i="18"/>
  <c r="CQ19" i="18" s="1"/>
  <c r="CH19" i="18"/>
  <c r="CE19" i="18"/>
  <c r="CC19" i="18"/>
  <c r="CF19" i="18" s="1" a="1"/>
  <c r="CF19" i="18" s="1"/>
  <c r="BV19" i="18"/>
  <c r="CO18" i="18"/>
  <c r="CP18" i="18" s="1"/>
  <c r="CH18" i="18"/>
  <c r="CC18" i="18"/>
  <c r="CD18" i="18" s="1"/>
  <c r="BV18" i="18"/>
  <c r="CO17" i="18"/>
  <c r="CR17" i="18" s="1" a="1"/>
  <c r="CR17" i="18" s="1"/>
  <c r="CH17" i="18"/>
  <c r="CC17" i="18"/>
  <c r="CF17" i="18" s="1" a="1"/>
  <c r="CF17" i="18" s="1"/>
  <c r="BV17" i="18"/>
  <c r="CO16" i="18"/>
  <c r="CP16" i="18" s="1"/>
  <c r="CH16" i="18"/>
  <c r="CE16" i="18"/>
  <c r="CD16" i="18"/>
  <c r="CC16" i="18"/>
  <c r="CF16" i="18" s="1" a="1"/>
  <c r="CF16" i="18" s="1"/>
  <c r="BV16" i="18"/>
  <c r="CQ15" i="18"/>
  <c r="CO15" i="18"/>
  <c r="CP15" i="18" s="1"/>
  <c r="CH15" i="18"/>
  <c r="CC15" i="18"/>
  <c r="CF15" i="18" s="1" a="1"/>
  <c r="CF15" i="18" s="1"/>
  <c r="BV15" i="18"/>
  <c r="CO14" i="18"/>
  <c r="CQ14" i="18" s="1"/>
  <c r="CH14" i="18"/>
  <c r="CC14" i="18"/>
  <c r="CF14" i="18" s="1" a="1"/>
  <c r="CF14" i="18" s="1"/>
  <c r="BV14" i="18"/>
  <c r="CO13" i="18"/>
  <c r="CQ13" i="18" s="1"/>
  <c r="CH13" i="18"/>
  <c r="CC13" i="18"/>
  <c r="CE13" i="18" s="1"/>
  <c r="BV13" i="18"/>
  <c r="CO12" i="18"/>
  <c r="CQ12" i="18" s="1"/>
  <c r="CH12" i="18"/>
  <c r="CC12" i="18"/>
  <c r="CF12" i="18" s="1" a="1"/>
  <c r="CF12" i="18" s="1"/>
  <c r="BV12" i="18"/>
  <c r="CO11" i="18"/>
  <c r="CR11" i="18" s="1" a="1"/>
  <c r="CR11" i="18" s="1"/>
  <c r="CH11" i="18"/>
  <c r="CE11" i="18"/>
  <c r="CD11" i="18"/>
  <c r="CC11" i="18"/>
  <c r="CF11" i="18" s="1" a="1"/>
  <c r="CF11" i="18" s="1"/>
  <c r="BV11" i="18"/>
  <c r="CQ10" i="18"/>
  <c r="CO10" i="18"/>
  <c r="CP10" i="18" s="1"/>
  <c r="CH10" i="18"/>
  <c r="CC10" i="18"/>
  <c r="BV10" i="18"/>
  <c r="CO9" i="18"/>
  <c r="CH9" i="18"/>
  <c r="CC9" i="18"/>
  <c r="CF9" i="18" s="1" a="1"/>
  <c r="CF9" i="18" s="1"/>
  <c r="BV9" i="18"/>
  <c r="CP8" i="18"/>
  <c r="CO8" i="18"/>
  <c r="CH8" i="18"/>
  <c r="CE8" i="18"/>
  <c r="CC8" i="18"/>
  <c r="CF8" i="18" s="1" a="1"/>
  <c r="CF8" i="18" s="1"/>
  <c r="BV8" i="18"/>
  <c r="CO7" i="18"/>
  <c r="CP7" i="18" s="1"/>
  <c r="CH7" i="18"/>
  <c r="CC7" i="18"/>
  <c r="CE7" i="18" s="1"/>
  <c r="BV7" i="18"/>
  <c r="CO6" i="18"/>
  <c r="CR6" i="18" s="1" a="1"/>
  <c r="CR6" i="18" s="1"/>
  <c r="CH6" i="18"/>
  <c r="CC6" i="18"/>
  <c r="CF6" i="18" s="1" a="1"/>
  <c r="CF6" i="18" s="1"/>
  <c r="BV6" i="18"/>
  <c r="CO5" i="18"/>
  <c r="CR3" i="18" s="1" a="1"/>
  <c r="CR3" i="18" s="1"/>
  <c r="CC5" i="18"/>
  <c r="CF5" i="18" s="1"/>
  <c r="CF3" i="18" a="1"/>
  <c r="CF3" i="18" s="1"/>
  <c r="CL2" i="18"/>
  <c r="CL2" i="18" a="1"/>
  <c r="BZ2" i="18" a="1"/>
  <c r="BZ2" i="18" s="1"/>
  <c r="BQ115" i="18"/>
  <c r="BT115" i="18" s="1" a="1"/>
  <c r="BT115" i="18" s="1"/>
  <c r="BJ115" i="18"/>
  <c r="BE115" i="18"/>
  <c r="BG115" i="18" s="1"/>
  <c r="AX115" i="18"/>
  <c r="BQ114" i="18"/>
  <c r="BS114" i="18" s="1"/>
  <c r="BJ114" i="18"/>
  <c r="BG114" i="18"/>
  <c r="BE114" i="18"/>
  <c r="BF114" i="18" s="1"/>
  <c r="AX114" i="18"/>
  <c r="BQ113" i="18"/>
  <c r="BT113" i="18" s="1" a="1"/>
  <c r="BT113" i="18" s="1"/>
  <c r="BJ113" i="18"/>
  <c r="BE113" i="18"/>
  <c r="BH113" i="18" s="1" a="1"/>
  <c r="BH113" i="18" s="1"/>
  <c r="AX113" i="18"/>
  <c r="BQ112" i="18"/>
  <c r="BS112" i="18" s="1"/>
  <c r="BJ112" i="18"/>
  <c r="BE112" i="18"/>
  <c r="BG112" i="18" s="1"/>
  <c r="AX112" i="18"/>
  <c r="BQ111" i="18"/>
  <c r="BS111" i="18" s="1"/>
  <c r="BJ111" i="18"/>
  <c r="BE111" i="18"/>
  <c r="BH111" i="18" s="1" a="1"/>
  <c r="BH111" i="18" s="1"/>
  <c r="AX111" i="18"/>
  <c r="BS110" i="18"/>
  <c r="BR110" i="18"/>
  <c r="BQ110" i="18"/>
  <c r="BJ110" i="18"/>
  <c r="BE110" i="18"/>
  <c r="BH110" i="18" s="1" a="1"/>
  <c r="BH110" i="18" s="1"/>
  <c r="AX110" i="18"/>
  <c r="BQ109" i="18"/>
  <c r="BJ109" i="18"/>
  <c r="BE109" i="18"/>
  <c r="BG109" i="18" s="1"/>
  <c r="AX109" i="18"/>
  <c r="BQ108" i="18"/>
  <c r="BS108" i="18" s="1"/>
  <c r="BJ108" i="18"/>
  <c r="BE108" i="18"/>
  <c r="BF108" i="18" s="1"/>
  <c r="AX108" i="18"/>
  <c r="BQ107" i="18"/>
  <c r="BT107" i="18" s="1" a="1"/>
  <c r="BT107" i="18" s="1"/>
  <c r="BJ107" i="18"/>
  <c r="BE107" i="18"/>
  <c r="BH107" i="18" s="1" a="1"/>
  <c r="BH107" i="18" s="1"/>
  <c r="AX107" i="18"/>
  <c r="BQ106" i="18"/>
  <c r="BT106" i="18" s="1" a="1"/>
  <c r="BT106" i="18" s="1"/>
  <c r="BJ106" i="18"/>
  <c r="BG106" i="18"/>
  <c r="BE106" i="18"/>
  <c r="BH106" i="18" s="1" a="1"/>
  <c r="BH106" i="18" s="1"/>
  <c r="AX106" i="18"/>
  <c r="BS105" i="18"/>
  <c r="BR105" i="18"/>
  <c r="BQ105" i="18"/>
  <c r="BT105" i="18" s="1" a="1"/>
  <c r="BT105" i="18" s="1"/>
  <c r="BJ105" i="18"/>
  <c r="BE105" i="18"/>
  <c r="BG105" i="18" s="1"/>
  <c r="AX105" i="18"/>
  <c r="BQ104" i="18"/>
  <c r="BS104" i="18" s="1"/>
  <c r="BJ104" i="18"/>
  <c r="BF104" i="18"/>
  <c r="BE104" i="18"/>
  <c r="BH104" i="18" s="1" a="1"/>
  <c r="BH104" i="18" s="1"/>
  <c r="AX104" i="18"/>
  <c r="BQ103" i="18"/>
  <c r="BT103" i="18" s="1" a="1"/>
  <c r="BT103" i="18" s="1"/>
  <c r="BJ103" i="18"/>
  <c r="BF103" i="18"/>
  <c r="BE103" i="18"/>
  <c r="BG103" i="18" s="1"/>
  <c r="AX103" i="18"/>
  <c r="BQ102" i="18"/>
  <c r="BS102" i="18" s="1"/>
  <c r="BJ102" i="18"/>
  <c r="BE102" i="18"/>
  <c r="BF102" i="18" s="1"/>
  <c r="AX102" i="18"/>
  <c r="BQ101" i="18"/>
  <c r="BT101" i="18" s="1" a="1"/>
  <c r="BT101" i="18" s="1"/>
  <c r="BJ101" i="18"/>
  <c r="BE101" i="18"/>
  <c r="BH101" i="18" s="1" a="1"/>
  <c r="BH101" i="18" s="1"/>
  <c r="AX101" i="18"/>
  <c r="BS100" i="18"/>
  <c r="BQ100" i="18"/>
  <c r="BT100" i="18" s="1" a="1"/>
  <c r="BT100" i="18" s="1"/>
  <c r="BJ100" i="18"/>
  <c r="BF100" i="18"/>
  <c r="BE100" i="18"/>
  <c r="BG100" i="18" s="1"/>
  <c r="AX100" i="18"/>
  <c r="BR99" i="18"/>
  <c r="BQ99" i="18"/>
  <c r="BS99" i="18" s="1"/>
  <c r="BJ99" i="18"/>
  <c r="BE99" i="18"/>
  <c r="BG99" i="18" s="1"/>
  <c r="AX99" i="18"/>
  <c r="BQ98" i="18"/>
  <c r="BS98" i="18" s="1"/>
  <c r="BJ98" i="18"/>
  <c r="BE98" i="18"/>
  <c r="BH98" i="18" s="1" a="1"/>
  <c r="BH98" i="18" s="1"/>
  <c r="AX98" i="18"/>
  <c r="BQ97" i="18"/>
  <c r="BJ97" i="18"/>
  <c r="BF97" i="18"/>
  <c r="BE97" i="18"/>
  <c r="BG97" i="18" s="1"/>
  <c r="AX97" i="18"/>
  <c r="BQ96" i="18"/>
  <c r="BS96" i="18" s="1"/>
  <c r="BJ96" i="18"/>
  <c r="BG96" i="18"/>
  <c r="BE96" i="18"/>
  <c r="BF96" i="18" s="1"/>
  <c r="AX96" i="18"/>
  <c r="BQ95" i="18"/>
  <c r="BT95" i="18" s="1" a="1"/>
  <c r="BT95" i="18" s="1"/>
  <c r="BJ95" i="18"/>
  <c r="BE95" i="18"/>
  <c r="BH95" i="18" s="1" a="1"/>
  <c r="BH95" i="18" s="1"/>
  <c r="AX95" i="18"/>
  <c r="BQ94" i="18"/>
  <c r="BT94" i="18" s="1" a="1"/>
  <c r="BT94" i="18" s="1"/>
  <c r="BJ94" i="18"/>
  <c r="BG94" i="18"/>
  <c r="BF94" i="18"/>
  <c r="BE94" i="18"/>
  <c r="BH94" i="18" s="1" a="1"/>
  <c r="BH94" i="18" s="1"/>
  <c r="AX94" i="18"/>
  <c r="BS93" i="18"/>
  <c r="BR93" i="18"/>
  <c r="BQ93" i="18"/>
  <c r="BT93" i="18" s="1" a="1"/>
  <c r="BT93" i="18" s="1"/>
  <c r="BJ93" i="18"/>
  <c r="BE93" i="18"/>
  <c r="BG93" i="18" s="1"/>
  <c r="AX93" i="18"/>
  <c r="BQ92" i="18"/>
  <c r="BS92" i="18" s="1"/>
  <c r="BJ92" i="18"/>
  <c r="BF92" i="18"/>
  <c r="BE92" i="18"/>
  <c r="BH92" i="18" s="1" a="1"/>
  <c r="BH92" i="18" s="1"/>
  <c r="AX92" i="18"/>
  <c r="BQ91" i="18"/>
  <c r="BT91" i="18" s="1" a="1"/>
  <c r="BT91" i="18" s="1"/>
  <c r="BJ91" i="18"/>
  <c r="BF91" i="18"/>
  <c r="BE91" i="18"/>
  <c r="BG91" i="18" s="1"/>
  <c r="AX91" i="18"/>
  <c r="BS90" i="18"/>
  <c r="BQ90" i="18"/>
  <c r="BR90" i="18" s="1"/>
  <c r="BJ90" i="18"/>
  <c r="BE90" i="18"/>
  <c r="BF90" i="18" s="1"/>
  <c r="AX90" i="18"/>
  <c r="BQ89" i="18"/>
  <c r="BT89" i="18" s="1" a="1"/>
  <c r="BT89" i="18" s="1"/>
  <c r="BJ89" i="18"/>
  <c r="BE89" i="18"/>
  <c r="AX89" i="18"/>
  <c r="BQ88" i="18"/>
  <c r="BT88" i="18" s="1" a="1"/>
  <c r="BT88" i="18" s="1"/>
  <c r="BJ88" i="18"/>
  <c r="BE88" i="18"/>
  <c r="BG88" i="18" s="1"/>
  <c r="AX88" i="18"/>
  <c r="BS87" i="18"/>
  <c r="BR87" i="18"/>
  <c r="BQ87" i="18"/>
  <c r="BT87" i="18" s="1" a="1"/>
  <c r="BT87" i="18" s="1"/>
  <c r="BJ87" i="18"/>
  <c r="BE87" i="18"/>
  <c r="BG87" i="18" s="1"/>
  <c r="AX87" i="18"/>
  <c r="BQ86" i="18"/>
  <c r="BS86" i="18" s="1"/>
  <c r="BJ86" i="18"/>
  <c r="BE86" i="18"/>
  <c r="BH86" i="18" s="1" a="1"/>
  <c r="BH86" i="18" s="1"/>
  <c r="AX86" i="18"/>
  <c r="BQ85" i="18"/>
  <c r="BJ85" i="18"/>
  <c r="BF85" i="18"/>
  <c r="BE85" i="18"/>
  <c r="BG85" i="18" s="1"/>
  <c r="AX85" i="18"/>
  <c r="BQ84" i="18"/>
  <c r="BR84" i="18" s="1"/>
  <c r="BJ84" i="18"/>
  <c r="BG84" i="18"/>
  <c r="BE84" i="18"/>
  <c r="BF84" i="18" s="1"/>
  <c r="AX84" i="18"/>
  <c r="BQ83" i="18"/>
  <c r="BT83" i="18" s="1" a="1"/>
  <c r="BT83" i="18" s="1"/>
  <c r="BJ83" i="18"/>
  <c r="BE83" i="18"/>
  <c r="BH83" i="18" s="1" a="1"/>
  <c r="BH83" i="18" s="1"/>
  <c r="AX83" i="18"/>
  <c r="BS82" i="18"/>
  <c r="BQ82" i="18"/>
  <c r="BT82" i="18" s="1" a="1"/>
  <c r="BT82" i="18" s="1"/>
  <c r="BJ82" i="18"/>
  <c r="BG82" i="18"/>
  <c r="BE82" i="18"/>
  <c r="BF82" i="18" s="1"/>
  <c r="AX82" i="18"/>
  <c r="BS81" i="18"/>
  <c r="BR81" i="18"/>
  <c r="BQ81" i="18"/>
  <c r="BT81" i="18" s="1" a="1"/>
  <c r="BT81" i="18" s="1"/>
  <c r="BJ81" i="18"/>
  <c r="BE81" i="18"/>
  <c r="BG81" i="18" s="1"/>
  <c r="AX81" i="18"/>
  <c r="BQ80" i="18"/>
  <c r="BS80" i="18" s="1"/>
  <c r="BJ80" i="18"/>
  <c r="BF80" i="18"/>
  <c r="BE80" i="18"/>
  <c r="BH80" i="18" s="1" a="1"/>
  <c r="BH80" i="18" s="1"/>
  <c r="AX80" i="18"/>
  <c r="BQ79" i="18"/>
  <c r="BT79" i="18" s="1" a="1"/>
  <c r="BT79" i="18" s="1"/>
  <c r="BJ79" i="18"/>
  <c r="BE79" i="18"/>
  <c r="BG79" i="18" s="1"/>
  <c r="AX79" i="18"/>
  <c r="BQ78" i="18"/>
  <c r="BR78" i="18" s="1"/>
  <c r="BJ78" i="18"/>
  <c r="BE78" i="18"/>
  <c r="BF78" i="18" s="1"/>
  <c r="AX78" i="18"/>
  <c r="BQ77" i="18"/>
  <c r="BT77" i="18" s="1" a="1"/>
  <c r="BT77" i="18" s="1"/>
  <c r="BJ77" i="18"/>
  <c r="BE77" i="18"/>
  <c r="AX77" i="18"/>
  <c r="BQ76" i="18"/>
  <c r="BT76" i="18" s="1" a="1"/>
  <c r="BT76" i="18" s="1"/>
  <c r="BJ76" i="18"/>
  <c r="BG76" i="18"/>
  <c r="BE76" i="18"/>
  <c r="BF76" i="18" s="1"/>
  <c r="AX76" i="18"/>
  <c r="BR75" i="18"/>
  <c r="BQ75" i="18"/>
  <c r="BS75" i="18" s="1"/>
  <c r="BJ75" i="18"/>
  <c r="BE75" i="18"/>
  <c r="BG75" i="18" s="1"/>
  <c r="AX75" i="18"/>
  <c r="BQ74" i="18"/>
  <c r="BS74" i="18" s="1"/>
  <c r="BJ74" i="18"/>
  <c r="BF74" i="18"/>
  <c r="BE74" i="18"/>
  <c r="BH74" i="18" s="1" a="1"/>
  <c r="BH74" i="18" s="1"/>
  <c r="AX74" i="18"/>
  <c r="BQ73" i="18"/>
  <c r="BT73" i="18" s="1" a="1"/>
  <c r="BT73" i="18" s="1"/>
  <c r="BJ73" i="18"/>
  <c r="BE73" i="18"/>
  <c r="BG73" i="18" s="1"/>
  <c r="AX73" i="18"/>
  <c r="BQ72" i="18"/>
  <c r="BR72" i="18" s="1"/>
  <c r="BJ72" i="18"/>
  <c r="BG72" i="18"/>
  <c r="BE72" i="18"/>
  <c r="BF72" i="18" s="1"/>
  <c r="AX72" i="18"/>
  <c r="BQ71" i="18"/>
  <c r="BT71" i="18" s="1" a="1"/>
  <c r="BT71" i="18" s="1"/>
  <c r="BJ71" i="18"/>
  <c r="BE71" i="18"/>
  <c r="BH71" i="18" s="1" a="1"/>
  <c r="BH71" i="18" s="1"/>
  <c r="AX71" i="18"/>
  <c r="BS70" i="18"/>
  <c r="BQ70" i="18"/>
  <c r="BT70" i="18" s="1" a="1"/>
  <c r="BT70" i="18" s="1"/>
  <c r="BJ70" i="18"/>
  <c r="BE70" i="18"/>
  <c r="BH70" i="18" s="1" a="1"/>
  <c r="BH70" i="18" s="1"/>
  <c r="AX70" i="18"/>
  <c r="BS69" i="18"/>
  <c r="BR69" i="18"/>
  <c r="BQ69" i="18"/>
  <c r="BT69" i="18" s="1" a="1"/>
  <c r="BT69" i="18" s="1"/>
  <c r="BJ69" i="18"/>
  <c r="BE69" i="18"/>
  <c r="BG69" i="18" s="1"/>
  <c r="AX69" i="18"/>
  <c r="BQ68" i="18"/>
  <c r="BS68" i="18" s="1"/>
  <c r="BJ68" i="18"/>
  <c r="BE68" i="18"/>
  <c r="BH68" i="18" s="1" a="1"/>
  <c r="BH68" i="18" s="1"/>
  <c r="AX68" i="18"/>
  <c r="BQ67" i="18"/>
  <c r="BT67" i="18" s="1" a="1"/>
  <c r="BT67" i="18" s="1"/>
  <c r="BJ67" i="18"/>
  <c r="BE67" i="18"/>
  <c r="BG67" i="18" s="1"/>
  <c r="AX67" i="18"/>
  <c r="BS66" i="18"/>
  <c r="BQ66" i="18"/>
  <c r="BR66" i="18" s="1"/>
  <c r="BJ66" i="18"/>
  <c r="BG66" i="18"/>
  <c r="BE66" i="18"/>
  <c r="BF66" i="18" s="1"/>
  <c r="AX66" i="18"/>
  <c r="BQ65" i="18"/>
  <c r="BT65" i="18" s="1" a="1"/>
  <c r="BT65" i="18" s="1"/>
  <c r="BJ65" i="18"/>
  <c r="BE65" i="18"/>
  <c r="AX65" i="18"/>
  <c r="BS64" i="18"/>
  <c r="BQ64" i="18"/>
  <c r="BJ64" i="18"/>
  <c r="BE64" i="18"/>
  <c r="BG64" i="18" s="1"/>
  <c r="AX64" i="18"/>
  <c r="BS63" i="18"/>
  <c r="BQ63" i="18"/>
  <c r="BR63" i="18" s="1"/>
  <c r="BJ63" i="18"/>
  <c r="BE63" i="18"/>
  <c r="BG63" i="18" s="1"/>
  <c r="AX63" i="18"/>
  <c r="BQ62" i="18"/>
  <c r="BS62" i="18" s="1"/>
  <c r="BJ62" i="18"/>
  <c r="BF62" i="18"/>
  <c r="BE62" i="18"/>
  <c r="BH62" i="18" s="1" a="1"/>
  <c r="BH62" i="18" s="1"/>
  <c r="AX62" i="18"/>
  <c r="BQ61" i="18"/>
  <c r="BT61" i="18" s="1" a="1"/>
  <c r="BT61" i="18" s="1"/>
  <c r="BJ61" i="18"/>
  <c r="BE61" i="18"/>
  <c r="BG61" i="18" s="1"/>
  <c r="AX61" i="18"/>
  <c r="BS60" i="18"/>
  <c r="BQ60" i="18"/>
  <c r="BR60" i="18" s="1"/>
  <c r="BJ60" i="18"/>
  <c r="BG60" i="18"/>
  <c r="BE60" i="18"/>
  <c r="BF60" i="18" s="1"/>
  <c r="AX60" i="18"/>
  <c r="BQ59" i="18"/>
  <c r="BT59" i="18" s="1" a="1"/>
  <c r="BT59" i="18" s="1"/>
  <c r="BJ59" i="18"/>
  <c r="BE59" i="18"/>
  <c r="BH59" i="18" s="1" a="1"/>
  <c r="BH59" i="18" s="1"/>
  <c r="AX59" i="18"/>
  <c r="BQ58" i="18"/>
  <c r="BT58" i="18" s="1" a="1"/>
  <c r="BT58" i="18" s="1"/>
  <c r="BJ58" i="18"/>
  <c r="BE58" i="18"/>
  <c r="BG58" i="18" s="1"/>
  <c r="AX58" i="18"/>
  <c r="BQ57" i="18"/>
  <c r="BS57" i="18" s="1"/>
  <c r="BJ57" i="18"/>
  <c r="BE57" i="18"/>
  <c r="BG57" i="18" s="1"/>
  <c r="AX57" i="18"/>
  <c r="BQ56" i="18"/>
  <c r="BS56" i="18" s="1"/>
  <c r="BJ56" i="18"/>
  <c r="BE56" i="18"/>
  <c r="BF56" i="18" s="1"/>
  <c r="AX56" i="18"/>
  <c r="BQ55" i="18"/>
  <c r="BT55" i="18" s="1" a="1"/>
  <c r="BT55" i="18" s="1"/>
  <c r="BJ55" i="18"/>
  <c r="BE55" i="18"/>
  <c r="BG55" i="18" s="1"/>
  <c r="AX55" i="18"/>
  <c r="BS54" i="18"/>
  <c r="BQ54" i="18"/>
  <c r="BR54" i="18" s="1"/>
  <c r="BJ54" i="18"/>
  <c r="BG54" i="18"/>
  <c r="BE54" i="18"/>
  <c r="BF54" i="18" s="1"/>
  <c r="AX54" i="18"/>
  <c r="BQ53" i="18"/>
  <c r="BT53" i="18" s="1" a="1"/>
  <c r="BT53" i="18" s="1"/>
  <c r="BJ53" i="18"/>
  <c r="BE53" i="18"/>
  <c r="AX53" i="18"/>
  <c r="BQ52" i="18"/>
  <c r="BT52" i="18" s="1" a="1"/>
  <c r="BT52" i="18" s="1"/>
  <c r="BJ52" i="18"/>
  <c r="BE52" i="18"/>
  <c r="BG52" i="18" s="1"/>
  <c r="AX52" i="18"/>
  <c r="BR51" i="18"/>
  <c r="BQ51" i="18"/>
  <c r="BS51" i="18" s="1"/>
  <c r="BJ51" i="18"/>
  <c r="BE51" i="18"/>
  <c r="BG51" i="18" s="1"/>
  <c r="AX51" i="18"/>
  <c r="BQ50" i="18"/>
  <c r="BS50" i="18" s="1"/>
  <c r="BJ50" i="18"/>
  <c r="BE50" i="18"/>
  <c r="BH50" i="18" s="1" a="1"/>
  <c r="BH50" i="18" s="1"/>
  <c r="AX50" i="18"/>
  <c r="BQ49" i="18"/>
  <c r="BT49" i="18" s="1" a="1"/>
  <c r="BT49" i="18" s="1"/>
  <c r="BJ49" i="18"/>
  <c r="BE49" i="18"/>
  <c r="BG49" i="18" s="1"/>
  <c r="AX49" i="18"/>
  <c r="BS48" i="18"/>
  <c r="BQ48" i="18"/>
  <c r="BR48" i="18" s="1"/>
  <c r="BJ48" i="18"/>
  <c r="BE48" i="18"/>
  <c r="BF48" i="18" s="1"/>
  <c r="AX48" i="18"/>
  <c r="BQ47" i="18"/>
  <c r="BT47" i="18" s="1" a="1"/>
  <c r="BT47" i="18" s="1"/>
  <c r="BJ47" i="18"/>
  <c r="BE47" i="18"/>
  <c r="BH47" i="18" s="1" a="1"/>
  <c r="BH47" i="18" s="1"/>
  <c r="AX47" i="18"/>
  <c r="BQ46" i="18"/>
  <c r="BS46" i="18" s="1"/>
  <c r="BJ46" i="18"/>
  <c r="BG46" i="18"/>
  <c r="BF46" i="18"/>
  <c r="BE46" i="18"/>
  <c r="BH46" i="18" s="1" a="1"/>
  <c r="BH46" i="18" s="1"/>
  <c r="AX46" i="18"/>
  <c r="BQ45" i="18"/>
  <c r="BR45" i="18" s="1"/>
  <c r="BJ45" i="18"/>
  <c r="BE45" i="18"/>
  <c r="BG45" i="18" s="1"/>
  <c r="AX45" i="18"/>
  <c r="BQ44" i="18"/>
  <c r="BS44" i="18" s="1"/>
  <c r="BJ44" i="18"/>
  <c r="BE44" i="18"/>
  <c r="BF44" i="18" s="1"/>
  <c r="AX44" i="18"/>
  <c r="BQ43" i="18"/>
  <c r="BT43" i="18" s="1" a="1"/>
  <c r="BT43" i="18" s="1"/>
  <c r="BJ43" i="18"/>
  <c r="BE43" i="18"/>
  <c r="BG43" i="18" s="1"/>
  <c r="AX43" i="18"/>
  <c r="BQ42" i="18"/>
  <c r="BR42" i="18" s="1"/>
  <c r="BJ42" i="18"/>
  <c r="BG42" i="18"/>
  <c r="BE42" i="18"/>
  <c r="BF42" i="18" s="1"/>
  <c r="AX42" i="18"/>
  <c r="BQ41" i="18"/>
  <c r="BT41" i="18" s="1" a="1"/>
  <c r="BT41" i="18" s="1"/>
  <c r="BJ41" i="18"/>
  <c r="BE41" i="18"/>
  <c r="AX41" i="18"/>
  <c r="BQ40" i="18"/>
  <c r="BJ40" i="18"/>
  <c r="BF40" i="18"/>
  <c r="BE40" i="18"/>
  <c r="BG40" i="18" s="1"/>
  <c r="AX40" i="18"/>
  <c r="BR39" i="18"/>
  <c r="BQ39" i="18"/>
  <c r="BS39" i="18" s="1"/>
  <c r="BJ39" i="18"/>
  <c r="BE39" i="18"/>
  <c r="BG39" i="18" s="1"/>
  <c r="AX39" i="18"/>
  <c r="BQ38" i="18"/>
  <c r="BS38" i="18" s="1"/>
  <c r="BJ38" i="18"/>
  <c r="BE38" i="18"/>
  <c r="BF38" i="18" s="1"/>
  <c r="AX38" i="18"/>
  <c r="BQ37" i="18"/>
  <c r="BT37" i="18" s="1" a="1"/>
  <c r="BT37" i="18" s="1"/>
  <c r="BJ37" i="18"/>
  <c r="BF37" i="18"/>
  <c r="BE37" i="18"/>
  <c r="BG37" i="18" s="1"/>
  <c r="AX37" i="18"/>
  <c r="BS36" i="18"/>
  <c r="BQ36" i="18"/>
  <c r="BR36" i="18" s="1"/>
  <c r="BJ36" i="18"/>
  <c r="BG36" i="18"/>
  <c r="BE36" i="18"/>
  <c r="BF36" i="18" s="1"/>
  <c r="AX36" i="18"/>
  <c r="BQ35" i="18"/>
  <c r="BT35" i="18" s="1" a="1"/>
  <c r="BT35" i="18" s="1"/>
  <c r="BJ35" i="18"/>
  <c r="BE35" i="18"/>
  <c r="BH35" i="18" s="1" a="1"/>
  <c r="BH35" i="18" s="1"/>
  <c r="AX35" i="18"/>
  <c r="BQ34" i="18"/>
  <c r="BT34" i="18" s="1" a="1"/>
  <c r="BT34" i="18" s="1"/>
  <c r="BJ34" i="18"/>
  <c r="BE34" i="18"/>
  <c r="BH34" i="18" s="1" a="1"/>
  <c r="BH34" i="18" s="1"/>
  <c r="AX34" i="18"/>
  <c r="BQ33" i="18"/>
  <c r="BT33" i="18" s="1" a="1"/>
  <c r="BT33" i="18" s="1"/>
  <c r="BJ33" i="18"/>
  <c r="BE33" i="18"/>
  <c r="BG33" i="18" s="1"/>
  <c r="AX33" i="18"/>
  <c r="BQ32" i="18"/>
  <c r="BS32" i="18" s="1"/>
  <c r="BJ32" i="18"/>
  <c r="BE32" i="18"/>
  <c r="BH32" i="18" s="1" a="1"/>
  <c r="BH32" i="18" s="1"/>
  <c r="AX32" i="18"/>
  <c r="BQ31" i="18"/>
  <c r="BT31" i="18" s="1" a="1"/>
  <c r="BT31" i="18" s="1"/>
  <c r="BJ31" i="18"/>
  <c r="BF31" i="18"/>
  <c r="BE31" i="18"/>
  <c r="BG31" i="18" s="1"/>
  <c r="AX31" i="18"/>
  <c r="BQ30" i="18"/>
  <c r="BR30" i="18" s="1"/>
  <c r="BJ30" i="18"/>
  <c r="BE30" i="18"/>
  <c r="BF30" i="18" s="1"/>
  <c r="AX30" i="18"/>
  <c r="BQ29" i="18"/>
  <c r="BT29" i="18" s="1" a="1"/>
  <c r="BT29" i="18" s="1"/>
  <c r="BJ29" i="18"/>
  <c r="BE29" i="18"/>
  <c r="AX29" i="18"/>
  <c r="BQ28" i="18"/>
  <c r="BS28" i="18" s="1"/>
  <c r="BJ28" i="18"/>
  <c r="BE28" i="18"/>
  <c r="BG28" i="18" s="1"/>
  <c r="AX28" i="18"/>
  <c r="BQ27" i="18"/>
  <c r="BR27" i="18" s="1"/>
  <c r="BJ27" i="18"/>
  <c r="BE27" i="18"/>
  <c r="BG27" i="18" s="1"/>
  <c r="AX27" i="18"/>
  <c r="BQ26" i="18"/>
  <c r="BS26" i="18" s="1"/>
  <c r="BJ26" i="18"/>
  <c r="BE26" i="18"/>
  <c r="BH26" i="18" s="1" a="1"/>
  <c r="BH26" i="18" s="1"/>
  <c r="AX26" i="18"/>
  <c r="BQ25" i="18"/>
  <c r="BR25" i="18" s="1"/>
  <c r="BJ25" i="18"/>
  <c r="BE25" i="18"/>
  <c r="BG25" i="18" s="1"/>
  <c r="AX25" i="18"/>
  <c r="BQ24" i="18"/>
  <c r="BR24" i="18" s="1"/>
  <c r="BJ24" i="18"/>
  <c r="BE24" i="18"/>
  <c r="BF24" i="18" s="1"/>
  <c r="AX24" i="18"/>
  <c r="BQ23" i="18"/>
  <c r="BT23" i="18" s="1" a="1"/>
  <c r="BT23" i="18" s="1"/>
  <c r="BJ23" i="18"/>
  <c r="BE23" i="18"/>
  <c r="BH23" i="18" s="1" a="1"/>
  <c r="BH23" i="18" s="1"/>
  <c r="AX23" i="18"/>
  <c r="BQ22" i="18"/>
  <c r="BR22" i="18" s="1"/>
  <c r="BJ22" i="18"/>
  <c r="BE22" i="18"/>
  <c r="BG22" i="18" s="1"/>
  <c r="AX22" i="18"/>
  <c r="BQ21" i="18"/>
  <c r="BT21" i="18" s="1" a="1"/>
  <c r="BT21" i="18" s="1"/>
  <c r="BJ21" i="18"/>
  <c r="BE21" i="18"/>
  <c r="BG21" i="18" s="1"/>
  <c r="AX21" i="18"/>
  <c r="BQ20" i="18"/>
  <c r="BS20" i="18" s="1"/>
  <c r="BJ20" i="18"/>
  <c r="BE20" i="18"/>
  <c r="BF20" i="18" s="1"/>
  <c r="AX20" i="18"/>
  <c r="BQ19" i="18"/>
  <c r="BT19" i="18" s="1" a="1"/>
  <c r="BT19" i="18" s="1"/>
  <c r="BJ19" i="18"/>
  <c r="BE19" i="18"/>
  <c r="BH19" i="18" s="1" a="1"/>
  <c r="BH19" i="18" s="1"/>
  <c r="AX19" i="18"/>
  <c r="BQ18" i="18"/>
  <c r="BR18" i="18" s="1"/>
  <c r="BJ18" i="18"/>
  <c r="BE18" i="18"/>
  <c r="BF18" i="18" s="1"/>
  <c r="AX18" i="18"/>
  <c r="BQ17" i="18"/>
  <c r="BT17" i="18" s="1" a="1"/>
  <c r="BT17" i="18" s="1"/>
  <c r="BJ17" i="18"/>
  <c r="BE17" i="18"/>
  <c r="BH17" i="18" s="1" a="1"/>
  <c r="BH17" i="18" s="1"/>
  <c r="AX17" i="18"/>
  <c r="BQ16" i="18"/>
  <c r="BS16" i="18" s="1"/>
  <c r="BJ16" i="18"/>
  <c r="BF16" i="18"/>
  <c r="BE16" i="18"/>
  <c r="BH16" i="18" s="1" a="1"/>
  <c r="BH16" i="18" s="1"/>
  <c r="AX16" i="18"/>
  <c r="BS15" i="18"/>
  <c r="BQ15" i="18"/>
  <c r="BR15" i="18" s="1"/>
  <c r="BJ15" i="18"/>
  <c r="BE15" i="18"/>
  <c r="BG15" i="18" s="1"/>
  <c r="AX15" i="18"/>
  <c r="BQ14" i="18"/>
  <c r="BS14" i="18" s="1"/>
  <c r="BJ14" i="18"/>
  <c r="BE14" i="18"/>
  <c r="BF14" i="18" s="1"/>
  <c r="AX14" i="18"/>
  <c r="BQ13" i="18"/>
  <c r="BT13" i="18" s="1" a="1"/>
  <c r="BT13" i="18" s="1"/>
  <c r="BJ13" i="18"/>
  <c r="BE13" i="18"/>
  <c r="BH13" i="18" s="1" a="1"/>
  <c r="BH13" i="18" s="1"/>
  <c r="AX13" i="18"/>
  <c r="BQ12" i="18"/>
  <c r="BS12" i="18" s="1"/>
  <c r="BJ12" i="18"/>
  <c r="BG12" i="18"/>
  <c r="BE12" i="18"/>
  <c r="BH12" i="18" s="1" a="1"/>
  <c r="BH12" i="18" s="1"/>
  <c r="AX12" i="18"/>
  <c r="BQ11" i="18"/>
  <c r="BT11" i="18" s="1" a="1"/>
  <c r="BT11" i="18" s="1"/>
  <c r="BJ11" i="18"/>
  <c r="BE11" i="18"/>
  <c r="BG11" i="18" s="1"/>
  <c r="AX11" i="18"/>
  <c r="BQ10" i="18"/>
  <c r="BS10" i="18" s="1"/>
  <c r="BJ10" i="18"/>
  <c r="BE10" i="18"/>
  <c r="BF10" i="18" s="1"/>
  <c r="AX10" i="18"/>
  <c r="BQ9" i="18"/>
  <c r="BT9" i="18" s="1" a="1"/>
  <c r="BT9" i="18" s="1"/>
  <c r="BJ9" i="18"/>
  <c r="BE9" i="18"/>
  <c r="BH9" i="18" s="1" a="1"/>
  <c r="BH9" i="18" s="1"/>
  <c r="AX9" i="18"/>
  <c r="BQ8" i="18"/>
  <c r="BR8" i="18" s="1"/>
  <c r="BJ8" i="18"/>
  <c r="BG8" i="18"/>
  <c r="BE8" i="18"/>
  <c r="BF8" i="18" s="1"/>
  <c r="AX8" i="18"/>
  <c r="BQ7" i="18"/>
  <c r="BT7" i="18" s="1" a="1"/>
  <c r="BT7" i="18" s="1"/>
  <c r="BJ7" i="18"/>
  <c r="BE7" i="18"/>
  <c r="BH7" i="18" s="1" a="1"/>
  <c r="BH7" i="18" s="1"/>
  <c r="AX7" i="18"/>
  <c r="BQ6" i="18"/>
  <c r="BT6" i="18" s="1" a="1"/>
  <c r="BT6" i="18" s="1"/>
  <c r="BJ6" i="18"/>
  <c r="BF6" i="18"/>
  <c r="BE6" i="18"/>
  <c r="BG6" i="18" s="1"/>
  <c r="AX6" i="18"/>
  <c r="BQ5" i="18"/>
  <c r="BT3" i="18" s="1" a="1"/>
  <c r="BT3" i="18" s="1"/>
  <c r="BE5" i="18"/>
  <c r="BF5" i="18" s="1"/>
  <c r="BN2" i="18"/>
  <c r="BN2" i="18" a="1"/>
  <c r="BB2" i="18" a="1"/>
  <c r="BB2" i="18" s="1"/>
  <c r="AS115" i="18"/>
  <c r="AL115" i="18"/>
  <c r="AG115" i="18"/>
  <c r="AJ115" i="18" s="1" a="1"/>
  <c r="AJ115" i="18" s="1"/>
  <c r="Z115" i="18"/>
  <c r="AU114" i="18"/>
  <c r="AS114" i="18"/>
  <c r="AV114" i="18" s="1" a="1"/>
  <c r="AV114" i="18" s="1"/>
  <c r="AL114" i="18"/>
  <c r="AG114" i="18"/>
  <c r="AH114" i="18" s="1"/>
  <c r="Z114" i="18"/>
  <c r="AS113" i="18"/>
  <c r="AT113" i="18" s="1"/>
  <c r="AL113" i="18"/>
  <c r="AG113" i="18"/>
  <c r="AJ113" i="18" s="1" a="1"/>
  <c r="AJ113" i="18" s="1"/>
  <c r="Z113" i="18"/>
  <c r="AS112" i="18"/>
  <c r="AT112" i="18" s="1"/>
  <c r="AL112" i="18"/>
  <c r="AG112" i="18"/>
  <c r="AJ112" i="18" s="1" a="1"/>
  <c r="AJ112" i="18" s="1"/>
  <c r="Z112" i="18"/>
  <c r="AS111" i="18"/>
  <c r="AV111" i="18" s="1" a="1"/>
  <c r="AV111" i="18" s="1"/>
  <c r="AL111" i="18"/>
  <c r="AH111" i="18"/>
  <c r="AG111" i="18"/>
  <c r="AI111" i="18" s="1"/>
  <c r="Z111" i="18"/>
  <c r="AU110" i="18"/>
  <c r="AT110" i="18"/>
  <c r="AS110" i="18"/>
  <c r="AV110" i="18" s="1" a="1"/>
  <c r="AV110" i="18" s="1"/>
  <c r="AL110" i="18"/>
  <c r="AI110" i="18"/>
  <c r="AG110" i="18"/>
  <c r="AJ110" i="18" s="1" a="1"/>
  <c r="AJ110" i="18" s="1"/>
  <c r="Z110" i="18"/>
  <c r="AS109" i="18"/>
  <c r="AT109" i="18" s="1"/>
  <c r="AL109" i="18"/>
  <c r="AG109" i="18"/>
  <c r="AJ109" i="18" s="1" a="1"/>
  <c r="AJ109" i="18" s="1"/>
  <c r="Z109" i="18"/>
  <c r="AS108" i="18"/>
  <c r="AV108" i="18" s="1" a="1"/>
  <c r="AV108" i="18" s="1"/>
  <c r="AL108" i="18"/>
  <c r="AI108" i="18"/>
  <c r="AG108" i="18"/>
  <c r="AH108" i="18" s="1"/>
  <c r="Z108" i="18"/>
  <c r="AS107" i="18"/>
  <c r="AT107" i="18" s="1"/>
  <c r="AL107" i="18"/>
  <c r="AG107" i="18"/>
  <c r="AJ107" i="18" s="1" a="1"/>
  <c r="AJ107" i="18" s="1"/>
  <c r="Z107" i="18"/>
  <c r="AS106" i="18"/>
  <c r="AT106" i="18" s="1"/>
  <c r="AL106" i="18"/>
  <c r="AG106" i="18"/>
  <c r="AJ106" i="18" s="1" a="1"/>
  <c r="AJ106" i="18" s="1"/>
  <c r="Z106" i="18"/>
  <c r="AS105" i="18"/>
  <c r="AU105" i="18" s="1"/>
  <c r="AL105" i="18"/>
  <c r="AI105" i="18"/>
  <c r="AG105" i="18"/>
  <c r="AH105" i="18" s="1"/>
  <c r="Z105" i="18"/>
  <c r="AS104" i="18"/>
  <c r="AU104" i="18" s="1"/>
  <c r="AL104" i="18"/>
  <c r="AI104" i="18"/>
  <c r="AH104" i="18"/>
  <c r="AG104" i="18"/>
  <c r="Z104" i="18"/>
  <c r="AS103" i="18"/>
  <c r="AT103" i="18" s="1"/>
  <c r="AL103" i="18"/>
  <c r="AG103" i="18"/>
  <c r="AJ103" i="18" s="1" a="1"/>
  <c r="AJ103" i="18" s="1"/>
  <c r="Z103" i="18"/>
  <c r="AS102" i="18"/>
  <c r="AT102" i="18" s="1"/>
  <c r="AL102" i="18"/>
  <c r="AI102" i="18"/>
  <c r="AG102" i="18"/>
  <c r="AH102" i="18" s="1"/>
  <c r="Z102" i="18"/>
  <c r="AS101" i="18"/>
  <c r="AT101" i="18" s="1"/>
  <c r="AL101" i="18"/>
  <c r="AG101" i="18"/>
  <c r="AJ101" i="18" s="1" a="1"/>
  <c r="AJ101" i="18" s="1"/>
  <c r="Z101" i="18"/>
  <c r="AS100" i="18"/>
  <c r="AV100" i="18" s="1" a="1"/>
  <c r="AV100" i="18" s="1"/>
  <c r="AL100" i="18"/>
  <c r="AG100" i="18"/>
  <c r="AJ100" i="18" s="1" a="1"/>
  <c r="AJ100" i="18" s="1"/>
  <c r="Z100" i="18"/>
  <c r="AS99" i="18"/>
  <c r="AV99" i="18" s="1" a="1"/>
  <c r="AV99" i="18" s="1"/>
  <c r="AL99" i="18"/>
  <c r="AI99" i="18"/>
  <c r="AH99" i="18"/>
  <c r="AG99" i="18"/>
  <c r="AJ99" i="18" s="1" a="1"/>
  <c r="AJ99" i="18" s="1"/>
  <c r="Z99" i="18"/>
  <c r="AS98" i="18"/>
  <c r="AU98" i="18" s="1"/>
  <c r="AL98" i="18"/>
  <c r="AG98" i="18"/>
  <c r="AJ98" i="18" s="1" a="1"/>
  <c r="AJ98" i="18" s="1"/>
  <c r="Z98" i="18"/>
  <c r="AS97" i="18"/>
  <c r="AV97" i="18" s="1" a="1"/>
  <c r="AV97" i="18" s="1"/>
  <c r="AL97" i="18"/>
  <c r="AG97" i="18"/>
  <c r="AJ97" i="18" s="1" a="1"/>
  <c r="AJ97" i="18" s="1"/>
  <c r="Z97" i="18"/>
  <c r="AU96" i="18"/>
  <c r="AS96" i="18"/>
  <c r="AV96" i="18" s="1" a="1"/>
  <c r="AV96" i="18" s="1"/>
  <c r="AL96" i="18"/>
  <c r="AI96" i="18"/>
  <c r="AG96" i="18"/>
  <c r="AH96" i="18" s="1"/>
  <c r="Z96" i="18"/>
  <c r="AS95" i="18"/>
  <c r="AT95" i="18" s="1"/>
  <c r="AL95" i="18"/>
  <c r="AG95" i="18"/>
  <c r="AJ95" i="18" s="1" a="1"/>
  <c r="AJ95" i="18" s="1"/>
  <c r="Z95" i="18"/>
  <c r="AU94" i="18"/>
  <c r="AS94" i="18"/>
  <c r="AV94" i="18" s="1" a="1"/>
  <c r="AV94" i="18" s="1"/>
  <c r="AL94" i="18"/>
  <c r="AG94" i="18"/>
  <c r="AJ94" i="18" s="1" a="1"/>
  <c r="AJ94" i="18" s="1"/>
  <c r="Z94" i="18"/>
  <c r="AS93" i="18"/>
  <c r="AU93" i="18" s="1"/>
  <c r="AL93" i="18"/>
  <c r="AI93" i="18"/>
  <c r="AH93" i="18"/>
  <c r="AG93" i="18"/>
  <c r="AJ93" i="18" s="1" a="1"/>
  <c r="AJ93" i="18" s="1"/>
  <c r="Z93" i="18"/>
  <c r="AS92" i="18"/>
  <c r="AU92" i="18" s="1"/>
  <c r="AL92" i="18"/>
  <c r="AG92" i="18"/>
  <c r="AJ92" i="18" s="1" a="1"/>
  <c r="AJ92" i="18" s="1"/>
  <c r="Z92" i="18"/>
  <c r="AS91" i="18"/>
  <c r="AL91" i="18"/>
  <c r="AG91" i="18"/>
  <c r="AJ91" i="18" s="1" a="1"/>
  <c r="AJ91" i="18" s="1"/>
  <c r="Z91" i="18"/>
  <c r="AU90" i="18"/>
  <c r="AS90" i="18"/>
  <c r="AT90" i="18" s="1"/>
  <c r="AL90" i="18"/>
  <c r="AI90" i="18"/>
  <c r="AG90" i="18"/>
  <c r="AH90" i="18" s="1"/>
  <c r="Z90" i="18"/>
  <c r="AS89" i="18"/>
  <c r="AT89" i="18" s="1"/>
  <c r="AL89" i="18"/>
  <c r="AG89" i="18"/>
  <c r="AJ89" i="18" s="1" a="1"/>
  <c r="AJ89" i="18" s="1"/>
  <c r="Z89" i="18"/>
  <c r="AU88" i="18"/>
  <c r="AS88" i="18"/>
  <c r="AV88" i="18" s="1" a="1"/>
  <c r="AV88" i="18" s="1"/>
  <c r="AL88" i="18"/>
  <c r="AI88" i="18"/>
  <c r="AG88" i="18"/>
  <c r="AJ88" i="18" s="1" a="1"/>
  <c r="AJ88" i="18" s="1"/>
  <c r="Z88" i="18"/>
  <c r="AU87" i="18"/>
  <c r="AT87" i="18"/>
  <c r="AS87" i="18"/>
  <c r="AV87" i="18" s="1" a="1"/>
  <c r="AV87" i="18" s="1"/>
  <c r="AL87" i="18"/>
  <c r="AG87" i="18"/>
  <c r="AJ87" i="18" s="1" a="1"/>
  <c r="AJ87" i="18" s="1"/>
  <c r="Z87" i="18"/>
  <c r="AS86" i="18"/>
  <c r="AU86" i="18" s="1"/>
  <c r="AL86" i="18"/>
  <c r="AH86" i="18"/>
  <c r="AG86" i="18"/>
  <c r="AJ86" i="18" s="1" a="1"/>
  <c r="AJ86" i="18" s="1"/>
  <c r="Z86" i="18"/>
  <c r="AS85" i="18"/>
  <c r="AV85" i="18" s="1" a="1"/>
  <c r="AV85" i="18" s="1"/>
  <c r="AL85" i="18"/>
  <c r="AG85" i="18"/>
  <c r="AJ85" i="18" s="1" a="1"/>
  <c r="AJ85" i="18" s="1"/>
  <c r="Z85" i="18"/>
  <c r="AS84" i="18"/>
  <c r="AU84" i="18" s="1"/>
  <c r="AL84" i="18"/>
  <c r="AG84" i="18"/>
  <c r="AH84" i="18" s="1"/>
  <c r="Z84" i="18"/>
  <c r="AS83" i="18"/>
  <c r="AT83" i="18" s="1"/>
  <c r="AL83" i="18"/>
  <c r="AG83" i="18"/>
  <c r="AJ83" i="18" s="1" a="1"/>
  <c r="AJ83" i="18" s="1"/>
  <c r="Z83" i="18"/>
  <c r="AU82" i="18"/>
  <c r="AT82" i="18"/>
  <c r="AS82" i="18"/>
  <c r="AV82" i="18" s="1" a="1"/>
  <c r="AV82" i="18" s="1"/>
  <c r="AL82" i="18"/>
  <c r="AG82" i="18"/>
  <c r="AJ82" i="18" s="1" a="1"/>
  <c r="AJ82" i="18" s="1"/>
  <c r="Z82" i="18"/>
  <c r="AS81" i="18"/>
  <c r="AU81" i="18" s="1"/>
  <c r="AL81" i="18"/>
  <c r="AG81" i="18"/>
  <c r="AI81" i="18" s="1"/>
  <c r="Z81" i="18"/>
  <c r="AS80" i="18"/>
  <c r="AU80" i="18" s="1"/>
  <c r="AL80" i="18"/>
  <c r="AH80" i="18"/>
  <c r="AG80" i="18"/>
  <c r="AI80" i="18" s="1"/>
  <c r="Z80" i="18"/>
  <c r="AS79" i="18"/>
  <c r="AV79" i="18" s="1" a="1"/>
  <c r="AV79" i="18" s="1"/>
  <c r="AL79" i="18"/>
  <c r="AG79" i="18"/>
  <c r="AJ79" i="18" s="1" a="1"/>
  <c r="AJ79" i="18" s="1"/>
  <c r="Z79" i="18"/>
  <c r="AU78" i="18"/>
  <c r="AS78" i="18"/>
  <c r="AV78" i="18" s="1" a="1"/>
  <c r="AV78" i="18" s="1"/>
  <c r="AL78" i="18"/>
  <c r="AG78" i="18"/>
  <c r="AH78" i="18" s="1"/>
  <c r="Z78" i="18"/>
  <c r="AU77" i="18"/>
  <c r="AS77" i="18"/>
  <c r="AT77" i="18" s="1"/>
  <c r="AL77" i="18"/>
  <c r="AG77" i="18"/>
  <c r="AJ77" i="18" s="1" a="1"/>
  <c r="AJ77" i="18" s="1"/>
  <c r="Z77" i="18"/>
  <c r="AU76" i="18"/>
  <c r="AT76" i="18"/>
  <c r="AS76" i="18"/>
  <c r="AV76" i="18" s="1" a="1"/>
  <c r="AV76" i="18" s="1"/>
  <c r="AL76" i="18"/>
  <c r="AH76" i="18"/>
  <c r="AG76" i="18"/>
  <c r="AJ76" i="18" s="1" a="1"/>
  <c r="AJ76" i="18" s="1"/>
  <c r="Z76" i="18"/>
  <c r="AU75" i="18"/>
  <c r="AT75" i="18"/>
  <c r="AS75" i="18"/>
  <c r="AV75" i="18" s="1" a="1"/>
  <c r="AV75" i="18" s="1"/>
  <c r="AL75" i="18"/>
  <c r="AG75" i="18"/>
  <c r="AJ75" i="18" s="1" a="1"/>
  <c r="AJ75" i="18" s="1"/>
  <c r="Z75" i="18"/>
  <c r="AS74" i="18"/>
  <c r="AU74" i="18" s="1"/>
  <c r="AL74" i="18"/>
  <c r="AI74" i="18"/>
  <c r="AG74" i="18"/>
  <c r="AH74" i="18" s="1"/>
  <c r="Z74" i="18"/>
  <c r="AS73" i="18"/>
  <c r="AT73" i="18" s="1"/>
  <c r="AL73" i="18"/>
  <c r="AG73" i="18"/>
  <c r="AJ73" i="18" s="1" a="1"/>
  <c r="AJ73" i="18" s="1"/>
  <c r="Z73" i="18"/>
  <c r="AS72" i="18"/>
  <c r="AV72" i="18" s="1" a="1"/>
  <c r="AV72" i="18" s="1"/>
  <c r="AL72" i="18"/>
  <c r="AG72" i="18"/>
  <c r="AH72" i="18" s="1"/>
  <c r="Z72" i="18"/>
  <c r="AS71" i="18"/>
  <c r="AT71" i="18" s="1"/>
  <c r="AL71" i="18"/>
  <c r="AG71" i="18"/>
  <c r="AJ71" i="18" s="1" a="1"/>
  <c r="AJ71" i="18" s="1"/>
  <c r="Z71" i="18"/>
  <c r="AU70" i="18"/>
  <c r="AS70" i="18"/>
  <c r="AT70" i="18" s="1"/>
  <c r="AL70" i="18"/>
  <c r="AG70" i="18"/>
  <c r="AJ70" i="18" s="1" a="1"/>
  <c r="AJ70" i="18" s="1"/>
  <c r="Z70" i="18"/>
  <c r="AS69" i="18"/>
  <c r="AU69" i="18" s="1"/>
  <c r="AL69" i="18"/>
  <c r="AI69" i="18"/>
  <c r="AG69" i="18"/>
  <c r="AH69" i="18" s="1"/>
  <c r="Z69" i="18"/>
  <c r="AS68" i="18"/>
  <c r="AU68" i="18" s="1"/>
  <c r="AL68" i="18"/>
  <c r="AI68" i="18"/>
  <c r="AG68" i="18"/>
  <c r="AH68" i="18" s="1"/>
  <c r="Z68" i="18"/>
  <c r="AT67" i="18"/>
  <c r="AS67" i="18"/>
  <c r="AV67" i="18" s="1" a="1"/>
  <c r="AV67" i="18" s="1"/>
  <c r="AL67" i="18"/>
  <c r="AG67" i="18"/>
  <c r="AJ67" i="18" s="1" a="1"/>
  <c r="AJ67" i="18" s="1"/>
  <c r="Z67" i="18"/>
  <c r="AU66" i="18"/>
  <c r="AT66" i="18"/>
  <c r="AS66" i="18"/>
  <c r="AV66" i="18" s="1" a="1"/>
  <c r="AV66" i="18" s="1"/>
  <c r="AL66" i="18"/>
  <c r="AG66" i="18"/>
  <c r="AH66" i="18" s="1"/>
  <c r="Z66" i="18"/>
  <c r="AS65" i="18"/>
  <c r="AT65" i="18" s="1"/>
  <c r="AL65" i="18"/>
  <c r="AG65" i="18"/>
  <c r="AJ65" i="18" s="1" a="1"/>
  <c r="AJ65" i="18" s="1"/>
  <c r="Z65" i="18"/>
  <c r="AU64" i="18"/>
  <c r="AT64" i="18"/>
  <c r="AS64" i="18"/>
  <c r="AV64" i="18" s="1" a="1"/>
  <c r="AV64" i="18" s="1"/>
  <c r="AL64" i="18"/>
  <c r="AG64" i="18"/>
  <c r="AJ64" i="18" s="1" a="1"/>
  <c r="AJ64" i="18" s="1"/>
  <c r="Z64" i="18"/>
  <c r="AU63" i="18"/>
  <c r="AS63" i="18"/>
  <c r="AV63" i="18" s="1" a="1"/>
  <c r="AV63" i="18" s="1"/>
  <c r="AL63" i="18"/>
  <c r="AI63" i="18"/>
  <c r="AG63" i="18"/>
  <c r="AJ63" i="18" s="1" a="1"/>
  <c r="AJ63" i="18" s="1"/>
  <c r="Z63" i="18"/>
  <c r="AS62" i="18"/>
  <c r="AU62" i="18" s="1"/>
  <c r="AL62" i="18"/>
  <c r="AG62" i="18"/>
  <c r="AI62" i="18" s="1"/>
  <c r="Z62" i="18"/>
  <c r="AS61" i="18"/>
  <c r="AV61" i="18" s="1" a="1"/>
  <c r="AV61" i="18" s="1"/>
  <c r="AL61" i="18"/>
  <c r="AG61" i="18"/>
  <c r="AJ61" i="18" s="1" a="1"/>
  <c r="AJ61" i="18" s="1"/>
  <c r="Z61" i="18"/>
  <c r="AU60" i="18"/>
  <c r="AT60" i="18"/>
  <c r="AS60" i="18"/>
  <c r="AV60" i="18" s="1" a="1"/>
  <c r="AV60" i="18" s="1"/>
  <c r="AL60" i="18"/>
  <c r="AG60" i="18"/>
  <c r="AH60" i="18" s="1"/>
  <c r="Z60" i="18"/>
  <c r="AU59" i="18"/>
  <c r="AS59" i="18"/>
  <c r="AT59" i="18" s="1"/>
  <c r="AL59" i="18"/>
  <c r="AG59" i="18"/>
  <c r="AJ59" i="18" s="1" a="1"/>
  <c r="AJ59" i="18" s="1"/>
  <c r="Z59" i="18"/>
  <c r="AU58" i="18"/>
  <c r="AS58" i="18"/>
  <c r="AT58" i="18" s="1"/>
  <c r="AL58" i="18"/>
  <c r="AG58" i="18"/>
  <c r="AH58" i="18" s="1"/>
  <c r="Z58" i="18"/>
  <c r="AU57" i="18"/>
  <c r="AT57" i="18"/>
  <c r="AS57" i="18"/>
  <c r="AL57" i="18"/>
  <c r="AG57" i="18"/>
  <c r="AI57" i="18" s="1"/>
  <c r="Z57" i="18"/>
  <c r="AS56" i="18"/>
  <c r="AU56" i="18" s="1"/>
  <c r="AL56" i="18"/>
  <c r="AG56" i="18"/>
  <c r="AI56" i="18" s="1"/>
  <c r="Z56" i="18"/>
  <c r="AS55" i="18"/>
  <c r="AV55" i="18" s="1" a="1"/>
  <c r="AV55" i="18" s="1"/>
  <c r="AL55" i="18"/>
  <c r="AG55" i="18"/>
  <c r="AJ55" i="18" s="1" a="1"/>
  <c r="AJ55" i="18" s="1"/>
  <c r="Z55" i="18"/>
  <c r="AS54" i="18"/>
  <c r="AV54" i="18" s="1" a="1"/>
  <c r="AV54" i="18" s="1"/>
  <c r="AL54" i="18"/>
  <c r="AG54" i="18"/>
  <c r="AH54" i="18" s="1"/>
  <c r="Z54" i="18"/>
  <c r="AU53" i="18"/>
  <c r="AS53" i="18"/>
  <c r="AV53" i="18" s="1" a="1"/>
  <c r="AV53" i="18" s="1"/>
  <c r="AL53" i="18"/>
  <c r="AG53" i="18"/>
  <c r="AJ53" i="18" s="1" a="1"/>
  <c r="AJ53" i="18" s="1"/>
  <c r="Z53" i="18"/>
  <c r="AS52" i="18"/>
  <c r="AT52" i="18" s="1"/>
  <c r="AL52" i="18"/>
  <c r="AH52" i="18"/>
  <c r="AG52" i="18"/>
  <c r="AI52" i="18" s="1"/>
  <c r="Z52" i="18"/>
  <c r="AU51" i="18"/>
  <c r="AS51" i="18"/>
  <c r="AV51" i="18" s="1" a="1"/>
  <c r="AV51" i="18" s="1"/>
  <c r="AL51" i="18"/>
  <c r="AH51" i="18"/>
  <c r="AG51" i="18"/>
  <c r="AJ51" i="18" s="1" a="1"/>
  <c r="AJ51" i="18" s="1"/>
  <c r="Z51" i="18"/>
  <c r="AS50" i="18"/>
  <c r="AU50" i="18" s="1"/>
  <c r="AL50" i="18"/>
  <c r="AG50" i="18"/>
  <c r="AI50" i="18" s="1"/>
  <c r="Z50" i="18"/>
  <c r="AS49" i="18"/>
  <c r="AV49" i="18" s="1" a="1"/>
  <c r="AV49" i="18" s="1"/>
  <c r="AL49" i="18"/>
  <c r="AG49" i="18"/>
  <c r="AJ49" i="18" s="1" a="1"/>
  <c r="AJ49" i="18" s="1"/>
  <c r="Z49" i="18"/>
  <c r="AU48" i="18"/>
  <c r="AS48" i="18"/>
  <c r="AV48" i="18" s="1" a="1"/>
  <c r="AV48" i="18" s="1"/>
  <c r="AL48" i="18"/>
  <c r="AG48" i="18"/>
  <c r="AH48" i="18" s="1"/>
  <c r="Z48" i="18"/>
  <c r="AU47" i="18"/>
  <c r="AT47" i="18"/>
  <c r="AS47" i="18"/>
  <c r="AV47" i="18" s="1" a="1"/>
  <c r="AV47" i="18" s="1"/>
  <c r="AL47" i="18"/>
  <c r="AG47" i="18"/>
  <c r="AJ47" i="18" s="1" a="1"/>
  <c r="AJ47" i="18" s="1"/>
  <c r="Z47" i="18"/>
  <c r="AU46" i="18"/>
  <c r="AS46" i="18"/>
  <c r="AT46" i="18" s="1"/>
  <c r="AL46" i="18"/>
  <c r="AG46" i="18"/>
  <c r="AI46" i="18" s="1"/>
  <c r="Z46" i="18"/>
  <c r="AU45" i="18"/>
  <c r="AS45" i="18"/>
  <c r="AT45" i="18" s="1"/>
  <c r="AL45" i="18"/>
  <c r="AG45" i="18"/>
  <c r="AI45" i="18" s="1"/>
  <c r="Z45" i="18"/>
  <c r="AS44" i="18"/>
  <c r="AU44" i="18" s="1"/>
  <c r="AL44" i="18"/>
  <c r="AG44" i="18"/>
  <c r="AI44" i="18" s="1"/>
  <c r="Z44" i="18"/>
  <c r="AS43" i="18"/>
  <c r="AT43" i="18" s="1"/>
  <c r="AL43" i="18"/>
  <c r="AG43" i="18"/>
  <c r="AJ43" i="18" s="1" a="1"/>
  <c r="AJ43" i="18" s="1"/>
  <c r="Z43" i="18"/>
  <c r="AS42" i="18"/>
  <c r="AV42" i="18" s="1" a="1"/>
  <c r="AV42" i="18" s="1"/>
  <c r="AL42" i="18"/>
  <c r="AG42" i="18"/>
  <c r="AH42" i="18" s="1"/>
  <c r="Z42" i="18"/>
  <c r="AU41" i="18"/>
  <c r="AT41" i="18"/>
  <c r="AS41" i="18"/>
  <c r="AV41" i="18" s="1" a="1"/>
  <c r="AV41" i="18" s="1"/>
  <c r="AL41" i="18"/>
  <c r="AG41" i="18"/>
  <c r="AJ41" i="18" s="1" a="1"/>
  <c r="AJ41" i="18" s="1"/>
  <c r="Z41" i="18"/>
  <c r="AS40" i="18"/>
  <c r="AU40" i="18" s="1"/>
  <c r="AL40" i="18"/>
  <c r="AG40" i="18"/>
  <c r="AJ40" i="18" s="1" a="1"/>
  <c r="AJ40" i="18" s="1"/>
  <c r="Z40" i="18"/>
  <c r="AS39" i="18"/>
  <c r="AU39" i="18" s="1"/>
  <c r="AL39" i="18"/>
  <c r="AH39" i="18"/>
  <c r="AG39" i="18"/>
  <c r="AJ39" i="18" s="1" a="1"/>
  <c r="AJ39" i="18" s="1"/>
  <c r="Z39" i="18"/>
  <c r="AS38" i="18"/>
  <c r="AU38" i="18" s="1"/>
  <c r="AL38" i="18"/>
  <c r="AG38" i="18"/>
  <c r="AI38" i="18" s="1"/>
  <c r="Z38" i="18"/>
  <c r="AS37" i="18"/>
  <c r="AT37" i="18" s="1"/>
  <c r="AL37" i="18"/>
  <c r="AG37" i="18"/>
  <c r="AJ37" i="18" s="1" a="1"/>
  <c r="AJ37" i="18" s="1"/>
  <c r="Z37" i="18"/>
  <c r="AS36" i="18"/>
  <c r="AV36" i="18" s="1" a="1"/>
  <c r="AV36" i="18" s="1"/>
  <c r="AL36" i="18"/>
  <c r="AG36" i="18"/>
  <c r="AH36" i="18" s="1"/>
  <c r="Z36" i="18"/>
  <c r="AU35" i="18"/>
  <c r="AT35" i="18"/>
  <c r="AS35" i="18"/>
  <c r="AV35" i="18" s="1" a="1"/>
  <c r="AV35" i="18" s="1"/>
  <c r="AL35" i="18"/>
  <c r="AG35" i="18"/>
  <c r="AJ35" i="18" s="1" a="1"/>
  <c r="AJ35" i="18" s="1"/>
  <c r="Z35" i="18"/>
  <c r="AS34" i="18"/>
  <c r="AU34" i="18" s="1"/>
  <c r="AL34" i="18"/>
  <c r="AG34" i="18"/>
  <c r="AJ34" i="18" s="1" a="1"/>
  <c r="AJ34" i="18" s="1"/>
  <c r="Z34" i="18"/>
  <c r="AS33" i="18"/>
  <c r="AV33" i="18" s="1" a="1"/>
  <c r="AV33" i="18" s="1"/>
  <c r="AL33" i="18"/>
  <c r="AG33" i="18"/>
  <c r="AI33" i="18" s="1"/>
  <c r="Z33" i="18"/>
  <c r="AS32" i="18"/>
  <c r="AU32" i="18" s="1"/>
  <c r="AL32" i="18"/>
  <c r="AG32" i="18"/>
  <c r="AI32" i="18" s="1"/>
  <c r="Z32" i="18"/>
  <c r="AS31" i="18"/>
  <c r="AV31" i="18" s="1" a="1"/>
  <c r="AV31" i="18" s="1"/>
  <c r="AL31" i="18"/>
  <c r="AG31" i="18"/>
  <c r="AJ31" i="18" s="1" a="1"/>
  <c r="AJ31" i="18" s="1"/>
  <c r="Z31" i="18"/>
  <c r="AS30" i="18"/>
  <c r="AT30" i="18" s="1"/>
  <c r="AL30" i="18"/>
  <c r="AG30" i="18"/>
  <c r="AH30" i="18" s="1"/>
  <c r="Z30" i="18"/>
  <c r="AS29" i="18"/>
  <c r="AV29" i="18" s="1" a="1"/>
  <c r="AV29" i="18" s="1"/>
  <c r="AL29" i="18"/>
  <c r="AG29" i="18"/>
  <c r="AJ29" i="18" s="1" a="1"/>
  <c r="AJ29" i="18" s="1"/>
  <c r="Z29" i="18"/>
  <c r="AS28" i="18"/>
  <c r="AU28" i="18" s="1"/>
  <c r="AL28" i="18"/>
  <c r="AI28" i="18"/>
  <c r="AG28" i="18"/>
  <c r="AH28" i="18" s="1"/>
  <c r="Z28" i="18"/>
  <c r="AT27" i="18"/>
  <c r="AS27" i="18"/>
  <c r="AU27" i="18" s="1"/>
  <c r="AL27" i="18"/>
  <c r="AI27" i="18"/>
  <c r="AG27" i="18"/>
  <c r="AH27" i="18" s="1"/>
  <c r="Z27" i="18"/>
  <c r="AS26" i="18"/>
  <c r="AV26" i="18" s="1" a="1"/>
  <c r="AV26" i="18" s="1"/>
  <c r="AL26" i="18"/>
  <c r="AG26" i="18"/>
  <c r="AI26" i="18" s="1"/>
  <c r="Z26" i="18"/>
  <c r="AS25" i="18"/>
  <c r="AV25" i="18" s="1" a="1"/>
  <c r="AV25" i="18" s="1"/>
  <c r="AL25" i="18"/>
  <c r="AG25" i="18"/>
  <c r="AH25" i="18" s="1"/>
  <c r="Z25" i="18"/>
  <c r="AS24" i="18"/>
  <c r="AV24" i="18" s="1" a="1"/>
  <c r="AV24" i="18" s="1"/>
  <c r="AL24" i="18"/>
  <c r="AH24" i="18"/>
  <c r="AG24" i="18"/>
  <c r="AJ24" i="18" s="1" a="1"/>
  <c r="AJ24" i="18" s="1"/>
  <c r="Z24" i="18"/>
  <c r="AU23" i="18"/>
  <c r="AT23" i="18"/>
  <c r="AS23" i="18"/>
  <c r="AV23" i="18" s="1" a="1"/>
  <c r="AV23" i="18" s="1"/>
  <c r="AL23" i="18"/>
  <c r="AG23" i="18"/>
  <c r="AH23" i="18" s="1"/>
  <c r="Z23" i="18"/>
  <c r="AS22" i="18"/>
  <c r="AV22" i="18" s="1" a="1"/>
  <c r="AV22" i="18" s="1"/>
  <c r="AL22" i="18"/>
  <c r="AG22" i="18"/>
  <c r="AJ22" i="18" s="1" a="1"/>
  <c r="AJ22" i="18" s="1"/>
  <c r="Z22" i="18"/>
  <c r="AS21" i="18"/>
  <c r="AV21" i="18" s="1" a="1"/>
  <c r="AV21" i="18" s="1"/>
  <c r="AL21" i="18"/>
  <c r="AG21" i="18"/>
  <c r="AI21" i="18" s="1"/>
  <c r="Z21" i="18"/>
  <c r="AS20" i="18"/>
  <c r="AL20" i="18"/>
  <c r="AI20" i="18"/>
  <c r="AG20" i="18"/>
  <c r="AH20" i="18" s="1"/>
  <c r="Z20" i="18"/>
  <c r="AS19" i="18"/>
  <c r="AU19" i="18" s="1"/>
  <c r="AL19" i="18"/>
  <c r="AG19" i="18"/>
  <c r="AJ19" i="18" s="1" a="1"/>
  <c r="AJ19" i="18" s="1"/>
  <c r="Z19" i="18"/>
  <c r="AU18" i="18"/>
  <c r="AT18" i="18"/>
  <c r="AS18" i="18"/>
  <c r="AV18" i="18" s="1" a="1"/>
  <c r="AV18" i="18" s="1"/>
  <c r="AL18" i="18"/>
  <c r="AG18" i="18"/>
  <c r="AH18" i="18" s="1"/>
  <c r="Z18" i="18"/>
  <c r="AU17" i="18"/>
  <c r="AS17" i="18"/>
  <c r="AV17" i="18" s="1" a="1"/>
  <c r="AV17" i="18" s="1"/>
  <c r="AL17" i="18"/>
  <c r="AG17" i="18"/>
  <c r="AJ17" i="18" s="1" a="1"/>
  <c r="AJ17" i="18" s="1"/>
  <c r="Z17" i="18"/>
  <c r="AS16" i="18"/>
  <c r="AV16" i="18" s="1" a="1"/>
  <c r="AV16" i="18" s="1"/>
  <c r="AL16" i="18"/>
  <c r="AG16" i="18"/>
  <c r="AI16" i="18" s="1"/>
  <c r="Z16" i="18"/>
  <c r="AS15" i="18"/>
  <c r="AV15" i="18" s="1" a="1"/>
  <c r="AV15" i="18" s="1"/>
  <c r="AL15" i="18"/>
  <c r="AG15" i="18"/>
  <c r="AI15" i="18" s="1"/>
  <c r="Z15" i="18"/>
  <c r="AS14" i="18"/>
  <c r="AV14" i="18" s="1" a="1"/>
  <c r="AV14" i="18" s="1"/>
  <c r="AL14" i="18"/>
  <c r="AI14" i="18"/>
  <c r="AG14" i="18"/>
  <c r="AH14" i="18" s="1"/>
  <c r="Z14" i="18"/>
  <c r="AS13" i="18"/>
  <c r="AV13" i="18" s="1" a="1"/>
  <c r="AV13" i="18" s="1"/>
  <c r="AL13" i="18"/>
  <c r="AG13" i="18"/>
  <c r="AI13" i="18" s="1"/>
  <c r="Z13" i="18"/>
  <c r="AT12" i="18"/>
  <c r="AS12" i="18"/>
  <c r="AV12" i="18" s="1" a="1"/>
  <c r="AV12" i="18" s="1"/>
  <c r="AL12" i="18"/>
  <c r="AG12" i="18"/>
  <c r="AH12" i="18" s="1"/>
  <c r="Z12" i="18"/>
  <c r="AS11" i="18"/>
  <c r="AV11" i="18" s="1" a="1"/>
  <c r="AV11" i="18" s="1"/>
  <c r="AL11" i="18"/>
  <c r="AG11" i="18"/>
  <c r="AJ11" i="18" s="1" a="1"/>
  <c r="AJ11" i="18" s="1"/>
  <c r="Z11" i="18"/>
  <c r="AU10" i="18"/>
  <c r="AT10" i="18"/>
  <c r="AS10" i="18"/>
  <c r="AV10" i="18" s="1" a="1"/>
  <c r="AV10" i="18" s="1"/>
  <c r="AL10" i="18"/>
  <c r="AG10" i="18"/>
  <c r="AJ10" i="18" s="1" a="1"/>
  <c r="AJ10" i="18" s="1"/>
  <c r="Z10" i="18"/>
  <c r="AT9" i="18"/>
  <c r="AS9" i="18"/>
  <c r="AU9" i="18" s="1"/>
  <c r="AL9" i="18"/>
  <c r="AG9" i="18"/>
  <c r="AH9" i="18" s="1"/>
  <c r="Z9" i="18"/>
  <c r="AS8" i="18"/>
  <c r="AU8" i="18" s="1"/>
  <c r="AL8" i="18"/>
  <c r="AG8" i="18"/>
  <c r="Z8" i="18"/>
  <c r="AT7" i="18"/>
  <c r="AS7" i="18"/>
  <c r="AV7" i="18" s="1" a="1"/>
  <c r="AV7" i="18" s="1"/>
  <c r="AL7" i="18"/>
  <c r="AG7" i="18"/>
  <c r="AH7" i="18" s="1"/>
  <c r="Z7" i="18"/>
  <c r="AS6" i="18"/>
  <c r="AV6" i="18" s="1" a="1"/>
  <c r="AV6" i="18" s="1"/>
  <c r="AL6" i="18"/>
  <c r="AG6" i="18"/>
  <c r="AJ6" i="18" s="1" a="1"/>
  <c r="AJ6" i="18" s="1"/>
  <c r="Z6" i="18"/>
  <c r="AS5" i="18"/>
  <c r="AV3" i="18" s="1" a="1"/>
  <c r="AV3" i="18" s="1"/>
  <c r="AG5" i="18"/>
  <c r="AH5" i="18" s="1"/>
  <c r="AP2" i="18" a="1"/>
  <c r="AP2" i="18" s="1"/>
  <c r="AD2" i="18" a="1"/>
  <c r="AD2" i="18" s="1"/>
  <c r="E1" i="16" a="1"/>
  <c r="E1" i="16" s="1"/>
  <c r="BI6" i="33"/>
  <c r="BI7" i="33" s="1"/>
  <c r="BI8" i="33" s="1"/>
  <c r="BI9" i="33" s="1"/>
  <c r="AW8" i="33"/>
  <c r="AW9" i="33" s="1"/>
  <c r="AW7" i="33"/>
  <c r="AW6" i="33"/>
  <c r="AK8" i="33"/>
  <c r="AK9" i="33" s="1"/>
  <c r="AK7" i="33"/>
  <c r="AK6" i="33"/>
  <c r="Y9" i="33"/>
  <c r="Y8" i="33"/>
  <c r="Y7" i="33"/>
  <c r="Y6" i="33"/>
  <c r="M9" i="33"/>
  <c r="M8" i="33"/>
  <c r="M7" i="33"/>
  <c r="M6" i="33"/>
  <c r="A8" i="33"/>
  <c r="A9" i="33" s="1"/>
  <c r="A7" i="33"/>
  <c r="A6" i="33"/>
  <c r="BQ9" i="33"/>
  <c r="BJ9" i="33"/>
  <c r="BG9" i="33"/>
  <c r="BE9" i="33"/>
  <c r="BF9" i="33" s="1"/>
  <c r="AX9" i="33"/>
  <c r="BQ8" i="33"/>
  <c r="BJ8" i="33"/>
  <c r="BG8" i="33"/>
  <c r="BF8" i="33"/>
  <c r="BE8" i="33"/>
  <c r="AX8" i="33"/>
  <c r="BQ7" i="33"/>
  <c r="BJ7" i="33"/>
  <c r="BG7" i="33"/>
  <c r="BF7" i="33"/>
  <c r="BE7" i="33"/>
  <c r="AX7" i="33"/>
  <c r="BQ6" i="33"/>
  <c r="BJ6" i="33"/>
  <c r="BF6" i="33"/>
  <c r="BE6" i="33"/>
  <c r="AX6" i="33"/>
  <c r="BQ5" i="33"/>
  <c r="BF5" i="33"/>
  <c r="BE5" i="33"/>
  <c r="BH3" i="33" s="1" a="1"/>
  <c r="BH3" i="33" s="1"/>
  <c r="BT3" i="33" a="1"/>
  <c r="BT3" i="33" s="1"/>
  <c r="BQ3" i="33" a="1"/>
  <c r="BQ3" i="33" s="1"/>
  <c r="BE3" i="33" a="1"/>
  <c r="BE3" i="33" s="1"/>
  <c r="BT2" i="33"/>
  <c r="BN2" i="33" a="1"/>
  <c r="BN2" i="33" s="1"/>
  <c r="BH2" i="33"/>
  <c r="BB2" i="33" a="1"/>
  <c r="BB2" i="33" s="1"/>
  <c r="AS9" i="33"/>
  <c r="AL9" i="33"/>
  <c r="AH9" i="33"/>
  <c r="AG9" i="33"/>
  <c r="Z9" i="33"/>
  <c r="AS8" i="33"/>
  <c r="AL8" i="33"/>
  <c r="AI8" i="33"/>
  <c r="AH8" i="33"/>
  <c r="AG8" i="33"/>
  <c r="Z8" i="33"/>
  <c r="AU7" i="33"/>
  <c r="AT7" i="33"/>
  <c r="AS7" i="33"/>
  <c r="AL7" i="33"/>
  <c r="AH7" i="33"/>
  <c r="AG7" i="33"/>
  <c r="Z7" i="33"/>
  <c r="AS6" i="33"/>
  <c r="AL6" i="33"/>
  <c r="AH6" i="33"/>
  <c r="AG6" i="33"/>
  <c r="AG3" i="33" s="1" a="1"/>
  <c r="AG3" i="33" s="1"/>
  <c r="Z6" i="33"/>
  <c r="AS5" i="33"/>
  <c r="AH5" i="33"/>
  <c r="AG5" i="33"/>
  <c r="AJ3" i="33" a="1"/>
  <c r="AJ3" i="33" s="1"/>
  <c r="AV2" i="33"/>
  <c r="AP2" i="33"/>
  <c r="AP2" i="33" a="1"/>
  <c r="AJ2" i="33"/>
  <c r="AD2" i="33"/>
  <c r="AD2" i="33" a="1"/>
  <c r="U9" i="33"/>
  <c r="N9" i="33"/>
  <c r="I9" i="33"/>
  <c r="K9" i="33" s="1"/>
  <c r="B9" i="33"/>
  <c r="W8" i="33"/>
  <c r="V8" i="33"/>
  <c r="U8" i="33"/>
  <c r="N8" i="33"/>
  <c r="I8" i="33"/>
  <c r="B8" i="33"/>
  <c r="U7" i="33"/>
  <c r="N7" i="33"/>
  <c r="I7" i="33"/>
  <c r="B7" i="33"/>
  <c r="W6" i="33"/>
  <c r="U6" i="33"/>
  <c r="V6" i="33" s="1"/>
  <c r="N6" i="33"/>
  <c r="I6" i="33"/>
  <c r="I3" i="33" s="1" a="1"/>
  <c r="I3" i="33" s="1"/>
  <c r="B6" i="33"/>
  <c r="U5" i="33"/>
  <c r="V5" i="33" s="1"/>
  <c r="I5" i="33"/>
  <c r="J5" i="33" s="1"/>
  <c r="X3" i="33" a="1"/>
  <c r="X3" i="33" s="1"/>
  <c r="U3" i="33" a="1"/>
  <c r="U3" i="33" s="1"/>
  <c r="L3" i="33" a="1"/>
  <c r="L3" i="33" s="1"/>
  <c r="X2" i="33"/>
  <c r="R2" i="33"/>
  <c r="R2" i="33" a="1"/>
  <c r="L2" i="33"/>
  <c r="F2" i="33" a="1"/>
  <c r="F2" i="33" s="1"/>
  <c r="A8" i="8"/>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7" i="8"/>
  <c r="A6" i="8"/>
  <c r="B10" i="8"/>
  <c r="B9" i="8"/>
  <c r="B8" i="8"/>
  <c r="B7" i="8"/>
  <c r="B6" i="8"/>
  <c r="X67" i="19" l="1" a="1"/>
  <c r="X67" i="19" s="1"/>
  <c r="X55" i="19" a="1"/>
  <c r="X55" i="19" s="1"/>
  <c r="X43" i="19" a="1"/>
  <c r="X43" i="19" s="1"/>
  <c r="X31" i="19" a="1"/>
  <c r="X31" i="19" s="1"/>
  <c r="X19" i="19" a="1"/>
  <c r="X19" i="19" s="1"/>
  <c r="X7" i="19" a="1"/>
  <c r="X7" i="19" s="1"/>
  <c r="W115" i="19"/>
  <c r="W103" i="19"/>
  <c r="W91" i="19"/>
  <c r="W79" i="19"/>
  <c r="W67" i="19"/>
  <c r="W55" i="19"/>
  <c r="W43" i="19"/>
  <c r="W31" i="19"/>
  <c r="W19" i="19"/>
  <c r="W7" i="19"/>
  <c r="X5" i="19"/>
  <c r="V5" i="19"/>
  <c r="X111" i="19" a="1"/>
  <c r="X111" i="19" s="1"/>
  <c r="X99" i="19" a="1"/>
  <c r="X99" i="19" s="1"/>
  <c r="X87" i="19" a="1"/>
  <c r="X87" i="19" s="1"/>
  <c r="X75" i="19" a="1"/>
  <c r="X75" i="19" s="1"/>
  <c r="W111" i="19"/>
  <c r="X3" i="19" a="1"/>
  <c r="X3" i="19" s="1"/>
  <c r="X109" i="19" a="1"/>
  <c r="X109" i="19" s="1"/>
  <c r="X97" i="19" a="1"/>
  <c r="X97" i="19" s="1"/>
  <c r="X85" i="19" a="1"/>
  <c r="X85" i="19" s="1"/>
  <c r="X73" i="19" a="1"/>
  <c r="X73" i="19" s="1"/>
  <c r="W56" i="19"/>
  <c r="X49" i="19" a="1"/>
  <c r="X49" i="19" s="1"/>
  <c r="W44" i="19"/>
  <c r="W8" i="19"/>
  <c r="W109" i="19"/>
  <c r="W97" i="19"/>
  <c r="W85" i="19"/>
  <c r="W61" i="19"/>
  <c r="X54" i="19" a="1"/>
  <c r="X54" i="19" s="1"/>
  <c r="W49" i="19"/>
  <c r="X42" i="19" a="1"/>
  <c r="X42" i="19" s="1"/>
  <c r="X30" i="19" a="1"/>
  <c r="X30" i="19" s="1"/>
  <c r="W25" i="19"/>
  <c r="X18" i="19" a="1"/>
  <c r="X18" i="19" s="1"/>
  <c r="X6" i="19" a="1"/>
  <c r="X6" i="19" s="1"/>
  <c r="U3" i="19" a="1"/>
  <c r="U3" i="19" s="1"/>
  <c r="W114" i="19"/>
  <c r="X107" i="19" a="1"/>
  <c r="X107" i="19" s="1"/>
  <c r="W102" i="19"/>
  <c r="X95" i="19" a="1"/>
  <c r="X95" i="19" s="1"/>
  <c r="W90" i="19"/>
  <c r="X83" i="19" a="1"/>
  <c r="X83" i="19" s="1"/>
  <c r="W78" i="19"/>
  <c r="X71" i="19" a="1"/>
  <c r="X71" i="19" s="1"/>
  <c r="W66" i="19"/>
  <c r="X59" i="19" a="1"/>
  <c r="X59" i="19" s="1"/>
  <c r="W54" i="19"/>
  <c r="X47" i="19" a="1"/>
  <c r="X47" i="19" s="1"/>
  <c r="W42" i="19"/>
  <c r="X35" i="19" a="1"/>
  <c r="X35" i="19" s="1"/>
  <c r="W30" i="19"/>
  <c r="X23" i="19" a="1"/>
  <c r="X23" i="19" s="1"/>
  <c r="W18" i="19"/>
  <c r="X11" i="19" a="1"/>
  <c r="X11" i="19" s="1"/>
  <c r="W6" i="19"/>
  <c r="X112" i="19" a="1"/>
  <c r="X112" i="19" s="1"/>
  <c r="W107" i="19"/>
  <c r="X100" i="19" a="1"/>
  <c r="X100" i="19" s="1"/>
  <c r="W95" i="19"/>
  <c r="X88" i="19" a="1"/>
  <c r="X88" i="19" s="1"/>
  <c r="W83" i="19"/>
  <c r="X76" i="19" a="1"/>
  <c r="X76" i="19" s="1"/>
  <c r="W71" i="19"/>
  <c r="X64" i="19" a="1"/>
  <c r="X64" i="19" s="1"/>
  <c r="W59" i="19"/>
  <c r="X52" i="19" a="1"/>
  <c r="X52" i="19" s="1"/>
  <c r="W47" i="19"/>
  <c r="X40" i="19" a="1"/>
  <c r="X40" i="19" s="1"/>
  <c r="W35" i="19"/>
  <c r="X28" i="19" a="1"/>
  <c r="X28" i="19" s="1"/>
  <c r="W23" i="19"/>
  <c r="X16" i="19" a="1"/>
  <c r="X16" i="19" s="1"/>
  <c r="W11" i="19"/>
  <c r="AV77" i="19" a="1"/>
  <c r="AV77" i="19" s="1"/>
  <c r="AU77" i="19"/>
  <c r="AH9" i="19"/>
  <c r="AV19" i="19" a="1"/>
  <c r="AV19" i="19" s="1"/>
  <c r="AU19" i="19"/>
  <c r="AT19" i="19"/>
  <c r="AV23" i="19" a="1"/>
  <c r="AV23" i="19" s="1"/>
  <c r="AU23" i="19"/>
  <c r="AI25" i="19"/>
  <c r="AH38" i="19"/>
  <c r="AT77" i="19"/>
  <c r="AI79" i="19"/>
  <c r="AH79" i="19"/>
  <c r="AJ99" i="19" a="1"/>
  <c r="AJ99" i="19" s="1"/>
  <c r="AI99" i="19"/>
  <c r="AH99" i="19"/>
  <c r="AH18" i="19"/>
  <c r="AJ18" i="19" a="1"/>
  <c r="AJ18" i="19" s="1"/>
  <c r="AG3" i="19" a="1"/>
  <c r="AG3" i="19" s="1"/>
  <c r="AI9" i="19"/>
  <c r="AT23" i="19"/>
  <c r="AJ25" i="19" a="1"/>
  <c r="AJ25" i="19" s="1"/>
  <c r="AI38" i="19"/>
  <c r="AI55" i="19"/>
  <c r="AH55" i="19"/>
  <c r="AJ75" i="19" a="1"/>
  <c r="AJ75" i="19" s="1"/>
  <c r="AI75" i="19"/>
  <c r="AH75" i="19"/>
  <c r="AJ79" i="19" a="1"/>
  <c r="AJ79" i="19" s="1"/>
  <c r="AJ111" i="19" a="1"/>
  <c r="AJ111" i="19" s="1"/>
  <c r="AI111" i="19"/>
  <c r="AH111" i="19"/>
  <c r="AT7" i="19"/>
  <c r="AT13" i="19"/>
  <c r="AT14" i="19"/>
  <c r="AI43" i="19"/>
  <c r="AH43" i="19"/>
  <c r="AV53" i="19" a="1"/>
  <c r="AV53" i="19" s="1"/>
  <c r="AU53" i="19"/>
  <c r="AV59" i="19" a="1"/>
  <c r="AV59" i="19" s="1"/>
  <c r="AU59" i="19"/>
  <c r="AI61" i="19"/>
  <c r="AH61" i="19"/>
  <c r="AI85" i="19"/>
  <c r="AH85" i="19"/>
  <c r="AU7" i="19"/>
  <c r="AH11" i="19"/>
  <c r="AU13" i="19"/>
  <c r="AU14" i="19"/>
  <c r="AH20" i="19"/>
  <c r="AV35" i="19" a="1"/>
  <c r="AV35" i="19" s="1"/>
  <c r="AU35" i="19"/>
  <c r="AI37" i="19"/>
  <c r="AJ43" i="19" a="1"/>
  <c r="AJ43" i="19" s="1"/>
  <c r="AV47" i="19" a="1"/>
  <c r="AV47" i="19" s="1"/>
  <c r="AU47" i="19"/>
  <c r="AT53" i="19"/>
  <c r="AT59" i="19"/>
  <c r="AJ61" i="19" a="1"/>
  <c r="AJ61" i="19" s="1"/>
  <c r="AJ81" i="19" a="1"/>
  <c r="AJ81" i="19" s="1"/>
  <c r="AI81" i="19"/>
  <c r="AH81" i="19"/>
  <c r="AJ85" i="19" a="1"/>
  <c r="AJ85" i="19" s="1"/>
  <c r="AV89" i="19" a="1"/>
  <c r="AV89" i="19" s="1"/>
  <c r="AU89" i="19"/>
  <c r="AT8" i="19"/>
  <c r="AI11" i="19"/>
  <c r="AI20" i="19"/>
  <c r="AJ27" i="19" a="1"/>
  <c r="AJ27" i="19" s="1"/>
  <c r="AI27" i="19"/>
  <c r="AH27" i="19"/>
  <c r="AT35" i="19"/>
  <c r="AJ37" i="19" a="1"/>
  <c r="AJ37" i="19" s="1"/>
  <c r="AV41" i="19" a="1"/>
  <c r="AV41" i="19" s="1"/>
  <c r="AU41" i="19"/>
  <c r="AT47" i="19"/>
  <c r="AJ57" i="19" a="1"/>
  <c r="AJ57" i="19" s="1"/>
  <c r="AI57" i="19"/>
  <c r="AH57" i="19"/>
  <c r="AV65" i="19" a="1"/>
  <c r="AV65" i="19" s="1"/>
  <c r="AU65" i="19"/>
  <c r="AT89" i="19"/>
  <c r="AH6" i="19"/>
  <c r="AU8" i="19"/>
  <c r="AH12" i="19"/>
  <c r="AT41" i="19"/>
  <c r="AJ51" i="19" a="1"/>
  <c r="AJ51" i="19" s="1"/>
  <c r="AI51" i="19"/>
  <c r="AH51" i="19"/>
  <c r="AT65" i="19"/>
  <c r="AI67" i="19"/>
  <c r="AH67" i="19"/>
  <c r="AJ87" i="19" a="1"/>
  <c r="AJ87" i="19" s="1"/>
  <c r="AI87" i="19"/>
  <c r="AH87" i="19"/>
  <c r="AI21" i="19"/>
  <c r="AH21" i="19"/>
  <c r="AI49" i="19"/>
  <c r="AH49" i="19"/>
  <c r="AJ105" i="19" a="1"/>
  <c r="AJ105" i="19" s="1"/>
  <c r="AI105" i="19"/>
  <c r="AH105" i="19"/>
  <c r="AI6" i="19"/>
  <c r="AI12" i="19"/>
  <c r="AV17" i="19" a="1"/>
  <c r="AV17" i="19" s="1"/>
  <c r="AU17" i="19"/>
  <c r="AJ33" i="19" a="1"/>
  <c r="AJ33" i="19" s="1"/>
  <c r="AI33" i="19"/>
  <c r="AH33" i="19"/>
  <c r="AJ45" i="19" a="1"/>
  <c r="AJ45" i="19" s="1"/>
  <c r="AI45" i="19"/>
  <c r="AH45" i="19"/>
  <c r="AJ63" i="19" a="1"/>
  <c r="AJ63" i="19" s="1"/>
  <c r="AI63" i="19"/>
  <c r="AH63" i="19"/>
  <c r="AJ67" i="19" a="1"/>
  <c r="AJ67" i="19" s="1"/>
  <c r="AV95" i="19" a="1"/>
  <c r="AV95" i="19" s="1"/>
  <c r="AU95" i="19"/>
  <c r="AV113" i="19" a="1"/>
  <c r="AV113" i="19" s="1"/>
  <c r="AU113" i="19"/>
  <c r="AV29" i="19" a="1"/>
  <c r="AV29" i="19" s="1"/>
  <c r="AU29" i="19"/>
  <c r="AH7" i="19"/>
  <c r="AU9" i="19"/>
  <c r="AH13" i="19"/>
  <c r="AI15" i="19"/>
  <c r="AH15" i="19"/>
  <c r="AT17" i="19"/>
  <c r="AI19" i="19"/>
  <c r="AH26" i="19"/>
  <c r="AJ39" i="19" a="1"/>
  <c r="AJ39" i="19" s="1"/>
  <c r="AI39" i="19"/>
  <c r="AH39" i="19"/>
  <c r="AV71" i="19" a="1"/>
  <c r="AV71" i="19" s="1"/>
  <c r="AU71" i="19"/>
  <c r="AT95" i="19"/>
  <c r="AT113" i="19"/>
  <c r="AV83" i="19" a="1"/>
  <c r="AV83" i="19" s="1"/>
  <c r="AU83" i="19"/>
  <c r="AI7" i="19"/>
  <c r="AI13" i="19"/>
  <c r="AJ19" i="19" a="1"/>
  <c r="AJ19" i="19" s="1"/>
  <c r="AI26" i="19"/>
  <c r="AI73" i="19"/>
  <c r="AH73" i="19"/>
  <c r="AJ93" i="19" a="1"/>
  <c r="AJ93" i="19" s="1"/>
  <c r="AI93" i="19"/>
  <c r="AH93" i="19"/>
  <c r="AH14" i="19"/>
  <c r="AH32" i="19"/>
  <c r="AJ69" i="19" a="1"/>
  <c r="AJ69" i="19" s="1"/>
  <c r="AI69" i="19"/>
  <c r="AH69" i="19"/>
  <c r="AJ73" i="19" a="1"/>
  <c r="AJ73" i="19" s="1"/>
  <c r="AV101" i="19" a="1"/>
  <c r="AV101" i="19" s="1"/>
  <c r="AU101" i="19"/>
  <c r="AV107" i="19" a="1"/>
  <c r="AV107" i="19" s="1"/>
  <c r="AU107" i="19"/>
  <c r="AJ24" i="19" a="1"/>
  <c r="AJ24" i="19" s="1"/>
  <c r="AJ30" i="19" a="1"/>
  <c r="AJ30" i="19" s="1"/>
  <c r="AJ36" i="19" a="1"/>
  <c r="AJ36" i="19" s="1"/>
  <c r="AJ42" i="19" a="1"/>
  <c r="AJ42" i="19" s="1"/>
  <c r="AJ48" i="19" a="1"/>
  <c r="AJ48" i="19" s="1"/>
  <c r="AJ54" i="19" a="1"/>
  <c r="AJ54" i="19" s="1"/>
  <c r="AH91" i="19"/>
  <c r="AH97" i="19"/>
  <c r="AH103" i="19"/>
  <c r="AH109" i="19"/>
  <c r="AH115" i="19"/>
  <c r="AT18" i="19"/>
  <c r="AT24" i="19"/>
  <c r="AT30" i="19"/>
  <c r="AT36" i="19"/>
  <c r="AT42" i="19"/>
  <c r="AT48" i="19"/>
  <c r="AT54" i="19"/>
  <c r="AT60" i="19"/>
  <c r="AT66" i="19"/>
  <c r="AT72" i="19"/>
  <c r="AT78" i="19"/>
  <c r="AT84" i="19"/>
  <c r="AT114" i="19"/>
  <c r="AH112" i="19"/>
  <c r="AU114" i="19"/>
  <c r="AI16" i="19"/>
  <c r="AI22" i="19"/>
  <c r="AT25" i="19"/>
  <c r="AI28" i="19"/>
  <c r="AT31" i="19"/>
  <c r="AI34" i="19"/>
  <c r="AT37" i="19"/>
  <c r="AI40" i="19"/>
  <c r="AT43" i="19"/>
  <c r="AI46" i="19"/>
  <c r="AT49" i="19"/>
  <c r="AI52" i="19"/>
  <c r="AT55" i="19"/>
  <c r="AI58" i="19"/>
  <c r="AT61" i="19"/>
  <c r="AI64" i="19"/>
  <c r="AT67" i="19"/>
  <c r="AI70" i="19"/>
  <c r="AT73" i="19"/>
  <c r="AI76" i="19"/>
  <c r="AT79" i="19"/>
  <c r="AI82" i="19"/>
  <c r="AT85" i="19"/>
  <c r="AI88" i="19"/>
  <c r="AT91" i="19"/>
  <c r="AI94" i="19"/>
  <c r="AT97" i="19"/>
  <c r="AI100" i="19"/>
  <c r="AT103" i="19"/>
  <c r="AI106" i="19"/>
  <c r="AT109" i="19"/>
  <c r="AI112" i="19"/>
  <c r="AT115" i="19"/>
  <c r="AU25" i="19"/>
  <c r="AU31" i="19"/>
  <c r="AU37" i="19"/>
  <c r="AU43" i="19"/>
  <c r="AU49" i="19"/>
  <c r="AU55" i="19"/>
  <c r="AU61" i="19"/>
  <c r="AU67" i="19"/>
  <c r="AU73" i="19"/>
  <c r="AU79" i="19"/>
  <c r="AU85" i="19"/>
  <c r="AU91" i="19"/>
  <c r="AU97" i="19"/>
  <c r="AU103" i="19"/>
  <c r="AH107" i="19"/>
  <c r="AU109" i="19"/>
  <c r="AH113" i="19"/>
  <c r="AU115" i="19"/>
  <c r="AI113" i="19"/>
  <c r="CP13" i="18"/>
  <c r="CP99" i="18"/>
  <c r="CR81" i="18" a="1"/>
  <c r="CR81" i="18" s="1"/>
  <c r="CQ18" i="18"/>
  <c r="CQ38" i="18"/>
  <c r="CP45" i="18"/>
  <c r="CQ63" i="18"/>
  <c r="CP79" i="18"/>
  <c r="CQ81" i="18"/>
  <c r="CP97" i="18"/>
  <c r="CQ99" i="18"/>
  <c r="CP111" i="18"/>
  <c r="CR10" i="18" a="1"/>
  <c r="CR10" i="18" s="1"/>
  <c r="CQ45" i="18"/>
  <c r="CQ97" i="18"/>
  <c r="CQ111" i="18"/>
  <c r="CR47" i="18" a="1"/>
  <c r="CR47" i="18" s="1"/>
  <c r="CR59" i="18" a="1"/>
  <c r="CR59" i="18" s="1"/>
  <c r="CR95" i="18" a="1"/>
  <c r="CR95" i="18" s="1"/>
  <c r="CP32" i="18"/>
  <c r="CP59" i="18"/>
  <c r="CP77" i="18"/>
  <c r="CP86" i="18"/>
  <c r="CR12" i="18" a="1"/>
  <c r="CR12" i="18" s="1"/>
  <c r="CR24" i="18" a="1"/>
  <c r="CR24" i="18" s="1"/>
  <c r="CR36" i="18" a="1"/>
  <c r="CR36" i="18" s="1"/>
  <c r="CR48" i="18" a="1"/>
  <c r="CR48" i="18" s="1"/>
  <c r="CP50" i="18"/>
  <c r="CP57" i="18"/>
  <c r="CP68" i="18"/>
  <c r="CQ77" i="18"/>
  <c r="CQ86" i="18"/>
  <c r="CR13" i="18" a="1"/>
  <c r="CR13" i="18" s="1"/>
  <c r="CR25" i="18" a="1"/>
  <c r="CR25" i="18" s="1"/>
  <c r="CR37" i="18" a="1"/>
  <c r="CR37" i="18" s="1"/>
  <c r="CR49" i="18" a="1"/>
  <c r="CR49" i="18" s="1"/>
  <c r="CR61" i="18" a="1"/>
  <c r="CR61" i="18" s="1"/>
  <c r="CR73" i="18" a="1"/>
  <c r="CR73" i="18" s="1"/>
  <c r="CR85" i="18" a="1"/>
  <c r="CR85" i="18" s="1"/>
  <c r="CR20" i="18" a="1"/>
  <c r="CR20" i="18" s="1"/>
  <c r="CR92" i="18" a="1"/>
  <c r="CR92" i="18" s="1"/>
  <c r="CP92" i="18"/>
  <c r="CP14" i="18"/>
  <c r="CQ21" i="18"/>
  <c r="CQ26" i="18"/>
  <c r="CQ30" i="18"/>
  <c r="CQ50" i="18"/>
  <c r="CP75" i="18"/>
  <c r="CR14" i="18" a="1"/>
  <c r="CR14" i="18" s="1"/>
  <c r="CR38" i="18" a="1"/>
  <c r="CR38" i="18" s="1"/>
  <c r="CR62" i="18" a="1"/>
  <c r="CR62" i="18" s="1"/>
  <c r="CR74" i="18" a="1"/>
  <c r="CR74" i="18" s="1"/>
  <c r="CR98" i="18" a="1"/>
  <c r="CR98" i="18" s="1"/>
  <c r="CR110" i="18" a="1"/>
  <c r="CR110" i="18" s="1"/>
  <c r="CP20" i="18"/>
  <c r="CQ24" i="18"/>
  <c r="CP28" i="18"/>
  <c r="CR15" i="18" a="1"/>
  <c r="CR15" i="18" s="1"/>
  <c r="CR27" i="18" a="1"/>
  <c r="CR27" i="18" s="1"/>
  <c r="CR63" i="18" a="1"/>
  <c r="CR63" i="18" s="1"/>
  <c r="CR87" i="18" a="1"/>
  <c r="CR87" i="18" s="1"/>
  <c r="CP19" i="18"/>
  <c r="CP44" i="18"/>
  <c r="CQ73" i="18"/>
  <c r="CP91" i="18"/>
  <c r="CP98" i="18"/>
  <c r="CP105" i="18"/>
  <c r="CP110" i="18"/>
  <c r="CR16" i="18" a="1"/>
  <c r="CR16" i="18" s="1"/>
  <c r="CR29" i="18" a="1"/>
  <c r="CR29" i="18" s="1"/>
  <c r="CR18" i="18" a="1"/>
  <c r="CR18" i="18" s="1"/>
  <c r="CR30" i="18" a="1"/>
  <c r="CR30" i="18" s="1"/>
  <c r="CR42" i="18" a="1"/>
  <c r="CR42" i="18" s="1"/>
  <c r="CQ29" i="18"/>
  <c r="CP74" i="18"/>
  <c r="CR19" i="18" a="1"/>
  <c r="CR19" i="18" s="1"/>
  <c r="CR31" i="18" a="1"/>
  <c r="CR31" i="18" s="1"/>
  <c r="CR43" i="18" a="1"/>
  <c r="CR43" i="18" s="1"/>
  <c r="CR55" i="18" a="1"/>
  <c r="CR55" i="18" s="1"/>
  <c r="CR67" i="18" a="1"/>
  <c r="CR67" i="18" s="1"/>
  <c r="CR79" i="18" a="1"/>
  <c r="CR79" i="18" s="1"/>
  <c r="CR91" i="18" a="1"/>
  <c r="CR91" i="18" s="1"/>
  <c r="CR103" i="18" a="1"/>
  <c r="CR103" i="18" s="1"/>
  <c r="CD25" i="18"/>
  <c r="CE54" i="18"/>
  <c r="CE77" i="18"/>
  <c r="CD79" i="18"/>
  <c r="CE83" i="18"/>
  <c r="CD85" i="18"/>
  <c r="CE89" i="18"/>
  <c r="CE113" i="18"/>
  <c r="CF59" i="18" a="1"/>
  <c r="CF59" i="18" s="1"/>
  <c r="CF71" i="18" a="1"/>
  <c r="CF71" i="18" s="1"/>
  <c r="CF94" i="18" a="1"/>
  <c r="CF94" i="18" s="1"/>
  <c r="CE25" i="18"/>
  <c r="CD31" i="18"/>
  <c r="CD71" i="18"/>
  <c r="CE79" i="18"/>
  <c r="CE85" i="18"/>
  <c r="CF24" i="18" a="1"/>
  <c r="CF24" i="18" s="1"/>
  <c r="CF36" i="18" a="1"/>
  <c r="CF36" i="18" s="1"/>
  <c r="CF48" i="18" a="1"/>
  <c r="CF48" i="18" s="1"/>
  <c r="CF60" i="18" a="1"/>
  <c r="CF60" i="18" s="1"/>
  <c r="CF72" i="18" a="1"/>
  <c r="CF72" i="18" s="1"/>
  <c r="CF84" i="18" a="1"/>
  <c r="CF84" i="18" s="1"/>
  <c r="CF95" i="18" a="1"/>
  <c r="CF95" i="18" s="1"/>
  <c r="CD73" i="18"/>
  <c r="CE102" i="18"/>
  <c r="CD109" i="18"/>
  <c r="CF13" i="18" a="1"/>
  <c r="CF13" i="18" s="1"/>
  <c r="CF37" i="18" a="1"/>
  <c r="CF37" i="18" s="1"/>
  <c r="CF49" i="18" a="1"/>
  <c r="CF49" i="18" s="1"/>
  <c r="CF61" i="18" a="1"/>
  <c r="CF61" i="18" s="1"/>
  <c r="CF96" i="18" a="1"/>
  <c r="CF96" i="18" s="1"/>
  <c r="CE42" i="18"/>
  <c r="CE109" i="18"/>
  <c r="CD5" i="18"/>
  <c r="CD61" i="18"/>
  <c r="CF27" i="18" a="1"/>
  <c r="CF27" i="18" s="1"/>
  <c r="CF97" i="18" a="1"/>
  <c r="CF97" i="18" s="1"/>
  <c r="CF108" i="18" a="1"/>
  <c r="CF108" i="18" s="1"/>
  <c r="CD19" i="18"/>
  <c r="CE40" i="18"/>
  <c r="CD55" i="18"/>
  <c r="CE114" i="18"/>
  <c r="CF76" i="18" a="1"/>
  <c r="CF76" i="18" s="1"/>
  <c r="CD8" i="18"/>
  <c r="CE55" i="18"/>
  <c r="CE90" i="18"/>
  <c r="CF41" i="18" a="1"/>
  <c r="CF41" i="18" s="1"/>
  <c r="CF53" i="18" a="1"/>
  <c r="CF53" i="18" s="1"/>
  <c r="CF65" i="18" a="1"/>
  <c r="CF65" i="18" s="1"/>
  <c r="CE78" i="18"/>
  <c r="CF18" i="18" a="1"/>
  <c r="CF18" i="18" s="1"/>
  <c r="CF30" i="18" a="1"/>
  <c r="CF30" i="18" s="1"/>
  <c r="CF42" i="18" a="1"/>
  <c r="CF42" i="18" s="1"/>
  <c r="CF54" i="18" a="1"/>
  <c r="CF54" i="18" s="1"/>
  <c r="CF66" i="18" a="1"/>
  <c r="CF66" i="18" s="1"/>
  <c r="CF78" i="18" a="1"/>
  <c r="CF78" i="18" s="1"/>
  <c r="CF90" i="18" a="1"/>
  <c r="CF90" i="18" s="1"/>
  <c r="CF7" i="18" a="1"/>
  <c r="CF7" i="18" s="1"/>
  <c r="CD13" i="18"/>
  <c r="CE66" i="18"/>
  <c r="CE72" i="18"/>
  <c r="CD97" i="18"/>
  <c r="CF102" i="18" a="1"/>
  <c r="CF102" i="18" s="1"/>
  <c r="CE60" i="18"/>
  <c r="CF21" i="18" a="1"/>
  <c r="CF21" i="18" s="1"/>
  <c r="CF33" i="18" a="1"/>
  <c r="CF33" i="18" s="1"/>
  <c r="CF114" i="18" a="1"/>
  <c r="CF114" i="18" s="1"/>
  <c r="BS8" i="18"/>
  <c r="BS52" i="18"/>
  <c r="BS22" i="18"/>
  <c r="BS27" i="18"/>
  <c r="BT14" i="18" a="1"/>
  <c r="BT14" i="18" s="1"/>
  <c r="BT25" i="18" a="1"/>
  <c r="BT25" i="18" s="1"/>
  <c r="BT84" i="18" a="1"/>
  <c r="BT84" i="18" s="1"/>
  <c r="BR11" i="18"/>
  <c r="BS18" i="18"/>
  <c r="BS45" i="18"/>
  <c r="BS72" i="18"/>
  <c r="BS84" i="18"/>
  <c r="BT99" i="18" a="1"/>
  <c r="BT99" i="18" s="1"/>
  <c r="BT111" i="18" a="1"/>
  <c r="BT111" i="18" s="1"/>
  <c r="BS11" i="18"/>
  <c r="BR21" i="18"/>
  <c r="BR28" i="18"/>
  <c r="BR33" i="18"/>
  <c r="BT18" i="18" a="1"/>
  <c r="BT18" i="18" s="1"/>
  <c r="BT30" i="18" a="1"/>
  <c r="BT30" i="18" s="1"/>
  <c r="BT42" i="18" a="1"/>
  <c r="BT42" i="18" s="1"/>
  <c r="BT54" i="18" a="1"/>
  <c r="BT54" i="18" s="1"/>
  <c r="BT66" i="18" a="1"/>
  <c r="BT66" i="18" s="1"/>
  <c r="BT112" i="18" a="1"/>
  <c r="BT112" i="18" s="1"/>
  <c r="BS21" i="18"/>
  <c r="BS33" i="18"/>
  <c r="BT8" i="18" a="1"/>
  <c r="BT8" i="18" s="1"/>
  <c r="BT78" i="18" a="1"/>
  <c r="BT78" i="18" s="1"/>
  <c r="BR111" i="18"/>
  <c r="BT20" i="18" a="1"/>
  <c r="BT20" i="18" s="1"/>
  <c r="BT32" i="18" a="1"/>
  <c r="BT32" i="18" s="1"/>
  <c r="BT44" i="18" a="1"/>
  <c r="BT44" i="18" s="1"/>
  <c r="BT56" i="18" a="1"/>
  <c r="BT56" i="18" s="1"/>
  <c r="BT68" i="18" a="1"/>
  <c r="BT68" i="18" s="1"/>
  <c r="BT90" i="18" a="1"/>
  <c r="BT90" i="18" s="1"/>
  <c r="BT102" i="18" a="1"/>
  <c r="BT102" i="18" s="1"/>
  <c r="BT114" i="18" a="1"/>
  <c r="BT114" i="18" s="1"/>
  <c r="BT10" i="18" a="1"/>
  <c r="BT10" i="18" s="1"/>
  <c r="BT45" i="18" a="1"/>
  <c r="BT45" i="18" s="1"/>
  <c r="BT57" i="18" a="1"/>
  <c r="BT57" i="18" s="1"/>
  <c r="BT80" i="18" a="1"/>
  <c r="BT80" i="18" s="1"/>
  <c r="BT98" i="18" a="1"/>
  <c r="BT98" i="18" s="1"/>
  <c r="BS24" i="18"/>
  <c r="BS78" i="18"/>
  <c r="BT22" i="18" a="1"/>
  <c r="BT22" i="18" s="1"/>
  <c r="BT46" i="18" a="1"/>
  <c r="BT46" i="18" s="1"/>
  <c r="BT92" i="18" a="1"/>
  <c r="BT92" i="18" s="1"/>
  <c r="BT104" i="18" a="1"/>
  <c r="BT104" i="18" s="1"/>
  <c r="BR57" i="18"/>
  <c r="BT12" i="18" a="1"/>
  <c r="BT12" i="18" s="1"/>
  <c r="BS42" i="18"/>
  <c r="BT86" i="18" a="1"/>
  <c r="BT86" i="18" s="1"/>
  <c r="BR13" i="18"/>
  <c r="BS30" i="18"/>
  <c r="BR10" i="18"/>
  <c r="BT24" i="18" a="1"/>
  <c r="BT24" i="18" s="1"/>
  <c r="BT36" i="18" a="1"/>
  <c r="BT36" i="18" s="1"/>
  <c r="BT48" i="18" a="1"/>
  <c r="BT48" i="18" s="1"/>
  <c r="BT60" i="18" a="1"/>
  <c r="BT60" i="18" s="1"/>
  <c r="BT72" i="18" a="1"/>
  <c r="BT72" i="18" s="1"/>
  <c r="BG10" i="18"/>
  <c r="BF12" i="18"/>
  <c r="BH28" i="18" a="1"/>
  <c r="BH28" i="18" s="1"/>
  <c r="BH40" i="18" a="1"/>
  <c r="BH40" i="18" s="1"/>
  <c r="BH52" i="18" a="1"/>
  <c r="BH52" i="18" s="1"/>
  <c r="BH64" i="18" a="1"/>
  <c r="BH64" i="18" s="1"/>
  <c r="BH76" i="18" a="1"/>
  <c r="BH76" i="18" s="1"/>
  <c r="BH88" i="18" a="1"/>
  <c r="BH88" i="18" s="1"/>
  <c r="BH99" i="18" a="1"/>
  <c r="BH99" i="18" s="1"/>
  <c r="BF34" i="18"/>
  <c r="BF43" i="18"/>
  <c r="BF52" i="18"/>
  <c r="BF70" i="18"/>
  <c r="BG90" i="18"/>
  <c r="BF110" i="18"/>
  <c r="BH30" i="18" a="1"/>
  <c r="BH30" i="18" s="1"/>
  <c r="BH42" i="18" a="1"/>
  <c r="BH42" i="18" s="1"/>
  <c r="BH54" i="18" a="1"/>
  <c r="BH54" i="18" s="1"/>
  <c r="BH66" i="18" a="1"/>
  <c r="BH66" i="18" s="1"/>
  <c r="BH78" i="18" a="1"/>
  <c r="BH78" i="18" s="1"/>
  <c r="BH90" i="18" a="1"/>
  <c r="BH90" i="18" s="1"/>
  <c r="BG34" i="18"/>
  <c r="BF50" i="18"/>
  <c r="BF68" i="18"/>
  <c r="BG70" i="18"/>
  <c r="BF79" i="18"/>
  <c r="BG108" i="18"/>
  <c r="BF112" i="18"/>
  <c r="BH8" i="18" a="1"/>
  <c r="BH8" i="18" s="1"/>
  <c r="BH20" i="18" a="1"/>
  <c r="BH20" i="18" s="1"/>
  <c r="BH31" i="18" a="1"/>
  <c r="BH31" i="18" s="1"/>
  <c r="BH43" i="18" a="1"/>
  <c r="BH43" i="18" s="1"/>
  <c r="BH55" i="18" a="1"/>
  <c r="BH55" i="18" s="1"/>
  <c r="BH67" i="18" a="1"/>
  <c r="BH67" i="18" s="1"/>
  <c r="BH79" i="18" a="1"/>
  <c r="BH79" i="18" s="1"/>
  <c r="BH91" i="18" a="1"/>
  <c r="BH91" i="18" s="1"/>
  <c r="BH102" i="18" a="1"/>
  <c r="BH102" i="18" s="1"/>
  <c r="BH114" i="18" a="1"/>
  <c r="BH114" i="18" s="1"/>
  <c r="BF28" i="18"/>
  <c r="BG30" i="18"/>
  <c r="BF88" i="18"/>
  <c r="BH21" i="18" a="1"/>
  <c r="BH21" i="18" s="1"/>
  <c r="BH44" i="18" a="1"/>
  <c r="BH44" i="18" s="1"/>
  <c r="BH56" i="18" a="1"/>
  <c r="BH56" i="18" s="1"/>
  <c r="BH103" i="18" a="1"/>
  <c r="BH103" i="18" s="1"/>
  <c r="BH115" i="18" a="1"/>
  <c r="BH115" i="18" s="1"/>
  <c r="BF22" i="18"/>
  <c r="BG24" i="18"/>
  <c r="BF26" i="18"/>
  <c r="BG48" i="18"/>
  <c r="BF64" i="18"/>
  <c r="BF86" i="18"/>
  <c r="BF106" i="18"/>
  <c r="BH10" i="18" a="1"/>
  <c r="BH10" i="18" s="1"/>
  <c r="BH22" i="18" a="1"/>
  <c r="BH22" i="18" s="1"/>
  <c r="BH33" i="18" a="1"/>
  <c r="BH33" i="18" s="1"/>
  <c r="BH45" i="18" a="1"/>
  <c r="BH45" i="18" s="1"/>
  <c r="BH57" i="18" a="1"/>
  <c r="BH57" i="18" s="1"/>
  <c r="BH69" i="18" a="1"/>
  <c r="BH69" i="18" s="1"/>
  <c r="BH81" i="18" a="1"/>
  <c r="BH81" i="18" s="1"/>
  <c r="BH93" i="18" a="1"/>
  <c r="BH93" i="18" s="1"/>
  <c r="BH11" i="18" a="1"/>
  <c r="BH11" i="18" s="1"/>
  <c r="BH58" i="18" a="1"/>
  <c r="BH58" i="18" s="1"/>
  <c r="BH82" i="18" a="1"/>
  <c r="BH82" i="18" s="1"/>
  <c r="BH105" i="18" a="1"/>
  <c r="BH105" i="18" s="1"/>
  <c r="BF73" i="18"/>
  <c r="BG102" i="18"/>
  <c r="BF115" i="18"/>
  <c r="BH24" i="18" a="1"/>
  <c r="BH24" i="18" s="1"/>
  <c r="BH25" i="18" a="1"/>
  <c r="BH25" i="18" s="1"/>
  <c r="BH36" i="18" a="1"/>
  <c r="BH36" i="18" s="1"/>
  <c r="BH48" i="18" a="1"/>
  <c r="BH48" i="18" s="1"/>
  <c r="BH60" i="18" a="1"/>
  <c r="BH60" i="18" s="1"/>
  <c r="BH72" i="18" a="1"/>
  <c r="BH72" i="18" s="1"/>
  <c r="BH84" i="18" a="1"/>
  <c r="BH84" i="18" s="1"/>
  <c r="BH96" i="18" a="1"/>
  <c r="BH96" i="18" s="1"/>
  <c r="BG18" i="18"/>
  <c r="BG78" i="18"/>
  <c r="BF98" i="18"/>
  <c r="BF109" i="18"/>
  <c r="BH14" i="18" a="1"/>
  <c r="BH14" i="18" s="1"/>
  <c r="BH37" i="18" a="1"/>
  <c r="BH37" i="18" s="1"/>
  <c r="BH49" i="18" a="1"/>
  <c r="BH49" i="18" s="1"/>
  <c r="BH61" i="18" a="1"/>
  <c r="BH61" i="18" s="1"/>
  <c r="BH73" i="18" a="1"/>
  <c r="BH73" i="18" s="1"/>
  <c r="BH85" i="18" a="1"/>
  <c r="BH85" i="18" s="1"/>
  <c r="BH97" i="18" a="1"/>
  <c r="BH97" i="18" s="1"/>
  <c r="BH108" i="18" a="1"/>
  <c r="BH108" i="18" s="1"/>
  <c r="BF58" i="18"/>
  <c r="BF67" i="18"/>
  <c r="BH15" i="18" a="1"/>
  <c r="BH15" i="18" s="1"/>
  <c r="BH38" i="18" a="1"/>
  <c r="BH38" i="18" s="1"/>
  <c r="BH109" i="18" a="1"/>
  <c r="BH109" i="18" s="1"/>
  <c r="BG16" i="18"/>
  <c r="BF25" i="18"/>
  <c r="BH27" i="18" a="1"/>
  <c r="BH27" i="18" s="1"/>
  <c r="BH39" i="18" a="1"/>
  <c r="BH39" i="18" s="1"/>
  <c r="BH51" i="18" a="1"/>
  <c r="BH51" i="18" s="1"/>
  <c r="BH63" i="18" a="1"/>
  <c r="BH63" i="18" s="1"/>
  <c r="BH75" i="18" a="1"/>
  <c r="BH75" i="18" s="1"/>
  <c r="BH87" i="18" a="1"/>
  <c r="BH87" i="18" s="1"/>
  <c r="AT63" i="18"/>
  <c r="AU65" i="18"/>
  <c r="AT78" i="18"/>
  <c r="AU89" i="18"/>
  <c r="AT114" i="18"/>
  <c r="AV19" i="18" a="1"/>
  <c r="AV19" i="18" s="1"/>
  <c r="AV43" i="18" a="1"/>
  <c r="AV43" i="18" s="1"/>
  <c r="AV90" i="18" a="1"/>
  <c r="AV90" i="18" s="1"/>
  <c r="AV102" i="18" a="1"/>
  <c r="AV102" i="18" s="1"/>
  <c r="AU30" i="18"/>
  <c r="AT108" i="18"/>
  <c r="AT21" i="18"/>
  <c r="AT33" i="18"/>
  <c r="AU52" i="18"/>
  <c r="AU54" i="18"/>
  <c r="AT72" i="18"/>
  <c r="AT81" i="18"/>
  <c r="AU83" i="18"/>
  <c r="AU100" i="18"/>
  <c r="AU102" i="18"/>
  <c r="AU106" i="18"/>
  <c r="AU108" i="18"/>
  <c r="AV34" i="18" a="1"/>
  <c r="AV34" i="18" s="1"/>
  <c r="AV46" i="18" a="1"/>
  <c r="AV46" i="18" s="1"/>
  <c r="AV58" i="18" a="1"/>
  <c r="AV58" i="18" s="1"/>
  <c r="AV70" i="18" a="1"/>
  <c r="AV70" i="18" s="1"/>
  <c r="AV81" i="18" a="1"/>
  <c r="AV81" i="18" s="1"/>
  <c r="AV93" i="18" a="1"/>
  <c r="AV93" i="18" s="1"/>
  <c r="AV105" i="18" a="1"/>
  <c r="AV105" i="18" s="1"/>
  <c r="AU21" i="18"/>
  <c r="AU33" i="18"/>
  <c r="AU72" i="18"/>
  <c r="AT94" i="18"/>
  <c r="AT96" i="18"/>
  <c r="AV59" i="18" a="1"/>
  <c r="AV59" i="18" s="1"/>
  <c r="AV71" i="18" a="1"/>
  <c r="AV71" i="18" s="1"/>
  <c r="AV106" i="18" a="1"/>
  <c r="AV106" i="18" s="1"/>
  <c r="AU12" i="18"/>
  <c r="AT17" i="18"/>
  <c r="AT48" i="18"/>
  <c r="AV83" i="18" a="1"/>
  <c r="AV83" i="18" s="1"/>
  <c r="AV95" i="18" a="1"/>
  <c r="AV95" i="18" s="1"/>
  <c r="AV107" i="18" a="1"/>
  <c r="AV107" i="18" s="1"/>
  <c r="AT88" i="18"/>
  <c r="AV37" i="18" a="1"/>
  <c r="AV37" i="18" s="1"/>
  <c r="AV73" i="18" a="1"/>
  <c r="AV73" i="18" s="1"/>
  <c r="AV84" i="18" a="1"/>
  <c r="AV84" i="18" s="1"/>
  <c r="AT15" i="18"/>
  <c r="AU113" i="18"/>
  <c r="AV38" i="18" a="1"/>
  <c r="AV38" i="18" s="1"/>
  <c r="AV50" i="18" a="1"/>
  <c r="AV50" i="18" s="1"/>
  <c r="AV62" i="18" a="1"/>
  <c r="AV62" i="18" s="1"/>
  <c r="AV74" i="18" a="1"/>
  <c r="AV74" i="18" s="1"/>
  <c r="AV109" i="18" a="1"/>
  <c r="AV109" i="18" s="1"/>
  <c r="AT54" i="18"/>
  <c r="AV104" i="18" a="1"/>
  <c r="AV104" i="18" s="1"/>
  <c r="AU15" i="18"/>
  <c r="AT29" i="18"/>
  <c r="AT39" i="18"/>
  <c r="AT51" i="18"/>
  <c r="AT53" i="18"/>
  <c r="AT84" i="18"/>
  <c r="AT99" i="18"/>
  <c r="AU101" i="18"/>
  <c r="AT105" i="18"/>
  <c r="AU107" i="18"/>
  <c r="AT111" i="18"/>
  <c r="AV27" i="18" a="1"/>
  <c r="AV27" i="18" s="1"/>
  <c r="AV39" i="18" a="1"/>
  <c r="AV39" i="18" s="1"/>
  <c r="AV86" i="18" a="1"/>
  <c r="AV86" i="18" s="1"/>
  <c r="AV98" i="18" a="1"/>
  <c r="AV98" i="18" s="1"/>
  <c r="AU29" i="18"/>
  <c r="AU99" i="18"/>
  <c r="AU111" i="18"/>
  <c r="AV28" i="18" a="1"/>
  <c r="AV28" i="18" s="1"/>
  <c r="AV40" i="18" a="1"/>
  <c r="AV40" i="18" s="1"/>
  <c r="AV52" i="18" a="1"/>
  <c r="AV52" i="18" s="1"/>
  <c r="AT100" i="18"/>
  <c r="AU112" i="18"/>
  <c r="AT69" i="18"/>
  <c r="AU71" i="18"/>
  <c r="AT93" i="18"/>
  <c r="AU95" i="18"/>
  <c r="AV65" i="18" a="1"/>
  <c r="AV65" i="18" s="1"/>
  <c r="AV77" i="18" a="1"/>
  <c r="AV77" i="18" s="1"/>
  <c r="AV112" i="18" a="1"/>
  <c r="AV112" i="18" s="1"/>
  <c r="AV30" i="18" a="1"/>
  <c r="AV30" i="18" s="1"/>
  <c r="AV89" i="18" a="1"/>
  <c r="AV89" i="18" s="1"/>
  <c r="AV101" i="18" a="1"/>
  <c r="AV101" i="18" s="1"/>
  <c r="AV113" i="18" a="1"/>
  <c r="AV113" i="18" s="1"/>
  <c r="AI24" i="18"/>
  <c r="AI39" i="18"/>
  <c r="AI51" i="18"/>
  <c r="AI76" i="18"/>
  <c r="AI78" i="18"/>
  <c r="AI84" i="18"/>
  <c r="AI86" i="18"/>
  <c r="AH92" i="18"/>
  <c r="AH98" i="18"/>
  <c r="AJ9" i="18" a="1"/>
  <c r="AJ9" i="18" s="1"/>
  <c r="AJ21" i="18" a="1"/>
  <c r="AJ21" i="18" s="1"/>
  <c r="AJ33" i="18" a="1"/>
  <c r="AJ33" i="18" s="1"/>
  <c r="AJ45" i="18" a="1"/>
  <c r="AJ45" i="18" s="1"/>
  <c r="AJ57" i="18" a="1"/>
  <c r="AJ57" i="18" s="1"/>
  <c r="AJ69" i="18" a="1"/>
  <c r="AJ69" i="18" s="1"/>
  <c r="AJ81" i="18" a="1"/>
  <c r="AJ81" i="18" s="1"/>
  <c r="AJ105" i="18" a="1"/>
  <c r="AJ105" i="18" s="1"/>
  <c r="AH57" i="18"/>
  <c r="AI92" i="18"/>
  <c r="AI98" i="18"/>
  <c r="AH110" i="18"/>
  <c r="AJ46" i="18" a="1"/>
  <c r="AJ46" i="18" s="1"/>
  <c r="AJ58" i="18" a="1"/>
  <c r="AJ58" i="18" s="1"/>
  <c r="AI6" i="18"/>
  <c r="AH33" i="18"/>
  <c r="AH63" i="18"/>
  <c r="AJ23" i="18" a="1"/>
  <c r="AJ23" i="18" s="1"/>
  <c r="AH44" i="18"/>
  <c r="AH75" i="18"/>
  <c r="AI114" i="18"/>
  <c r="AJ12" i="18" a="1"/>
  <c r="AJ12" i="18" s="1"/>
  <c r="AJ36" i="18" a="1"/>
  <c r="AJ36" i="18" s="1"/>
  <c r="AJ48" i="18" a="1"/>
  <c r="AJ48" i="18" s="1"/>
  <c r="AJ60" i="18" a="1"/>
  <c r="AJ60" i="18" s="1"/>
  <c r="AJ72" i="18" a="1"/>
  <c r="AJ72" i="18" s="1"/>
  <c r="AJ84" i="18" a="1"/>
  <c r="AJ84" i="18" s="1"/>
  <c r="AJ96" i="18" a="1"/>
  <c r="AJ96" i="18" s="1"/>
  <c r="AJ108" i="18" a="1"/>
  <c r="AJ108" i="18" s="1"/>
  <c r="AH19" i="18"/>
  <c r="AH21" i="18"/>
  <c r="AI75" i="18"/>
  <c r="AJ13" i="18" a="1"/>
  <c r="AJ13" i="18" s="1"/>
  <c r="AJ25" i="18" a="1"/>
  <c r="AJ25" i="18" s="1"/>
  <c r="AH13" i="18"/>
  <c r="AH38" i="18"/>
  <c r="AH46" i="18"/>
  <c r="AH50" i="18"/>
  <c r="AH81" i="18"/>
  <c r="AH87" i="18"/>
  <c r="AJ14" i="18" a="1"/>
  <c r="AJ14" i="18" s="1"/>
  <c r="AJ26" i="18" a="1"/>
  <c r="AJ26" i="18" s="1"/>
  <c r="AJ38" i="18" a="1"/>
  <c r="AJ38" i="18" s="1"/>
  <c r="AJ50" i="18" a="1"/>
  <c r="AJ50" i="18" s="1"/>
  <c r="AJ62" i="18" a="1"/>
  <c r="AJ62" i="18" s="1"/>
  <c r="AJ74" i="18" a="1"/>
  <c r="AJ74" i="18" s="1"/>
  <c r="AI42" i="18"/>
  <c r="AI48" i="18"/>
  <c r="AI87" i="18"/>
  <c r="AJ15" i="18" a="1"/>
  <c r="AJ15" i="18" s="1"/>
  <c r="AJ27" i="18" a="1"/>
  <c r="AJ27" i="18" s="1"/>
  <c r="AJ111" i="18" a="1"/>
  <c r="AJ111" i="18" s="1"/>
  <c r="AH40" i="18"/>
  <c r="AH56" i="18"/>
  <c r="AJ16" i="18" a="1"/>
  <c r="AJ16" i="18" s="1"/>
  <c r="AJ28" i="18" a="1"/>
  <c r="AJ28" i="18" s="1"/>
  <c r="AJ52" i="18" a="1"/>
  <c r="AJ52" i="18" s="1"/>
  <c r="AI7" i="18"/>
  <c r="AH32" i="18"/>
  <c r="AI36" i="18"/>
  <c r="AI54" i="18"/>
  <c r="AH62" i="18"/>
  <c r="AI18" i="18"/>
  <c r="AH26" i="18"/>
  <c r="AH45" i="18"/>
  <c r="AI60" i="18"/>
  <c r="AI66" i="18"/>
  <c r="AJ18" i="18" a="1"/>
  <c r="AJ18" i="18" s="1"/>
  <c r="AJ30" i="18" a="1"/>
  <c r="AJ30" i="18" s="1"/>
  <c r="AJ42" i="18" a="1"/>
  <c r="AJ42" i="18" s="1"/>
  <c r="AJ54" i="18" a="1"/>
  <c r="AJ54" i="18" s="1"/>
  <c r="AJ66" i="18" a="1"/>
  <c r="AJ66" i="18" s="1"/>
  <c r="AJ78" i="18" a="1"/>
  <c r="AJ78" i="18" s="1"/>
  <c r="AJ90" i="18" a="1"/>
  <c r="AJ90" i="18" s="1"/>
  <c r="AJ102" i="18" a="1"/>
  <c r="AJ102" i="18" s="1"/>
  <c r="AJ114" i="18" a="1"/>
  <c r="AJ114" i="18" s="1"/>
  <c r="AI12" i="18"/>
  <c r="AH16" i="18"/>
  <c r="AI30" i="18"/>
  <c r="AI72" i="18"/>
  <c r="AJ7" i="18" a="1"/>
  <c r="AJ7" i="18" s="1"/>
  <c r="AJ5" i="18"/>
  <c r="AV5" i="18"/>
  <c r="BH3" i="18" a="1"/>
  <c r="BH3" i="18" s="1"/>
  <c r="BH2" i="18"/>
  <c r="BH5" i="18"/>
  <c r="BT5" i="18"/>
  <c r="CF2" i="18"/>
  <c r="CC3" i="18" a="1"/>
  <c r="CC3" i="18" s="1"/>
  <c r="CQ7" i="18"/>
  <c r="CR7" i="18" a="1"/>
  <c r="CR7" i="18" s="1"/>
  <c r="CR2" i="18"/>
  <c r="CR5" i="18"/>
  <c r="CQ52" i="18"/>
  <c r="CP52" i="18"/>
  <c r="CD9" i="18"/>
  <c r="CD12" i="18"/>
  <c r="CE12" i="18"/>
  <c r="CE20" i="18"/>
  <c r="CD20" i="18"/>
  <c r="CQ64" i="18"/>
  <c r="CP64" i="18"/>
  <c r="CP5" i="18"/>
  <c r="CP6" i="18"/>
  <c r="CE9" i="18"/>
  <c r="CQ40" i="18"/>
  <c r="CP40" i="18"/>
  <c r="CQ100" i="18"/>
  <c r="CP100" i="18"/>
  <c r="CQ82" i="18"/>
  <c r="CP82" i="18"/>
  <c r="CQ6" i="18"/>
  <c r="CD10" i="18"/>
  <c r="CE10" i="18"/>
  <c r="CQ106" i="18"/>
  <c r="CP106" i="18"/>
  <c r="CQ28" i="18"/>
  <c r="CQ58" i="18"/>
  <c r="CP58" i="18"/>
  <c r="CQ112" i="18"/>
  <c r="CP112" i="18"/>
  <c r="CO3" i="18" a="1"/>
  <c r="CO3" i="18" s="1"/>
  <c r="CE14" i="18"/>
  <c r="CD14" i="18"/>
  <c r="CQ76" i="18"/>
  <c r="CP76" i="18"/>
  <c r="CQ88" i="18"/>
  <c r="CP88" i="18"/>
  <c r="CD6" i="18"/>
  <c r="CQ8" i="18"/>
  <c r="CQ22" i="18"/>
  <c r="CE26" i="18"/>
  <c r="CD26" i="18"/>
  <c r="CQ34" i="18"/>
  <c r="CE38" i="18"/>
  <c r="CD38" i="18"/>
  <c r="CQ46" i="18"/>
  <c r="CP46" i="18"/>
  <c r="CE6" i="18"/>
  <c r="CP9" i="18"/>
  <c r="CP22" i="18"/>
  <c r="CE32" i="18"/>
  <c r="CD32" i="18"/>
  <c r="CP34" i="18"/>
  <c r="CQ16" i="18"/>
  <c r="CD7" i="18"/>
  <c r="CQ9" i="18"/>
  <c r="CQ70" i="18"/>
  <c r="CP70" i="18"/>
  <c r="CQ11" i="18"/>
  <c r="CP11" i="18"/>
  <c r="CQ94" i="18"/>
  <c r="CP94" i="18"/>
  <c r="CE18" i="18"/>
  <c r="CE24" i="18"/>
  <c r="CE30" i="18"/>
  <c r="CE36" i="18"/>
  <c r="CE115" i="18"/>
  <c r="CD44" i="18"/>
  <c r="CD50" i="18"/>
  <c r="CD56" i="18"/>
  <c r="CD62" i="18"/>
  <c r="CD68" i="18"/>
  <c r="CD74" i="18"/>
  <c r="CD80" i="18"/>
  <c r="CD86" i="18"/>
  <c r="CD92" i="18"/>
  <c r="CD98" i="18"/>
  <c r="CD104" i="18"/>
  <c r="CD110" i="18"/>
  <c r="CP17" i="18"/>
  <c r="CP23" i="18"/>
  <c r="CP35" i="18"/>
  <c r="CP41" i="18"/>
  <c r="CE44" i="18"/>
  <c r="CP47" i="18"/>
  <c r="CE50" i="18"/>
  <c r="CP53" i="18"/>
  <c r="CE56" i="18"/>
  <c r="CE62" i="18"/>
  <c r="CE68" i="18"/>
  <c r="CE74" i="18"/>
  <c r="CE80" i="18"/>
  <c r="CE86" i="18"/>
  <c r="CE92" i="18"/>
  <c r="CE98" i="18"/>
  <c r="CE104" i="18"/>
  <c r="CP107" i="18"/>
  <c r="CE110" i="18"/>
  <c r="CP113" i="18"/>
  <c r="CD15" i="18"/>
  <c r="CQ17" i="18"/>
  <c r="CD21" i="18"/>
  <c r="CQ23" i="18"/>
  <c r="CD33" i="18"/>
  <c r="CQ35" i="18"/>
  <c r="CD39" i="18"/>
  <c r="CQ41" i="18"/>
  <c r="CD45" i="18"/>
  <c r="CD51" i="18"/>
  <c r="CD57" i="18"/>
  <c r="CD63" i="18"/>
  <c r="CD69" i="18"/>
  <c r="CD75" i="18"/>
  <c r="CD81" i="18"/>
  <c r="CD87" i="18"/>
  <c r="CQ89" i="18"/>
  <c r="CD93" i="18"/>
  <c r="CQ95" i="18"/>
  <c r="CD99" i="18"/>
  <c r="CQ101" i="18"/>
  <c r="CD105" i="18"/>
  <c r="CQ107" i="18"/>
  <c r="CD111" i="18"/>
  <c r="CQ113" i="18"/>
  <c r="CP12" i="18"/>
  <c r="CE15" i="18"/>
  <c r="CP36" i="18"/>
  <c r="CE39" i="18"/>
  <c r="CP42" i="18"/>
  <c r="CE45" i="18"/>
  <c r="CP48" i="18"/>
  <c r="CE51" i="18"/>
  <c r="CP54" i="18"/>
  <c r="CE57" i="18"/>
  <c r="CE63" i="18"/>
  <c r="CP66" i="18"/>
  <c r="CE69" i="18"/>
  <c r="CP72" i="18"/>
  <c r="CE75" i="18"/>
  <c r="CP78" i="18"/>
  <c r="CE81" i="18"/>
  <c r="CP84" i="18"/>
  <c r="CE87" i="18"/>
  <c r="CP90" i="18"/>
  <c r="CE93" i="18"/>
  <c r="CP96" i="18"/>
  <c r="CE99" i="18"/>
  <c r="CP102" i="18"/>
  <c r="CE105" i="18"/>
  <c r="CP108" i="18"/>
  <c r="CE111" i="18"/>
  <c r="CP114" i="18"/>
  <c r="CD22" i="18"/>
  <c r="CD40" i="18"/>
  <c r="CD46" i="18"/>
  <c r="CD52" i="18"/>
  <c r="CQ54" i="18"/>
  <c r="CD58" i="18"/>
  <c r="CQ60" i="18"/>
  <c r="CD64" i="18"/>
  <c r="CQ66" i="18"/>
  <c r="CD70" i="18"/>
  <c r="CQ72" i="18"/>
  <c r="CD76" i="18"/>
  <c r="CQ78" i="18"/>
  <c r="CD82" i="18"/>
  <c r="CQ84" i="18"/>
  <c r="CD88" i="18"/>
  <c r="CQ90" i="18"/>
  <c r="CD94" i="18"/>
  <c r="CQ96" i="18"/>
  <c r="CD100" i="18"/>
  <c r="CQ102" i="18"/>
  <c r="CD106" i="18"/>
  <c r="CQ108" i="18"/>
  <c r="CD112" i="18"/>
  <c r="CQ114" i="18"/>
  <c r="CP31" i="18"/>
  <c r="CE52" i="18"/>
  <c r="CP55" i="18"/>
  <c r="CE58" i="18"/>
  <c r="CP61" i="18"/>
  <c r="CE64" i="18"/>
  <c r="CE70" i="18"/>
  <c r="CE100" i="18"/>
  <c r="CP103" i="18"/>
  <c r="CE106" i="18"/>
  <c r="CP109" i="18"/>
  <c r="CE112" i="18"/>
  <c r="CP115" i="18"/>
  <c r="CD17" i="18"/>
  <c r="CD23" i="18"/>
  <c r="CD29" i="18"/>
  <c r="CD35" i="18"/>
  <c r="CD41" i="18"/>
  <c r="CD47" i="18"/>
  <c r="CD77" i="18"/>
  <c r="CD83" i="18"/>
  <c r="CD89" i="18"/>
  <c r="CD95" i="18"/>
  <c r="CD101" i="18"/>
  <c r="CD107" i="18"/>
  <c r="CQ109" i="18"/>
  <c r="CD113" i="18"/>
  <c r="CQ115" i="18"/>
  <c r="CE17" i="18"/>
  <c r="CE23" i="18"/>
  <c r="BR88" i="18"/>
  <c r="BE3" i="18" a="1"/>
  <c r="BE3" i="18" s="1"/>
  <c r="BR5" i="18"/>
  <c r="BR6" i="18"/>
  <c r="BG9" i="18"/>
  <c r="BR12" i="18"/>
  <c r="BS13" i="18"/>
  <c r="BS25" i="18"/>
  <c r="BR46" i="18"/>
  <c r="BR70" i="18"/>
  <c r="BS88" i="18"/>
  <c r="BS95" i="18"/>
  <c r="BR95" i="18"/>
  <c r="BR100" i="18"/>
  <c r="BS107" i="18"/>
  <c r="BR107" i="18"/>
  <c r="BS41" i="18"/>
  <c r="BR41" i="18"/>
  <c r="BT2" i="18"/>
  <c r="BF9" i="18"/>
  <c r="BS29" i="18"/>
  <c r="BR29" i="18"/>
  <c r="BS6" i="18"/>
  <c r="BS35" i="18"/>
  <c r="BR35" i="18"/>
  <c r="BR7" i="18"/>
  <c r="BF19" i="18"/>
  <c r="BS59" i="18"/>
  <c r="BR59" i="18"/>
  <c r="BF61" i="18"/>
  <c r="BS77" i="18"/>
  <c r="BR77" i="18"/>
  <c r="BS83" i="18"/>
  <c r="BR83" i="18"/>
  <c r="BG23" i="18"/>
  <c r="BF23" i="18"/>
  <c r="BR112" i="18"/>
  <c r="BS7" i="18"/>
  <c r="BF11" i="18"/>
  <c r="BG19" i="18"/>
  <c r="BR40" i="18"/>
  <c r="BQ3" i="18" a="1"/>
  <c r="BQ3" i="18" s="1"/>
  <c r="BG14" i="18"/>
  <c r="BR16" i="18"/>
  <c r="BG26" i="18"/>
  <c r="BS40" i="18"/>
  <c r="BS53" i="18"/>
  <c r="BR53" i="18"/>
  <c r="BF55" i="18"/>
  <c r="BR64" i="18"/>
  <c r="BR82" i="18"/>
  <c r="BS23" i="18"/>
  <c r="BR23" i="18"/>
  <c r="BS31" i="18"/>
  <c r="BR31" i="18"/>
  <c r="BS89" i="18"/>
  <c r="BR89" i="18"/>
  <c r="BR9" i="18"/>
  <c r="BF13" i="18"/>
  <c r="BS19" i="18"/>
  <c r="BR34" i="18"/>
  <c r="BS71" i="18"/>
  <c r="BR71" i="18"/>
  <c r="BR94" i="18"/>
  <c r="BS101" i="18"/>
  <c r="BR101" i="18"/>
  <c r="BR106" i="18"/>
  <c r="BG20" i="18"/>
  <c r="BS65" i="18"/>
  <c r="BR65" i="18"/>
  <c r="BF7" i="18"/>
  <c r="BS9" i="18"/>
  <c r="BG13" i="18"/>
  <c r="BG17" i="18"/>
  <c r="BF17" i="18"/>
  <c r="BR19" i="18"/>
  <c r="BG29" i="18"/>
  <c r="BF29" i="18"/>
  <c r="BS34" i="18"/>
  <c r="BS47" i="18"/>
  <c r="BR47" i="18"/>
  <c r="BF49" i="18"/>
  <c r="BR58" i="18"/>
  <c r="BS94" i="18"/>
  <c r="BS106" i="18"/>
  <c r="BS113" i="18"/>
  <c r="BR113" i="18"/>
  <c r="BG7" i="18"/>
  <c r="BG32" i="18"/>
  <c r="BS58" i="18"/>
  <c r="BR76" i="18"/>
  <c r="BS17" i="18"/>
  <c r="BR17" i="18"/>
  <c r="BF32" i="18"/>
  <c r="BR52" i="18"/>
  <c r="BS76" i="18"/>
  <c r="BG38" i="18"/>
  <c r="BG44" i="18"/>
  <c r="BG50" i="18"/>
  <c r="BG56" i="18"/>
  <c r="BG62" i="18"/>
  <c r="BG68" i="18"/>
  <c r="BG74" i="18"/>
  <c r="BG80" i="18"/>
  <c r="BG86" i="18"/>
  <c r="BG92" i="18"/>
  <c r="BG98" i="18"/>
  <c r="BG104" i="18"/>
  <c r="BG110" i="18"/>
  <c r="BF15" i="18"/>
  <c r="BF21" i="18"/>
  <c r="BF27" i="18"/>
  <c r="BF33" i="18"/>
  <c r="BF39" i="18"/>
  <c r="BF45" i="18"/>
  <c r="BF51" i="18"/>
  <c r="BF57" i="18"/>
  <c r="BF63" i="18"/>
  <c r="BF69" i="18"/>
  <c r="BF75" i="18"/>
  <c r="BF81" i="18"/>
  <c r="BF87" i="18"/>
  <c r="BF93" i="18"/>
  <c r="BF99" i="18"/>
  <c r="BF105" i="18"/>
  <c r="BF111" i="18"/>
  <c r="BR96" i="18"/>
  <c r="BR102" i="18"/>
  <c r="BR108" i="18"/>
  <c r="BG111" i="18"/>
  <c r="BR114" i="18"/>
  <c r="BR37" i="18"/>
  <c r="BR43" i="18"/>
  <c r="BR49" i="18"/>
  <c r="BR55" i="18"/>
  <c r="BR61" i="18"/>
  <c r="BR67" i="18"/>
  <c r="BR73" i="18"/>
  <c r="BR79" i="18"/>
  <c r="BR85" i="18"/>
  <c r="BR91" i="18"/>
  <c r="BR97" i="18"/>
  <c r="BR103" i="18"/>
  <c r="BR109" i="18"/>
  <c r="BR115" i="18"/>
  <c r="BF35" i="18"/>
  <c r="BS37" i="18"/>
  <c r="BF41" i="18"/>
  <c r="BS43" i="18"/>
  <c r="BF47" i="18"/>
  <c r="BS49" i="18"/>
  <c r="BF53" i="18"/>
  <c r="BS55" i="18"/>
  <c r="BF59" i="18"/>
  <c r="BS61" i="18"/>
  <c r="BF65" i="18"/>
  <c r="BS67" i="18"/>
  <c r="BF71" i="18"/>
  <c r="BS73" i="18"/>
  <c r="BF77" i="18"/>
  <c r="BS79" i="18"/>
  <c r="BF83" i="18"/>
  <c r="BS85" i="18"/>
  <c r="BF89" i="18"/>
  <c r="BS91" i="18"/>
  <c r="BF95" i="18"/>
  <c r="BS97" i="18"/>
  <c r="BF101" i="18"/>
  <c r="BS103" i="18"/>
  <c r="BF107" i="18"/>
  <c r="BS109" i="18"/>
  <c r="BF113" i="18"/>
  <c r="BS115" i="18"/>
  <c r="BR14" i="18"/>
  <c r="BR20" i="18"/>
  <c r="BR26" i="18"/>
  <c r="BR32" i="18"/>
  <c r="BG35" i="18"/>
  <c r="BR38" i="18"/>
  <c r="BG41" i="18"/>
  <c r="BR44" i="18"/>
  <c r="BG47" i="18"/>
  <c r="BR50" i="18"/>
  <c r="BG53" i="18"/>
  <c r="BR56" i="18"/>
  <c r="BG59" i="18"/>
  <c r="BR62" i="18"/>
  <c r="BG65" i="18"/>
  <c r="BR68" i="18"/>
  <c r="BG71" i="18"/>
  <c r="BR74" i="18"/>
  <c r="BG77" i="18"/>
  <c r="BR80" i="18"/>
  <c r="BG83" i="18"/>
  <c r="BR86" i="18"/>
  <c r="BG89" i="18"/>
  <c r="BR92" i="18"/>
  <c r="BG95" i="18"/>
  <c r="BR98" i="18"/>
  <c r="BG101" i="18"/>
  <c r="BR104" i="18"/>
  <c r="BG107" i="18"/>
  <c r="BG113" i="18"/>
  <c r="AI47" i="18"/>
  <c r="AH47" i="18"/>
  <c r="AI77" i="18"/>
  <c r="AH77" i="18"/>
  <c r="AH82" i="18"/>
  <c r="AI8" i="18"/>
  <c r="AT11" i="18"/>
  <c r="AU16" i="18"/>
  <c r="AT16" i="18"/>
  <c r="AI23" i="18"/>
  <c r="AI41" i="18"/>
  <c r="AH41" i="18"/>
  <c r="AI61" i="18"/>
  <c r="AH61" i="18"/>
  <c r="AU67" i="18"/>
  <c r="AI82" i="18"/>
  <c r="AI97" i="18"/>
  <c r="AH97" i="18"/>
  <c r="AU103" i="18"/>
  <c r="AI113" i="18"/>
  <c r="AH113" i="18"/>
  <c r="AI67" i="18"/>
  <c r="AH67" i="18"/>
  <c r="AU73" i="18"/>
  <c r="AU109" i="18"/>
  <c r="AI25" i="18"/>
  <c r="AU11" i="18"/>
  <c r="AG3" i="18" a="1"/>
  <c r="AG3" i="18" s="1"/>
  <c r="AT5" i="18"/>
  <c r="AT6" i="18"/>
  <c r="AI9" i="18"/>
  <c r="AT13" i="18"/>
  <c r="AI55" i="18"/>
  <c r="AH55" i="18"/>
  <c r="AU61" i="18"/>
  <c r="AI91" i="18"/>
  <c r="AH91" i="18"/>
  <c r="AU97" i="18"/>
  <c r="AU43" i="18"/>
  <c r="AH8" i="18"/>
  <c r="AI31" i="18"/>
  <c r="AH31" i="18"/>
  <c r="AU6" i="18"/>
  <c r="AH10" i="18"/>
  <c r="AU13" i="18"/>
  <c r="AI19" i="18"/>
  <c r="AH22" i="18"/>
  <c r="AI35" i="18"/>
  <c r="AH35" i="18"/>
  <c r="AT42" i="18"/>
  <c r="AT61" i="18"/>
  <c r="AI65" i="18"/>
  <c r="AH65" i="18"/>
  <c r="AH70" i="18"/>
  <c r="AT97" i="18"/>
  <c r="AI101" i="18"/>
  <c r="AH101" i="18"/>
  <c r="AH106" i="18"/>
  <c r="AH112" i="18"/>
  <c r="AI107" i="18"/>
  <c r="AH107" i="18"/>
  <c r="AJ3" i="18" a="1"/>
  <c r="AJ3" i="18" s="1"/>
  <c r="AI10" i="18"/>
  <c r="AI22" i="18"/>
  <c r="AU26" i="18"/>
  <c r="AT26" i="18"/>
  <c r="AU31" i="18"/>
  <c r="AU42" i="18"/>
  <c r="AU55" i="18"/>
  <c r="AI70" i="18"/>
  <c r="AI85" i="18"/>
  <c r="AH85" i="18"/>
  <c r="AU91" i="18"/>
  <c r="AI106" i="18"/>
  <c r="AI112" i="18"/>
  <c r="AU7" i="18"/>
  <c r="AH11" i="18"/>
  <c r="AI17" i="18"/>
  <c r="AT25" i="18"/>
  <c r="AT31" i="18"/>
  <c r="AI40" i="18"/>
  <c r="AI49" i="18"/>
  <c r="AH49" i="18"/>
  <c r="AT55" i="18"/>
  <c r="AI59" i="18"/>
  <c r="AH59" i="18"/>
  <c r="AH64" i="18"/>
  <c r="AT91" i="18"/>
  <c r="AI95" i="18"/>
  <c r="AH95" i="18"/>
  <c r="AH100" i="18"/>
  <c r="AV2" i="18"/>
  <c r="AS3" i="18" a="1"/>
  <c r="AS3" i="18" s="1"/>
  <c r="AT8" i="18"/>
  <c r="AI11" i="18"/>
  <c r="AH15" i="18"/>
  <c r="AH17" i="18"/>
  <c r="AT24" i="18"/>
  <c r="AU25" i="18"/>
  <c r="AI29" i="18"/>
  <c r="AH29" i="18"/>
  <c r="AT36" i="18"/>
  <c r="AI64" i="18"/>
  <c r="AI79" i="18"/>
  <c r="AH79" i="18"/>
  <c r="AU85" i="18"/>
  <c r="AI100" i="18"/>
  <c r="AI115" i="18"/>
  <c r="AH115" i="18"/>
  <c r="AI103" i="18"/>
  <c r="AH103" i="18"/>
  <c r="AU37" i="18"/>
  <c r="AH6" i="18"/>
  <c r="AU22" i="18"/>
  <c r="AT22" i="18"/>
  <c r="AU24" i="18"/>
  <c r="AH34" i="18"/>
  <c r="AU36" i="18"/>
  <c r="AI43" i="18"/>
  <c r="AH43" i="18"/>
  <c r="AU49" i="18"/>
  <c r="AI53" i="18"/>
  <c r="AH53" i="18"/>
  <c r="AT85" i="18"/>
  <c r="AI89" i="18"/>
  <c r="AH89" i="18"/>
  <c r="AH94" i="18"/>
  <c r="AU14" i="18"/>
  <c r="AT14" i="18"/>
  <c r="AI71" i="18"/>
  <c r="AH71" i="18"/>
  <c r="AU20" i="18"/>
  <c r="AT20" i="18"/>
  <c r="AI34" i="18"/>
  <c r="AT49" i="18"/>
  <c r="AI58" i="18"/>
  <c r="AI73" i="18"/>
  <c r="AH73" i="18"/>
  <c r="AU79" i="18"/>
  <c r="AI94" i="18"/>
  <c r="AI109" i="18"/>
  <c r="AH109" i="18"/>
  <c r="AU115" i="18"/>
  <c r="AJ2" i="18"/>
  <c r="AI37" i="18"/>
  <c r="AH37" i="18"/>
  <c r="AT19" i="18"/>
  <c r="AT79" i="18"/>
  <c r="AI83" i="18"/>
  <c r="AH83" i="18"/>
  <c r="AH88" i="18"/>
  <c r="AT115" i="18"/>
  <c r="AT28" i="18"/>
  <c r="AT34" i="18"/>
  <c r="AT40" i="18"/>
  <c r="AT32" i="18"/>
  <c r="AT38" i="18"/>
  <c r="AT44" i="18"/>
  <c r="AT50" i="18"/>
  <c r="AT56" i="18"/>
  <c r="AT62" i="18"/>
  <c r="AT68" i="18"/>
  <c r="AT74" i="18"/>
  <c r="AT80" i="18"/>
  <c r="AT86" i="18"/>
  <c r="AT92" i="18"/>
  <c r="AT98" i="18"/>
  <c r="AT104" i="18"/>
  <c r="BR6" i="33"/>
  <c r="BS6" i="33"/>
  <c r="BS8" i="33"/>
  <c r="BR5" i="33"/>
  <c r="J6" i="33"/>
  <c r="K8" i="33"/>
  <c r="K7" i="33"/>
  <c r="BR7" i="33"/>
  <c r="BS7" i="33"/>
  <c r="BR8" i="33"/>
  <c r="BG6" i="33"/>
  <c r="BR9" i="33"/>
  <c r="BS9" i="33"/>
  <c r="AS3" i="33" a="1"/>
  <c r="AS3" i="33" s="1"/>
  <c r="AT8" i="33"/>
  <c r="AU8" i="33"/>
  <c r="AV3" i="33" a="1"/>
  <c r="AV3" i="33" s="1"/>
  <c r="AI6" i="33"/>
  <c r="AT9" i="33"/>
  <c r="AU9" i="33"/>
  <c r="AI7" i="33"/>
  <c r="AT5" i="33"/>
  <c r="AT6" i="33"/>
  <c r="AI9" i="33"/>
  <c r="AU6" i="33"/>
  <c r="V7" i="33"/>
  <c r="W7" i="33"/>
  <c r="K6" i="33"/>
  <c r="V9" i="33"/>
  <c r="J7" i="33"/>
  <c r="W9" i="33"/>
  <c r="J8" i="33"/>
  <c r="J9" i="33"/>
  <c r="F2" i="19" a="1"/>
  <c r="F2" i="19" s="1"/>
  <c r="F2" i="18" a="1"/>
  <c r="F2" i="18" s="1"/>
  <c r="R2" i="18" a="1"/>
  <c r="R2" i="18" s="1"/>
  <c r="F2" i="1" a="1"/>
  <c r="F2" i="1" s="1"/>
  <c r="R2" i="1" a="1"/>
  <c r="R2" i="1" s="1"/>
  <c r="F2" i="31" a="1"/>
  <c r="F2" i="31" s="1"/>
  <c r="R2" i="31" a="1"/>
  <c r="R2" i="31" s="1"/>
  <c r="F2" i="15" a="1"/>
  <c r="F2" i="15" s="1"/>
  <c r="R2" i="15" a="1"/>
  <c r="R2" i="15" s="1"/>
  <c r="F2" i="4" a="1"/>
  <c r="F2" i="4" s="1"/>
  <c r="R2" i="4" a="1"/>
  <c r="R2" i="4" s="1"/>
  <c r="R2" i="32" a="1"/>
  <c r="R2" i="32" s="1"/>
  <c r="F2" i="32"/>
  <c r="F2" i="32" a="1"/>
  <c r="R2" i="30" a="1"/>
  <c r="R2" i="30" s="1"/>
  <c r="F2" i="30" a="1"/>
  <c r="F2" i="30" s="1"/>
  <c r="R2" i="8" a="1"/>
  <c r="R2" i="8" s="1"/>
  <c r="F2" i="8" a="1"/>
  <c r="F2" i="8" s="1"/>
  <c r="I34" i="31"/>
  <c r="I33" i="31"/>
  <c r="I32" i="31"/>
  <c r="I31" i="31"/>
  <c r="I30" i="31"/>
  <c r="I29" i="31"/>
  <c r="I28" i="31"/>
  <c r="I27" i="31"/>
  <c r="I26" i="31"/>
  <c r="I25" i="31"/>
  <c r="I24" i="31"/>
  <c r="I23" i="31"/>
  <c r="I22" i="31"/>
  <c r="I21" i="31"/>
  <c r="I20" i="31"/>
  <c r="I19" i="31"/>
  <c r="I18" i="31"/>
  <c r="I17" i="31"/>
  <c r="I16" i="31"/>
  <c r="I15" i="31"/>
  <c r="I14" i="31"/>
  <c r="I13" i="31"/>
  <c r="I12" i="31"/>
  <c r="I11" i="31"/>
  <c r="I10" i="31"/>
  <c r="I9" i="31"/>
  <c r="I8" i="31"/>
  <c r="I7" i="31"/>
  <c r="I6" i="31"/>
  <c r="I5" i="31"/>
  <c r="U34" i="31"/>
  <c r="U33" i="31"/>
  <c r="V33" i="31" s="1"/>
  <c r="U32" i="31"/>
  <c r="W32" i="31" s="1"/>
  <c r="U31" i="31"/>
  <c r="U30" i="31"/>
  <c r="U29" i="31"/>
  <c r="U28" i="31"/>
  <c r="U27" i="31"/>
  <c r="U26" i="31"/>
  <c r="U25" i="31"/>
  <c r="U24" i="31"/>
  <c r="U23" i="31"/>
  <c r="U22" i="31"/>
  <c r="U21" i="31"/>
  <c r="U20" i="31"/>
  <c r="W20" i="31" s="1"/>
  <c r="U19" i="31"/>
  <c r="U18" i="31"/>
  <c r="U17" i="31"/>
  <c r="U16" i="31"/>
  <c r="U15" i="31"/>
  <c r="U14" i="31"/>
  <c r="U13" i="31"/>
  <c r="U12" i="31"/>
  <c r="U11" i="31"/>
  <c r="U10" i="31"/>
  <c r="U9" i="31"/>
  <c r="U8" i="31"/>
  <c r="U7" i="31"/>
  <c r="U6" i="31"/>
  <c r="U5" i="31"/>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J20" i="19" s="1"/>
  <c r="I19" i="19"/>
  <c r="I18" i="19"/>
  <c r="I17" i="19"/>
  <c r="I16" i="19"/>
  <c r="I15" i="19"/>
  <c r="I14" i="19"/>
  <c r="I13" i="19"/>
  <c r="I12" i="19"/>
  <c r="I11" i="19"/>
  <c r="I10" i="19"/>
  <c r="I9" i="19"/>
  <c r="I8" i="19"/>
  <c r="I7" i="19"/>
  <c r="I6" i="19"/>
  <c r="I5" i="19"/>
  <c r="I115" i="18"/>
  <c r="L115" i="18" s="1" a="1"/>
  <c r="L115" i="18" s="1"/>
  <c r="I114" i="18"/>
  <c r="L114" i="18" s="1" a="1"/>
  <c r="L114" i="18" s="1"/>
  <c r="I113" i="18"/>
  <c r="L113" i="18" s="1" a="1"/>
  <c r="L113" i="18" s="1"/>
  <c r="I112" i="18"/>
  <c r="L112" i="18" s="1" a="1"/>
  <c r="L112" i="18" s="1"/>
  <c r="I111" i="18"/>
  <c r="L111" i="18" s="1" a="1"/>
  <c r="L111" i="18" s="1"/>
  <c r="I110" i="18"/>
  <c r="L110" i="18" s="1" a="1"/>
  <c r="L110" i="18" s="1"/>
  <c r="I109" i="18"/>
  <c r="L109" i="18" s="1" a="1"/>
  <c r="L109" i="18" s="1"/>
  <c r="I108" i="18"/>
  <c r="L108" i="18" s="1" a="1"/>
  <c r="L108" i="18" s="1"/>
  <c r="I107" i="18"/>
  <c r="L107" i="18" s="1" a="1"/>
  <c r="L107" i="18" s="1"/>
  <c r="I106" i="18"/>
  <c r="L106" i="18" s="1" a="1"/>
  <c r="L106" i="18" s="1"/>
  <c r="I105" i="18"/>
  <c r="L105" i="18" s="1" a="1"/>
  <c r="L105" i="18" s="1"/>
  <c r="I104" i="18"/>
  <c r="I103" i="18"/>
  <c r="L103" i="18" s="1" a="1"/>
  <c r="L103" i="18" s="1"/>
  <c r="I102" i="18"/>
  <c r="L102" i="18" s="1" a="1"/>
  <c r="L102" i="18" s="1"/>
  <c r="I101" i="18"/>
  <c r="L101" i="18" s="1" a="1"/>
  <c r="L101" i="18" s="1"/>
  <c r="I100" i="18"/>
  <c r="L100" i="18" s="1" a="1"/>
  <c r="L100" i="18" s="1"/>
  <c r="I99" i="18"/>
  <c r="L99" i="18" s="1" a="1"/>
  <c r="L99" i="18" s="1"/>
  <c r="I98" i="18"/>
  <c r="L98" i="18" s="1" a="1"/>
  <c r="L98" i="18" s="1"/>
  <c r="I97" i="18"/>
  <c r="L97" i="18" s="1" a="1"/>
  <c r="L97" i="18" s="1"/>
  <c r="I96" i="18"/>
  <c r="L96" i="18" s="1" a="1"/>
  <c r="L96" i="18" s="1"/>
  <c r="I95" i="18"/>
  <c r="L95" i="18" s="1" a="1"/>
  <c r="L95" i="18" s="1"/>
  <c r="I94" i="18"/>
  <c r="L94" i="18" s="1" a="1"/>
  <c r="L94" i="18" s="1"/>
  <c r="I93" i="18"/>
  <c r="L93" i="18" s="1" a="1"/>
  <c r="L93" i="18" s="1"/>
  <c r="I92" i="18"/>
  <c r="I91" i="18"/>
  <c r="L91" i="18" s="1" a="1"/>
  <c r="L91" i="18" s="1"/>
  <c r="I90" i="18"/>
  <c r="L90" i="18" s="1" a="1"/>
  <c r="L90" i="18" s="1"/>
  <c r="I89" i="18"/>
  <c r="L89" i="18" s="1" a="1"/>
  <c r="L89" i="18" s="1"/>
  <c r="I88" i="18"/>
  <c r="L88" i="18" s="1" a="1"/>
  <c r="L88" i="18" s="1"/>
  <c r="I87" i="18"/>
  <c r="L87" i="18" s="1" a="1"/>
  <c r="L87" i="18" s="1"/>
  <c r="I86" i="18"/>
  <c r="L86" i="18" s="1" a="1"/>
  <c r="L86" i="18" s="1"/>
  <c r="I85" i="18"/>
  <c r="L85" i="18" s="1" a="1"/>
  <c r="L85" i="18" s="1"/>
  <c r="I84" i="18"/>
  <c r="L84" i="18" s="1" a="1"/>
  <c r="L84" i="18" s="1"/>
  <c r="I83" i="18"/>
  <c r="L83" i="18" s="1" a="1"/>
  <c r="L83" i="18" s="1"/>
  <c r="I82" i="18"/>
  <c r="L82" i="18" s="1" a="1"/>
  <c r="L82" i="18" s="1"/>
  <c r="I81" i="18"/>
  <c r="L81" i="18" s="1" a="1"/>
  <c r="L81" i="18" s="1"/>
  <c r="I80" i="18"/>
  <c r="I79" i="18"/>
  <c r="L79" i="18" s="1" a="1"/>
  <c r="L79" i="18" s="1"/>
  <c r="I78" i="18"/>
  <c r="L78" i="18" s="1" a="1"/>
  <c r="L78" i="18" s="1"/>
  <c r="I77" i="18"/>
  <c r="L77" i="18" s="1" a="1"/>
  <c r="L77" i="18" s="1"/>
  <c r="I76" i="18"/>
  <c r="L76" i="18" s="1" a="1"/>
  <c r="L76" i="18" s="1"/>
  <c r="I75" i="18"/>
  <c r="L75" i="18" s="1" a="1"/>
  <c r="L75" i="18" s="1"/>
  <c r="I74" i="18"/>
  <c r="L74" i="18" s="1" a="1"/>
  <c r="L74" i="18" s="1"/>
  <c r="I73" i="18"/>
  <c r="L73" i="18" s="1" a="1"/>
  <c r="L73" i="18" s="1"/>
  <c r="I72" i="18"/>
  <c r="L72" i="18" s="1" a="1"/>
  <c r="L72" i="18" s="1"/>
  <c r="I71" i="18"/>
  <c r="L71" i="18" s="1" a="1"/>
  <c r="L71" i="18" s="1"/>
  <c r="I70" i="18"/>
  <c r="L70" i="18" s="1" a="1"/>
  <c r="L70" i="18" s="1"/>
  <c r="I69" i="18"/>
  <c r="L69" i="18" s="1" a="1"/>
  <c r="L69" i="18" s="1"/>
  <c r="I68" i="18"/>
  <c r="I67" i="18"/>
  <c r="L67" i="18" s="1" a="1"/>
  <c r="L67" i="18" s="1"/>
  <c r="I66" i="18"/>
  <c r="L66" i="18" s="1" a="1"/>
  <c r="L66" i="18" s="1"/>
  <c r="I65" i="18"/>
  <c r="L65" i="18" s="1" a="1"/>
  <c r="L65" i="18" s="1"/>
  <c r="I64" i="18"/>
  <c r="L64" i="18" s="1" a="1"/>
  <c r="L64" i="18" s="1"/>
  <c r="I63" i="18"/>
  <c r="L63" i="18" s="1" a="1"/>
  <c r="L63" i="18" s="1"/>
  <c r="I62" i="18"/>
  <c r="L62" i="18" s="1" a="1"/>
  <c r="L62" i="18" s="1"/>
  <c r="I61" i="18"/>
  <c r="L61" i="18" s="1" a="1"/>
  <c r="L61" i="18" s="1"/>
  <c r="I60" i="18"/>
  <c r="L60" i="18" s="1" a="1"/>
  <c r="L60" i="18" s="1"/>
  <c r="I59" i="18"/>
  <c r="L59" i="18" s="1" a="1"/>
  <c r="L59" i="18" s="1"/>
  <c r="I58" i="18"/>
  <c r="L58" i="18" s="1" a="1"/>
  <c r="L58" i="18" s="1"/>
  <c r="I57" i="18"/>
  <c r="L57" i="18" s="1" a="1"/>
  <c r="L57" i="18" s="1"/>
  <c r="I56" i="18"/>
  <c r="I55" i="18"/>
  <c r="L55" i="18" s="1" a="1"/>
  <c r="L55" i="18" s="1"/>
  <c r="I54" i="18"/>
  <c r="L54" i="18" s="1" a="1"/>
  <c r="L54" i="18" s="1"/>
  <c r="I53" i="18"/>
  <c r="L53" i="18" s="1" a="1"/>
  <c r="L53" i="18" s="1"/>
  <c r="I52" i="18"/>
  <c r="L52" i="18" s="1" a="1"/>
  <c r="L52" i="18" s="1"/>
  <c r="I51" i="18"/>
  <c r="L51" i="18" s="1" a="1"/>
  <c r="L51" i="18" s="1"/>
  <c r="I50" i="18"/>
  <c r="L50" i="18" s="1" a="1"/>
  <c r="L50" i="18" s="1"/>
  <c r="I49" i="18"/>
  <c r="L49" i="18" s="1" a="1"/>
  <c r="L49" i="18" s="1"/>
  <c r="I48" i="18"/>
  <c r="L48" i="18" s="1" a="1"/>
  <c r="L48" i="18" s="1"/>
  <c r="I47" i="18"/>
  <c r="L47" i="18" s="1" a="1"/>
  <c r="L47" i="18" s="1"/>
  <c r="I46" i="18"/>
  <c r="L46" i="18" s="1" a="1"/>
  <c r="L46" i="18" s="1"/>
  <c r="I45" i="18"/>
  <c r="I44" i="18"/>
  <c r="I43" i="18"/>
  <c r="L43" i="18" s="1" a="1"/>
  <c r="L43" i="18" s="1"/>
  <c r="I42" i="18"/>
  <c r="L42" i="18" s="1" a="1"/>
  <c r="L42" i="18" s="1"/>
  <c r="I41" i="18"/>
  <c r="L41" i="18" s="1" a="1"/>
  <c r="L41" i="18" s="1"/>
  <c r="I40" i="18"/>
  <c r="L40" i="18" s="1" a="1"/>
  <c r="L40" i="18" s="1"/>
  <c r="I39" i="18"/>
  <c r="L39" i="18" s="1" a="1"/>
  <c r="L39" i="18" s="1"/>
  <c r="I38" i="18"/>
  <c r="L38" i="18" s="1" a="1"/>
  <c r="L38" i="18" s="1"/>
  <c r="I37" i="18"/>
  <c r="L37" i="18" s="1" a="1"/>
  <c r="L37" i="18" s="1"/>
  <c r="I36" i="18"/>
  <c r="L36" i="18" s="1" a="1"/>
  <c r="L36" i="18" s="1"/>
  <c r="I35" i="18"/>
  <c r="L35" i="18" s="1" a="1"/>
  <c r="L35" i="18" s="1"/>
  <c r="I34" i="18"/>
  <c r="L34" i="18" s="1" a="1"/>
  <c r="L34" i="18" s="1"/>
  <c r="I33" i="18"/>
  <c r="L33" i="18" s="1" a="1"/>
  <c r="L33" i="18" s="1"/>
  <c r="I32" i="18"/>
  <c r="I31" i="18"/>
  <c r="L31" i="18" s="1" a="1"/>
  <c r="L31" i="18" s="1"/>
  <c r="I30" i="18"/>
  <c r="L30" i="18" s="1" a="1"/>
  <c r="L30" i="18" s="1"/>
  <c r="I29" i="18"/>
  <c r="L29" i="18" s="1" a="1"/>
  <c r="L29" i="18" s="1"/>
  <c r="I28" i="18"/>
  <c r="L28" i="18" s="1" a="1"/>
  <c r="L28" i="18" s="1"/>
  <c r="I27" i="18"/>
  <c r="L27" i="18" s="1" a="1"/>
  <c r="L27" i="18" s="1"/>
  <c r="I26" i="18"/>
  <c r="L26" i="18" s="1" a="1"/>
  <c r="L26" i="18" s="1"/>
  <c r="I25" i="18"/>
  <c r="L25" i="18" s="1" a="1"/>
  <c r="L25" i="18" s="1"/>
  <c r="I24" i="18"/>
  <c r="L24" i="18" s="1" a="1"/>
  <c r="L24" i="18" s="1"/>
  <c r="I23" i="18"/>
  <c r="L23" i="18" s="1" a="1"/>
  <c r="L23" i="18" s="1"/>
  <c r="I22" i="18"/>
  <c r="L22" i="18" s="1" a="1"/>
  <c r="L22" i="18" s="1"/>
  <c r="I21" i="18"/>
  <c r="L21" i="18" s="1" a="1"/>
  <c r="L21" i="18" s="1"/>
  <c r="I20" i="18"/>
  <c r="L20" i="18" s="1" a="1"/>
  <c r="L20" i="18" s="1"/>
  <c r="I19" i="18"/>
  <c r="L19" i="18" s="1" a="1"/>
  <c r="L19" i="18" s="1"/>
  <c r="I18" i="18"/>
  <c r="L18" i="18" s="1" a="1"/>
  <c r="L18" i="18" s="1"/>
  <c r="I17" i="18"/>
  <c r="L17" i="18" s="1" a="1"/>
  <c r="L17" i="18" s="1"/>
  <c r="I16" i="18"/>
  <c r="L16" i="18" s="1" a="1"/>
  <c r="L16" i="18" s="1"/>
  <c r="I15" i="18"/>
  <c r="L15" i="18" s="1" a="1"/>
  <c r="L15" i="18" s="1"/>
  <c r="I14" i="18"/>
  <c r="L14" i="18" s="1" a="1"/>
  <c r="L14" i="18" s="1"/>
  <c r="I13" i="18"/>
  <c r="L13" i="18" s="1" a="1"/>
  <c r="L13" i="18" s="1"/>
  <c r="I12" i="18"/>
  <c r="L12" i="18" s="1" a="1"/>
  <c r="L12" i="18" s="1"/>
  <c r="I11" i="18"/>
  <c r="L11" i="18" s="1" a="1"/>
  <c r="L11" i="18" s="1"/>
  <c r="I10" i="18"/>
  <c r="L10" i="18" s="1" a="1"/>
  <c r="L10" i="18" s="1"/>
  <c r="I9" i="18"/>
  <c r="L9" i="18" s="1" a="1"/>
  <c r="L9" i="18" s="1"/>
  <c r="I8" i="18"/>
  <c r="I7" i="18"/>
  <c r="L7" i="18" s="1" a="1"/>
  <c r="L7" i="18" s="1"/>
  <c r="I6" i="18"/>
  <c r="L6" i="18" s="1" a="1"/>
  <c r="L6" i="18" s="1"/>
  <c r="I5" i="18"/>
  <c r="L5" i="18" s="1"/>
  <c r="U115" i="18"/>
  <c r="X115" i="18" s="1" a="1"/>
  <c r="X115" i="18" s="1"/>
  <c r="U114" i="18"/>
  <c r="X114" i="18" s="1" a="1"/>
  <c r="X114" i="18" s="1"/>
  <c r="U113" i="18"/>
  <c r="X113" i="18" s="1" a="1"/>
  <c r="X113" i="18" s="1"/>
  <c r="U112" i="18"/>
  <c r="X112" i="18" s="1" a="1"/>
  <c r="X112" i="18" s="1"/>
  <c r="U111" i="18"/>
  <c r="X111" i="18" s="1" a="1"/>
  <c r="X111" i="18" s="1"/>
  <c r="U110" i="18"/>
  <c r="X110" i="18" s="1" a="1"/>
  <c r="X110" i="18" s="1"/>
  <c r="U109" i="18"/>
  <c r="X109" i="18" s="1" a="1"/>
  <c r="X109" i="18" s="1"/>
  <c r="U108" i="18"/>
  <c r="X108" i="18" s="1" a="1"/>
  <c r="X108" i="18" s="1"/>
  <c r="U107" i="18"/>
  <c r="X107" i="18" s="1" a="1"/>
  <c r="X107" i="18" s="1"/>
  <c r="U106" i="18"/>
  <c r="X106" i="18" s="1" a="1"/>
  <c r="X106" i="18" s="1"/>
  <c r="U105" i="18"/>
  <c r="X105" i="18" s="1" a="1"/>
  <c r="X105" i="18" s="1"/>
  <c r="U104" i="18"/>
  <c r="X104" i="18" s="1" a="1"/>
  <c r="X104" i="18" s="1"/>
  <c r="U103" i="18"/>
  <c r="X103" i="18" s="1" a="1"/>
  <c r="X103" i="18" s="1"/>
  <c r="U102" i="18"/>
  <c r="X102" i="18" s="1" a="1"/>
  <c r="X102" i="18" s="1"/>
  <c r="U101" i="18"/>
  <c r="X101" i="18" s="1" a="1"/>
  <c r="X101" i="18" s="1"/>
  <c r="U100" i="18"/>
  <c r="X100" i="18" s="1" a="1"/>
  <c r="X100" i="18" s="1"/>
  <c r="U99" i="18"/>
  <c r="X99" i="18" s="1" a="1"/>
  <c r="X99" i="18" s="1"/>
  <c r="U98" i="18"/>
  <c r="X98" i="18" s="1" a="1"/>
  <c r="X98" i="18" s="1"/>
  <c r="U97" i="18"/>
  <c r="X97" i="18" s="1" a="1"/>
  <c r="X97" i="18" s="1"/>
  <c r="U96" i="18"/>
  <c r="X96" i="18" s="1" a="1"/>
  <c r="X96" i="18" s="1"/>
  <c r="U95" i="18"/>
  <c r="X95" i="18" s="1" a="1"/>
  <c r="X95" i="18" s="1"/>
  <c r="U94" i="18"/>
  <c r="X94" i="18" s="1" a="1"/>
  <c r="X94" i="18" s="1"/>
  <c r="U93" i="18"/>
  <c r="X93" i="18" s="1" a="1"/>
  <c r="X93" i="18" s="1"/>
  <c r="U92" i="18"/>
  <c r="X92" i="18" s="1" a="1"/>
  <c r="X92" i="18" s="1"/>
  <c r="U91" i="18"/>
  <c r="X91" i="18" s="1" a="1"/>
  <c r="X91" i="18" s="1"/>
  <c r="U90" i="18"/>
  <c r="X90" i="18" s="1" a="1"/>
  <c r="X90" i="18" s="1"/>
  <c r="U89" i="18"/>
  <c r="X89" i="18" s="1" a="1"/>
  <c r="X89" i="18" s="1"/>
  <c r="U88" i="18"/>
  <c r="X88" i="18" s="1" a="1"/>
  <c r="X88" i="18" s="1"/>
  <c r="U87" i="18"/>
  <c r="X87" i="18" s="1" a="1"/>
  <c r="X87" i="18" s="1"/>
  <c r="U86" i="18"/>
  <c r="X86" i="18" s="1" a="1"/>
  <c r="X86" i="18" s="1"/>
  <c r="U85" i="18"/>
  <c r="X85" i="18" s="1" a="1"/>
  <c r="X85" i="18" s="1"/>
  <c r="U84" i="18"/>
  <c r="X84" i="18" s="1" a="1"/>
  <c r="X84" i="18" s="1"/>
  <c r="U83" i="18"/>
  <c r="X83" i="18" s="1" a="1"/>
  <c r="X83" i="18" s="1"/>
  <c r="U82" i="18"/>
  <c r="X82" i="18" s="1" a="1"/>
  <c r="X82" i="18" s="1"/>
  <c r="U81" i="18"/>
  <c r="X81" i="18" s="1" a="1"/>
  <c r="X81" i="18" s="1"/>
  <c r="U80" i="18"/>
  <c r="U79" i="18"/>
  <c r="X79" i="18" s="1" a="1"/>
  <c r="X79" i="18" s="1"/>
  <c r="U78" i="18"/>
  <c r="X78" i="18" s="1" a="1"/>
  <c r="X78" i="18" s="1"/>
  <c r="U77" i="18"/>
  <c r="X77" i="18" s="1" a="1"/>
  <c r="X77" i="18" s="1"/>
  <c r="U76" i="18"/>
  <c r="X76" i="18" s="1" a="1"/>
  <c r="X76" i="18" s="1"/>
  <c r="U75" i="18"/>
  <c r="X75" i="18" s="1" a="1"/>
  <c r="X75" i="18" s="1"/>
  <c r="U74" i="18"/>
  <c r="X74" i="18" s="1" a="1"/>
  <c r="X74" i="18" s="1"/>
  <c r="U73" i="18"/>
  <c r="X73" i="18" s="1" a="1"/>
  <c r="X73" i="18" s="1"/>
  <c r="U72" i="18"/>
  <c r="X72" i="18" s="1" a="1"/>
  <c r="X72" i="18" s="1"/>
  <c r="U71" i="18"/>
  <c r="X71" i="18" s="1" a="1"/>
  <c r="X71" i="18" s="1"/>
  <c r="U70" i="18"/>
  <c r="X70" i="18" s="1" a="1"/>
  <c r="X70" i="18" s="1"/>
  <c r="U69" i="18"/>
  <c r="X69" i="18" s="1" a="1"/>
  <c r="X69" i="18" s="1"/>
  <c r="U68" i="18"/>
  <c r="X68" i="18" s="1" a="1"/>
  <c r="X68" i="18" s="1"/>
  <c r="U67" i="18"/>
  <c r="X67" i="18" s="1" a="1"/>
  <c r="X67" i="18" s="1"/>
  <c r="U66" i="18"/>
  <c r="X66" i="18" s="1" a="1"/>
  <c r="X66" i="18" s="1"/>
  <c r="U65" i="18"/>
  <c r="X65" i="18" s="1" a="1"/>
  <c r="X65" i="18" s="1"/>
  <c r="U64" i="18"/>
  <c r="X64" i="18" s="1" a="1"/>
  <c r="X64" i="18" s="1"/>
  <c r="U63" i="18"/>
  <c r="X63" i="18" s="1" a="1"/>
  <c r="X63" i="18" s="1"/>
  <c r="U62" i="18"/>
  <c r="X62" i="18" s="1" a="1"/>
  <c r="X62" i="18" s="1"/>
  <c r="U61" i="18"/>
  <c r="X61" i="18" s="1" a="1"/>
  <c r="X61" i="18" s="1"/>
  <c r="U60" i="18"/>
  <c r="X60" i="18" s="1" a="1"/>
  <c r="X60" i="18" s="1"/>
  <c r="U59" i="18"/>
  <c r="X59" i="18" s="1" a="1"/>
  <c r="X59" i="18" s="1"/>
  <c r="U58" i="18"/>
  <c r="X58" i="18" s="1" a="1"/>
  <c r="X58" i="18" s="1"/>
  <c r="U57" i="18"/>
  <c r="X57" i="18" s="1" a="1"/>
  <c r="X57" i="18" s="1"/>
  <c r="U56" i="18"/>
  <c r="X56" i="18" s="1" a="1"/>
  <c r="X56" i="18" s="1"/>
  <c r="U55" i="18"/>
  <c r="X55" i="18" s="1" a="1"/>
  <c r="X55" i="18" s="1"/>
  <c r="U54" i="18"/>
  <c r="X54" i="18" s="1" a="1"/>
  <c r="X54" i="18" s="1"/>
  <c r="U53" i="18"/>
  <c r="X53" i="18" s="1" a="1"/>
  <c r="X53" i="18" s="1"/>
  <c r="U52" i="18"/>
  <c r="X52" i="18" s="1" a="1"/>
  <c r="X52" i="18" s="1"/>
  <c r="U51" i="18"/>
  <c r="X51" i="18" s="1" a="1"/>
  <c r="X51" i="18" s="1"/>
  <c r="U50" i="18"/>
  <c r="X50" i="18" s="1" a="1"/>
  <c r="X50" i="18" s="1"/>
  <c r="U49" i="18"/>
  <c r="X49" i="18" s="1" a="1"/>
  <c r="X49" i="18" s="1"/>
  <c r="U48" i="18"/>
  <c r="X48" i="18" s="1" a="1"/>
  <c r="X48" i="18" s="1"/>
  <c r="U47" i="18"/>
  <c r="X47" i="18" s="1" a="1"/>
  <c r="X47" i="18" s="1"/>
  <c r="U46" i="18"/>
  <c r="X46" i="18" s="1" a="1"/>
  <c r="X46" i="18" s="1"/>
  <c r="U45" i="18"/>
  <c r="X45" i="18" s="1" a="1"/>
  <c r="X45" i="18" s="1"/>
  <c r="U44" i="18"/>
  <c r="U43" i="18"/>
  <c r="X43" i="18" s="1" a="1"/>
  <c r="X43" i="18" s="1"/>
  <c r="U42" i="18"/>
  <c r="X42" i="18" s="1" a="1"/>
  <c r="X42" i="18" s="1"/>
  <c r="U41" i="18"/>
  <c r="X41" i="18" s="1" a="1"/>
  <c r="X41" i="18" s="1"/>
  <c r="U40" i="18"/>
  <c r="X40" i="18" s="1" a="1"/>
  <c r="X40" i="18" s="1"/>
  <c r="U39" i="18"/>
  <c r="X39" i="18" s="1" a="1"/>
  <c r="X39" i="18" s="1"/>
  <c r="U38" i="18"/>
  <c r="X38" i="18" s="1" a="1"/>
  <c r="X38" i="18" s="1"/>
  <c r="U37" i="18"/>
  <c r="X37" i="18" s="1" a="1"/>
  <c r="X37" i="18" s="1"/>
  <c r="U36" i="18"/>
  <c r="X36" i="18" s="1" a="1"/>
  <c r="X36" i="18" s="1"/>
  <c r="U35" i="18"/>
  <c r="X35" i="18" s="1" a="1"/>
  <c r="X35" i="18" s="1"/>
  <c r="U34" i="18"/>
  <c r="X34" i="18" s="1" a="1"/>
  <c r="X34" i="18" s="1"/>
  <c r="U33" i="18"/>
  <c r="X33" i="18" s="1" a="1"/>
  <c r="X33" i="18" s="1"/>
  <c r="U32" i="18"/>
  <c r="X32" i="18" s="1" a="1"/>
  <c r="X32" i="18" s="1"/>
  <c r="U31" i="18"/>
  <c r="X31" i="18" s="1" a="1"/>
  <c r="X31" i="18" s="1"/>
  <c r="U30" i="18"/>
  <c r="X30" i="18" s="1" a="1"/>
  <c r="X30" i="18" s="1"/>
  <c r="U29" i="18"/>
  <c r="X29" i="18" s="1" a="1"/>
  <c r="X29" i="18" s="1"/>
  <c r="U28" i="18"/>
  <c r="X28" i="18" s="1" a="1"/>
  <c r="X28" i="18" s="1"/>
  <c r="U27" i="18"/>
  <c r="X27" i="18" s="1" a="1"/>
  <c r="X27" i="18" s="1"/>
  <c r="U26" i="18"/>
  <c r="X26" i="18" s="1" a="1"/>
  <c r="X26" i="18" s="1"/>
  <c r="U25" i="18"/>
  <c r="X25" i="18" s="1" a="1"/>
  <c r="X25" i="18" s="1"/>
  <c r="U24" i="18"/>
  <c r="X24" i="18" s="1" a="1"/>
  <c r="X24" i="18" s="1"/>
  <c r="U23" i="18"/>
  <c r="X23" i="18" s="1" a="1"/>
  <c r="X23" i="18" s="1"/>
  <c r="U22" i="18"/>
  <c r="X22" i="18" s="1" a="1"/>
  <c r="X22" i="18" s="1"/>
  <c r="U21" i="18"/>
  <c r="X21" i="18" s="1" a="1"/>
  <c r="X21" i="18" s="1"/>
  <c r="U20" i="18"/>
  <c r="X20" i="18" s="1" a="1"/>
  <c r="X20" i="18" s="1"/>
  <c r="U19" i="18"/>
  <c r="X19" i="18" s="1" a="1"/>
  <c r="X19" i="18" s="1"/>
  <c r="U18" i="18"/>
  <c r="X18" i="18" s="1" a="1"/>
  <c r="X18" i="18" s="1"/>
  <c r="U17" i="18"/>
  <c r="X17" i="18" s="1" a="1"/>
  <c r="X17" i="18" s="1"/>
  <c r="U16" i="18"/>
  <c r="X16" i="18" s="1" a="1"/>
  <c r="X16" i="18" s="1"/>
  <c r="U15" i="18"/>
  <c r="X15" i="18" s="1" a="1"/>
  <c r="X15" i="18" s="1"/>
  <c r="U14" i="18"/>
  <c r="X14" i="18" s="1" a="1"/>
  <c r="X14" i="18" s="1"/>
  <c r="U13" i="18"/>
  <c r="X13" i="18" s="1" a="1"/>
  <c r="X13" i="18" s="1"/>
  <c r="U12" i="18"/>
  <c r="X12" i="18" s="1" a="1"/>
  <c r="X12" i="18" s="1"/>
  <c r="U11" i="18"/>
  <c r="X11" i="18" s="1" a="1"/>
  <c r="X11" i="18" s="1"/>
  <c r="U10" i="18"/>
  <c r="X10" i="18" s="1" a="1"/>
  <c r="X10" i="18" s="1"/>
  <c r="U9" i="18"/>
  <c r="X9" i="18" s="1" a="1"/>
  <c r="X9" i="18" s="1"/>
  <c r="U5" i="18"/>
  <c r="X5" i="18" s="1"/>
  <c r="I115" i="1"/>
  <c r="I114" i="1"/>
  <c r="I113" i="1"/>
  <c r="I112" i="1"/>
  <c r="I111" i="1"/>
  <c r="I110" i="1"/>
  <c r="I109" i="1"/>
  <c r="I108" i="1"/>
  <c r="I107" i="1"/>
  <c r="I106" i="1"/>
  <c r="I105" i="1"/>
  <c r="I104" i="1"/>
  <c r="I103" i="1"/>
  <c r="I102" i="1"/>
  <c r="I101" i="1"/>
  <c r="I100" i="1"/>
  <c r="I99" i="1"/>
  <c r="I98" i="1"/>
  <c r="I97" i="1"/>
  <c r="I96" i="1"/>
  <c r="I95" i="1"/>
  <c r="I94" i="1"/>
  <c r="I93" i="1"/>
  <c r="K93" i="1" s="1"/>
  <c r="I92" i="1"/>
  <c r="I91" i="1"/>
  <c r="I90" i="1"/>
  <c r="I89" i="1"/>
  <c r="I88" i="1"/>
  <c r="I87" i="1"/>
  <c r="I86" i="1"/>
  <c r="I85" i="1"/>
  <c r="I84" i="1"/>
  <c r="I83" i="1"/>
  <c r="I82" i="1"/>
  <c r="I81" i="1"/>
  <c r="K81" i="1" s="1"/>
  <c r="I80" i="1"/>
  <c r="I79" i="1"/>
  <c r="I78" i="1"/>
  <c r="I77" i="1"/>
  <c r="I76" i="1"/>
  <c r="I75" i="1"/>
  <c r="I74" i="1"/>
  <c r="I73" i="1"/>
  <c r="I72" i="1"/>
  <c r="I71" i="1"/>
  <c r="I70" i="1"/>
  <c r="I69" i="1"/>
  <c r="K69" i="1" s="1"/>
  <c r="I68" i="1"/>
  <c r="I67" i="1"/>
  <c r="I66" i="1"/>
  <c r="I65" i="1"/>
  <c r="I64" i="1"/>
  <c r="I63" i="1"/>
  <c r="I62" i="1"/>
  <c r="I61" i="1"/>
  <c r="I60" i="1"/>
  <c r="I59" i="1"/>
  <c r="I58" i="1"/>
  <c r="I57" i="1"/>
  <c r="K57" i="1" s="1"/>
  <c r="I56" i="1"/>
  <c r="I55" i="1"/>
  <c r="I54" i="1"/>
  <c r="I53" i="1"/>
  <c r="I52" i="1"/>
  <c r="I51" i="1"/>
  <c r="I50" i="1"/>
  <c r="I49" i="1"/>
  <c r="I48" i="1"/>
  <c r="I47" i="1"/>
  <c r="I46" i="1"/>
  <c r="I45" i="1"/>
  <c r="I44" i="1"/>
  <c r="I43" i="1"/>
  <c r="I42" i="1"/>
  <c r="I41" i="1"/>
  <c r="I40" i="1"/>
  <c r="I39" i="1"/>
  <c r="I38" i="1"/>
  <c r="I37" i="1"/>
  <c r="I36" i="1"/>
  <c r="I35" i="1"/>
  <c r="I34" i="1"/>
  <c r="I33" i="1"/>
  <c r="K33" i="1" s="1"/>
  <c r="I32" i="1"/>
  <c r="I31" i="1"/>
  <c r="I30" i="1"/>
  <c r="I29" i="1"/>
  <c r="I28" i="1"/>
  <c r="I27" i="1"/>
  <c r="I26" i="1"/>
  <c r="I25" i="1"/>
  <c r="I24" i="1"/>
  <c r="I23" i="1"/>
  <c r="I22" i="1"/>
  <c r="I21" i="1"/>
  <c r="I20" i="1"/>
  <c r="I19" i="1"/>
  <c r="I18" i="1"/>
  <c r="I17" i="1"/>
  <c r="I16" i="1"/>
  <c r="I15" i="1"/>
  <c r="I14" i="1"/>
  <c r="I13" i="1"/>
  <c r="I12" i="1"/>
  <c r="I11" i="1"/>
  <c r="I10" i="1"/>
  <c r="I9" i="1"/>
  <c r="J9" i="1" s="1"/>
  <c r="I8" i="1"/>
  <c r="I7" i="1"/>
  <c r="I6" i="1"/>
  <c r="I5"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115" i="15"/>
  <c r="U114" i="15"/>
  <c r="U113" i="15"/>
  <c r="U112" i="15"/>
  <c r="U111" i="15"/>
  <c r="U110" i="15"/>
  <c r="U109" i="15"/>
  <c r="U108" i="15"/>
  <c r="U107" i="15"/>
  <c r="U106" i="15"/>
  <c r="U105" i="15"/>
  <c r="V105" i="15" s="1"/>
  <c r="U104" i="15"/>
  <c r="U103" i="15"/>
  <c r="U102" i="15"/>
  <c r="U101" i="15"/>
  <c r="U100" i="15"/>
  <c r="U99" i="15"/>
  <c r="U98" i="15"/>
  <c r="U97" i="15"/>
  <c r="U96" i="15"/>
  <c r="U95" i="15"/>
  <c r="U94" i="15"/>
  <c r="U93" i="15"/>
  <c r="U92" i="15"/>
  <c r="U91" i="15"/>
  <c r="U90" i="15"/>
  <c r="U89" i="15"/>
  <c r="U88" i="15"/>
  <c r="U87" i="15"/>
  <c r="U86" i="15"/>
  <c r="U85" i="15"/>
  <c r="U84" i="15"/>
  <c r="U83" i="15"/>
  <c r="U82" i="15"/>
  <c r="U81" i="15"/>
  <c r="V81" i="15" s="1"/>
  <c r="U80" i="15"/>
  <c r="U79" i="15"/>
  <c r="U78" i="15"/>
  <c r="U77" i="15"/>
  <c r="U76" i="15"/>
  <c r="U75" i="15"/>
  <c r="U74" i="15"/>
  <c r="U73" i="15"/>
  <c r="U72" i="15"/>
  <c r="U71" i="15"/>
  <c r="U70" i="15"/>
  <c r="U69" i="15"/>
  <c r="V69" i="15" s="1"/>
  <c r="U68" i="15"/>
  <c r="U67" i="15"/>
  <c r="U66" i="15"/>
  <c r="U65" i="15"/>
  <c r="U64" i="15"/>
  <c r="U63" i="15"/>
  <c r="U62" i="15"/>
  <c r="U61" i="15"/>
  <c r="U60" i="15"/>
  <c r="U59" i="15"/>
  <c r="U58" i="15"/>
  <c r="U57" i="15"/>
  <c r="V57" i="15" s="1"/>
  <c r="U56" i="15"/>
  <c r="U55" i="15"/>
  <c r="U54" i="15"/>
  <c r="U53" i="15"/>
  <c r="U52" i="15"/>
  <c r="U51" i="15"/>
  <c r="U50" i="15"/>
  <c r="U49" i="15"/>
  <c r="U48" i="15"/>
  <c r="U47" i="15"/>
  <c r="U46" i="15"/>
  <c r="U45" i="15"/>
  <c r="U44" i="15"/>
  <c r="U43" i="15"/>
  <c r="U42" i="15"/>
  <c r="U41" i="15"/>
  <c r="U40" i="15"/>
  <c r="U39" i="15"/>
  <c r="U38" i="15"/>
  <c r="U37" i="15"/>
  <c r="U36" i="15"/>
  <c r="U35" i="15"/>
  <c r="U34" i="15"/>
  <c r="U33" i="15"/>
  <c r="U32" i="15"/>
  <c r="U31" i="15"/>
  <c r="U30" i="15"/>
  <c r="U29" i="15"/>
  <c r="U28" i="15"/>
  <c r="U27" i="15"/>
  <c r="U26" i="15"/>
  <c r="U25" i="15"/>
  <c r="U24" i="15"/>
  <c r="U23" i="15"/>
  <c r="U22" i="15"/>
  <c r="U21" i="15"/>
  <c r="U20" i="15"/>
  <c r="U19" i="15"/>
  <c r="U18" i="15"/>
  <c r="U17" i="15"/>
  <c r="U16" i="15"/>
  <c r="U15" i="15"/>
  <c r="U14" i="15"/>
  <c r="U13" i="15"/>
  <c r="U12" i="15"/>
  <c r="U11" i="15"/>
  <c r="U10" i="15"/>
  <c r="U9" i="15"/>
  <c r="U8" i="15"/>
  <c r="U7" i="15"/>
  <c r="U6" i="15"/>
  <c r="U5"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I8" i="15"/>
  <c r="I7" i="15"/>
  <c r="I6" i="15"/>
  <c r="I5" i="15"/>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U115" i="32"/>
  <c r="U114" i="32"/>
  <c r="U113" i="32"/>
  <c r="U112" i="32"/>
  <c r="U111" i="32"/>
  <c r="U110" i="32"/>
  <c r="U109" i="32"/>
  <c r="U108" i="32"/>
  <c r="U107" i="32"/>
  <c r="U106" i="32"/>
  <c r="U105" i="32"/>
  <c r="U104" i="32"/>
  <c r="U103" i="32"/>
  <c r="U102" i="32"/>
  <c r="U101" i="32"/>
  <c r="U100" i="32"/>
  <c r="U99" i="32"/>
  <c r="U98" i="32"/>
  <c r="U97" i="32"/>
  <c r="U96" i="32"/>
  <c r="U95" i="32"/>
  <c r="U94" i="32"/>
  <c r="U93" i="32"/>
  <c r="U92" i="32"/>
  <c r="U91" i="32"/>
  <c r="U90" i="32"/>
  <c r="U89" i="32"/>
  <c r="U88" i="32"/>
  <c r="U87" i="32"/>
  <c r="U86" i="32"/>
  <c r="U85" i="32"/>
  <c r="U84" i="32"/>
  <c r="U83" i="32"/>
  <c r="U82" i="32"/>
  <c r="U81" i="32"/>
  <c r="U80" i="32"/>
  <c r="U79" i="32"/>
  <c r="U78" i="32"/>
  <c r="U77" i="32"/>
  <c r="U76" i="32"/>
  <c r="U75" i="32"/>
  <c r="U74" i="32"/>
  <c r="U73" i="32"/>
  <c r="U72" i="32"/>
  <c r="U71" i="32"/>
  <c r="U70" i="32"/>
  <c r="U69" i="32"/>
  <c r="U68" i="32"/>
  <c r="U67" i="32"/>
  <c r="U66" i="32"/>
  <c r="U65" i="32"/>
  <c r="U64" i="32"/>
  <c r="U63" i="32"/>
  <c r="U62" i="32"/>
  <c r="U61" i="32"/>
  <c r="U60" i="32"/>
  <c r="U59" i="32"/>
  <c r="U58" i="32"/>
  <c r="U57" i="32"/>
  <c r="V57" i="32" s="1"/>
  <c r="U56" i="32"/>
  <c r="U55" i="32"/>
  <c r="U54" i="32"/>
  <c r="U53" i="32"/>
  <c r="U52" i="32"/>
  <c r="U51" i="32"/>
  <c r="U50" i="32"/>
  <c r="U49" i="32"/>
  <c r="U48" i="32"/>
  <c r="U47" i="32"/>
  <c r="U46" i="32"/>
  <c r="U45" i="32"/>
  <c r="W45" i="32" s="1"/>
  <c r="U44" i="32"/>
  <c r="U43" i="32"/>
  <c r="U42" i="32"/>
  <c r="U41" i="32"/>
  <c r="U40" i="32"/>
  <c r="U39" i="32"/>
  <c r="U38" i="32"/>
  <c r="U37" i="32"/>
  <c r="U36" i="32"/>
  <c r="U35" i="32"/>
  <c r="U34" i="32"/>
  <c r="U33" i="32"/>
  <c r="U32" i="32"/>
  <c r="U31" i="32"/>
  <c r="U30" i="32"/>
  <c r="U29" i="32"/>
  <c r="U28" i="32"/>
  <c r="U27" i="32"/>
  <c r="U26" i="32"/>
  <c r="U25" i="32"/>
  <c r="U24" i="32"/>
  <c r="U23" i="32"/>
  <c r="U22" i="32"/>
  <c r="U21" i="32"/>
  <c r="U20" i="32"/>
  <c r="U19" i="32"/>
  <c r="U18" i="32"/>
  <c r="U17" i="32"/>
  <c r="U16" i="32"/>
  <c r="U15" i="32"/>
  <c r="U14" i="32"/>
  <c r="U13" i="32"/>
  <c r="U12" i="32"/>
  <c r="U11" i="32"/>
  <c r="U10" i="32"/>
  <c r="U9" i="32"/>
  <c r="U8" i="32"/>
  <c r="U7" i="32"/>
  <c r="U6" i="32"/>
  <c r="U5"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7" i="32"/>
  <c r="I6" i="32"/>
  <c r="I5" i="32"/>
  <c r="U115" i="30"/>
  <c r="U114" i="30"/>
  <c r="U113" i="30"/>
  <c r="U112" i="30"/>
  <c r="U111" i="30"/>
  <c r="U110" i="30"/>
  <c r="U109" i="30"/>
  <c r="U108" i="30"/>
  <c r="U107" i="30"/>
  <c r="U106" i="30"/>
  <c r="W106" i="30" s="1"/>
  <c r="U105" i="30"/>
  <c r="U104" i="30"/>
  <c r="U103" i="30"/>
  <c r="U102" i="30"/>
  <c r="U101" i="30"/>
  <c r="U100" i="30"/>
  <c r="U99" i="30"/>
  <c r="U98" i="30"/>
  <c r="U97" i="30"/>
  <c r="U96" i="30"/>
  <c r="U95" i="30"/>
  <c r="U94" i="30"/>
  <c r="U93" i="30"/>
  <c r="U92" i="30"/>
  <c r="U91" i="30"/>
  <c r="U90" i="30"/>
  <c r="U89" i="30"/>
  <c r="U88" i="30"/>
  <c r="U87" i="30"/>
  <c r="U86" i="30"/>
  <c r="U85" i="30"/>
  <c r="U84" i="30"/>
  <c r="U83" i="30"/>
  <c r="U82" i="30"/>
  <c r="U81" i="30"/>
  <c r="U80" i="30"/>
  <c r="U79" i="30"/>
  <c r="U78" i="30"/>
  <c r="U77" i="30"/>
  <c r="U76" i="30"/>
  <c r="U75" i="30"/>
  <c r="U74" i="30"/>
  <c r="U73" i="30"/>
  <c r="U72" i="30"/>
  <c r="U71" i="30"/>
  <c r="U70" i="30"/>
  <c r="U69" i="30"/>
  <c r="U68" i="30"/>
  <c r="U67" i="30"/>
  <c r="U66" i="30"/>
  <c r="U65" i="30"/>
  <c r="U64" i="30"/>
  <c r="U63" i="30"/>
  <c r="U62" i="30"/>
  <c r="U61" i="30"/>
  <c r="U60" i="30"/>
  <c r="U59" i="30"/>
  <c r="U58" i="30"/>
  <c r="U57" i="30"/>
  <c r="U56" i="30"/>
  <c r="U55" i="30"/>
  <c r="U54" i="30"/>
  <c r="U53" i="30"/>
  <c r="U52" i="30"/>
  <c r="U51" i="30"/>
  <c r="U50" i="30"/>
  <c r="U49" i="30"/>
  <c r="U48" i="30"/>
  <c r="U47" i="30"/>
  <c r="U46" i="30"/>
  <c r="W46" i="30" s="1"/>
  <c r="U45" i="30"/>
  <c r="U44" i="30"/>
  <c r="U43" i="30"/>
  <c r="U42" i="30"/>
  <c r="U41" i="30"/>
  <c r="U40" i="30"/>
  <c r="U39" i="30"/>
  <c r="U38" i="30"/>
  <c r="U37" i="30"/>
  <c r="U36" i="30"/>
  <c r="U35" i="30"/>
  <c r="U34" i="30"/>
  <c r="W34" i="30" s="1"/>
  <c r="U33" i="30"/>
  <c r="U32" i="30"/>
  <c r="U31" i="30"/>
  <c r="U30" i="30"/>
  <c r="U29" i="30"/>
  <c r="U28" i="30"/>
  <c r="U27" i="30"/>
  <c r="U26" i="30"/>
  <c r="U25" i="30"/>
  <c r="U24" i="30"/>
  <c r="U23" i="30"/>
  <c r="U22" i="30"/>
  <c r="U21" i="30"/>
  <c r="U20" i="30"/>
  <c r="U19" i="30"/>
  <c r="U18" i="30"/>
  <c r="U17" i="30"/>
  <c r="U16" i="30"/>
  <c r="U15" i="30"/>
  <c r="U14" i="30"/>
  <c r="U13" i="30"/>
  <c r="U12" i="30"/>
  <c r="U11" i="30"/>
  <c r="U10" i="30"/>
  <c r="W10" i="30" s="1"/>
  <c r="U9" i="30"/>
  <c r="U8" i="30"/>
  <c r="U7" i="30"/>
  <c r="U6" i="30"/>
  <c r="U5" i="30"/>
  <c r="I115" i="30"/>
  <c r="I114" i="30"/>
  <c r="I113" i="30"/>
  <c r="I112" i="30"/>
  <c r="I111" i="30"/>
  <c r="I110" i="30"/>
  <c r="I109" i="30"/>
  <c r="I108" i="30"/>
  <c r="I107" i="30"/>
  <c r="K107" i="30" s="1"/>
  <c r="I106" i="30"/>
  <c r="I105" i="30"/>
  <c r="J105" i="30" s="1"/>
  <c r="I104" i="30"/>
  <c r="I103" i="30"/>
  <c r="I102" i="30"/>
  <c r="I101" i="30"/>
  <c r="I100" i="30"/>
  <c r="I99" i="30"/>
  <c r="I98" i="30"/>
  <c r="I97" i="30"/>
  <c r="I96" i="30"/>
  <c r="I95" i="30"/>
  <c r="K95" i="30" s="1"/>
  <c r="I94" i="30"/>
  <c r="I93" i="30"/>
  <c r="J93" i="30" s="1"/>
  <c r="I92" i="30"/>
  <c r="I91" i="30"/>
  <c r="I90" i="30"/>
  <c r="I89" i="30"/>
  <c r="I88" i="30"/>
  <c r="I87" i="30"/>
  <c r="I86" i="30"/>
  <c r="I85" i="30"/>
  <c r="I84" i="30"/>
  <c r="I83" i="30"/>
  <c r="K83" i="30" s="1"/>
  <c r="I82" i="30"/>
  <c r="I81" i="30"/>
  <c r="J81" i="30" s="1"/>
  <c r="I80" i="30"/>
  <c r="I79" i="30"/>
  <c r="I78" i="30"/>
  <c r="I77" i="30"/>
  <c r="I76" i="30"/>
  <c r="I75" i="30"/>
  <c r="I74" i="30"/>
  <c r="I73" i="30"/>
  <c r="I72" i="30"/>
  <c r="I71" i="30"/>
  <c r="K71" i="30" s="1"/>
  <c r="I70" i="30"/>
  <c r="I69" i="30"/>
  <c r="J69" i="30" s="1"/>
  <c r="I68" i="30"/>
  <c r="I67" i="30"/>
  <c r="I66" i="30"/>
  <c r="I65" i="30"/>
  <c r="I64" i="30"/>
  <c r="I63" i="30"/>
  <c r="I62" i="30"/>
  <c r="I61" i="30"/>
  <c r="I60" i="30"/>
  <c r="I59" i="30"/>
  <c r="K59" i="30" s="1"/>
  <c r="I58" i="30"/>
  <c r="I57" i="30"/>
  <c r="J57" i="30" s="1"/>
  <c r="I56" i="30"/>
  <c r="I55" i="30"/>
  <c r="I54" i="30"/>
  <c r="I53" i="30"/>
  <c r="I52" i="30"/>
  <c r="I51" i="30"/>
  <c r="I50" i="30"/>
  <c r="I49" i="30"/>
  <c r="I48" i="30"/>
  <c r="I47" i="30"/>
  <c r="K47" i="30" s="1"/>
  <c r="I46" i="30"/>
  <c r="I45" i="30"/>
  <c r="J45" i="30" s="1"/>
  <c r="I44" i="30"/>
  <c r="I43" i="30"/>
  <c r="I42" i="30"/>
  <c r="I41" i="30"/>
  <c r="I40" i="30"/>
  <c r="I39" i="30"/>
  <c r="I38" i="30"/>
  <c r="I37" i="30"/>
  <c r="I36" i="30"/>
  <c r="I35" i="30"/>
  <c r="K35" i="30" s="1"/>
  <c r="I34" i="30"/>
  <c r="I33" i="30"/>
  <c r="J33" i="30" s="1"/>
  <c r="I32" i="30"/>
  <c r="I31" i="30"/>
  <c r="I30" i="30"/>
  <c r="I29" i="30"/>
  <c r="I28" i="30"/>
  <c r="I27" i="30"/>
  <c r="I26" i="30"/>
  <c r="I25" i="30"/>
  <c r="I24" i="30"/>
  <c r="I23" i="30"/>
  <c r="K23" i="30" s="1"/>
  <c r="I22" i="30"/>
  <c r="I21" i="30"/>
  <c r="J21" i="30" s="1"/>
  <c r="I20" i="30"/>
  <c r="I19" i="30"/>
  <c r="I18" i="30"/>
  <c r="I17" i="30"/>
  <c r="I16" i="30"/>
  <c r="I15" i="30"/>
  <c r="I14" i="30"/>
  <c r="I13" i="30"/>
  <c r="I12" i="30"/>
  <c r="I11" i="30"/>
  <c r="J11" i="30" s="1"/>
  <c r="I10" i="30"/>
  <c r="I9" i="30"/>
  <c r="J9" i="30" s="1"/>
  <c r="I8" i="30"/>
  <c r="I7" i="30"/>
  <c r="I6" i="30"/>
  <c r="I5" i="30"/>
  <c r="U115" i="8"/>
  <c r="U114" i="8"/>
  <c r="U113" i="8"/>
  <c r="U112" i="8"/>
  <c r="U111" i="8"/>
  <c r="U110" i="8"/>
  <c r="U109" i="8"/>
  <c r="U108" i="8"/>
  <c r="U107" i="8"/>
  <c r="U106" i="8"/>
  <c r="U105" i="8"/>
  <c r="U104" i="8"/>
  <c r="U103" i="8"/>
  <c r="U102" i="8"/>
  <c r="U101" i="8"/>
  <c r="U100" i="8"/>
  <c r="U99" i="8"/>
  <c r="U98" i="8"/>
  <c r="U97" i="8"/>
  <c r="U96" i="8"/>
  <c r="U95" i="8"/>
  <c r="U94" i="8"/>
  <c r="U93" i="8"/>
  <c r="U92" i="8"/>
  <c r="U91" i="8"/>
  <c r="U90" i="8"/>
  <c r="U89" i="8"/>
  <c r="U88" i="8"/>
  <c r="U87" i="8"/>
  <c r="U86" i="8"/>
  <c r="U85" i="8"/>
  <c r="U84" i="8"/>
  <c r="U83" i="8"/>
  <c r="U82" i="8"/>
  <c r="U81" i="8"/>
  <c r="U80" i="8"/>
  <c r="U79" i="8"/>
  <c r="U78" i="8"/>
  <c r="U77" i="8"/>
  <c r="U76" i="8"/>
  <c r="U75" i="8"/>
  <c r="U74" i="8"/>
  <c r="U73" i="8"/>
  <c r="U72" i="8"/>
  <c r="U71" i="8"/>
  <c r="U70" i="8"/>
  <c r="U69" i="8"/>
  <c r="U68" i="8"/>
  <c r="U67" i="8"/>
  <c r="U66" i="8"/>
  <c r="U65" i="8"/>
  <c r="U64" i="8"/>
  <c r="U63" i="8"/>
  <c r="U62" i="8"/>
  <c r="U61" i="8"/>
  <c r="U60" i="8"/>
  <c r="U59" i="8"/>
  <c r="U58" i="8"/>
  <c r="U57" i="8"/>
  <c r="W57" i="8" s="1"/>
  <c r="U56" i="8"/>
  <c r="U55" i="8"/>
  <c r="U54" i="8"/>
  <c r="U53" i="8"/>
  <c r="U52" i="8"/>
  <c r="U51" i="8"/>
  <c r="U50" i="8"/>
  <c r="U49" i="8"/>
  <c r="U48" i="8"/>
  <c r="U47" i="8"/>
  <c r="U46" i="8"/>
  <c r="U45" i="8"/>
  <c r="W45" i="8" s="1"/>
  <c r="U44" i="8"/>
  <c r="U43" i="8"/>
  <c r="U42" i="8"/>
  <c r="U41" i="8"/>
  <c r="U40" i="8"/>
  <c r="U39" i="8"/>
  <c r="U38" i="8"/>
  <c r="U37" i="8"/>
  <c r="U36" i="8"/>
  <c r="U35" i="8"/>
  <c r="U34" i="8"/>
  <c r="U33" i="8"/>
  <c r="W33" i="8" s="1"/>
  <c r="U32" i="8"/>
  <c r="U31" i="8"/>
  <c r="U30" i="8"/>
  <c r="U29" i="8"/>
  <c r="U28" i="8"/>
  <c r="U27" i="8"/>
  <c r="U26" i="8"/>
  <c r="U25" i="8"/>
  <c r="U24" i="8"/>
  <c r="U23" i="8"/>
  <c r="U22" i="8"/>
  <c r="U21" i="8"/>
  <c r="W21" i="8" s="1"/>
  <c r="U20" i="8"/>
  <c r="V20" i="8" s="1"/>
  <c r="U19" i="8"/>
  <c r="U18" i="8"/>
  <c r="U17" i="8"/>
  <c r="U16" i="8"/>
  <c r="U15" i="8"/>
  <c r="U14" i="8"/>
  <c r="U13" i="8"/>
  <c r="U12" i="8"/>
  <c r="U11" i="8"/>
  <c r="U10" i="8"/>
  <c r="U9" i="8"/>
  <c r="U5" i="8"/>
  <c r="W35" i="8"/>
  <c r="W23" i="8"/>
  <c r="W11" i="8"/>
  <c r="I115" i="8"/>
  <c r="I114" i="8"/>
  <c r="I113" i="8"/>
  <c r="I112" i="8"/>
  <c r="I111" i="8"/>
  <c r="I110" i="8"/>
  <c r="I109" i="8"/>
  <c r="I108" i="8"/>
  <c r="I107" i="8"/>
  <c r="I106" i="8"/>
  <c r="I105" i="8"/>
  <c r="I104" i="8"/>
  <c r="I103" i="8"/>
  <c r="I102" i="8"/>
  <c r="I101" i="8"/>
  <c r="I100" i="8"/>
  <c r="I99" i="8"/>
  <c r="I98" i="8"/>
  <c r="I97" i="8"/>
  <c r="I96" i="8"/>
  <c r="I95" i="8"/>
  <c r="J95" i="8" s="1"/>
  <c r="I94" i="8"/>
  <c r="I93" i="8"/>
  <c r="I92" i="8"/>
  <c r="I91" i="8"/>
  <c r="I90" i="8"/>
  <c r="I89" i="8"/>
  <c r="I88" i="8"/>
  <c r="I87" i="8"/>
  <c r="I86" i="8"/>
  <c r="J86" i="8" s="1"/>
  <c r="I85" i="8"/>
  <c r="I84" i="8"/>
  <c r="I83" i="8"/>
  <c r="I82" i="8"/>
  <c r="I81" i="8"/>
  <c r="I80" i="8"/>
  <c r="J80" i="8" s="1"/>
  <c r="I79" i="8"/>
  <c r="I78" i="8"/>
  <c r="I77" i="8"/>
  <c r="I76" i="8"/>
  <c r="I75" i="8"/>
  <c r="I74" i="8"/>
  <c r="J74" i="8" s="1"/>
  <c r="I73" i="8"/>
  <c r="I72" i="8"/>
  <c r="I71" i="8"/>
  <c r="J71" i="8" s="1"/>
  <c r="I70" i="8"/>
  <c r="I69" i="8"/>
  <c r="I68" i="8"/>
  <c r="I67" i="8"/>
  <c r="I66" i="8"/>
  <c r="I65" i="8"/>
  <c r="I64" i="8"/>
  <c r="I63" i="8"/>
  <c r="I62" i="8"/>
  <c r="I61" i="8"/>
  <c r="I60" i="8"/>
  <c r="I59" i="8"/>
  <c r="I58" i="8"/>
  <c r="I57" i="8"/>
  <c r="I56" i="8"/>
  <c r="I55" i="8"/>
  <c r="I54" i="8"/>
  <c r="I53" i="8"/>
  <c r="I52" i="8"/>
  <c r="I51" i="8"/>
  <c r="I50" i="8"/>
  <c r="I49" i="8"/>
  <c r="I48" i="8"/>
  <c r="I47" i="8"/>
  <c r="I46" i="8"/>
  <c r="I45" i="8"/>
  <c r="K45" i="8" s="1"/>
  <c r="I44" i="8"/>
  <c r="I43" i="8"/>
  <c r="I42" i="8"/>
  <c r="I41" i="8"/>
  <c r="I40" i="8"/>
  <c r="I39" i="8"/>
  <c r="I38" i="8"/>
  <c r="I37" i="8"/>
  <c r="I36" i="8"/>
  <c r="J36" i="8" s="1"/>
  <c r="I35" i="8"/>
  <c r="J35" i="8" s="1"/>
  <c r="I34" i="8"/>
  <c r="I33" i="8"/>
  <c r="J33" i="8" s="1"/>
  <c r="I32" i="8"/>
  <c r="I31" i="8"/>
  <c r="I30" i="8"/>
  <c r="I29" i="8"/>
  <c r="I28" i="8"/>
  <c r="I27" i="8"/>
  <c r="I26" i="8"/>
  <c r="I25" i="8"/>
  <c r="I24" i="8"/>
  <c r="I23" i="8"/>
  <c r="I22" i="8"/>
  <c r="I21" i="8"/>
  <c r="J21" i="8" s="1"/>
  <c r="I20" i="8"/>
  <c r="I19" i="8"/>
  <c r="I18" i="8"/>
  <c r="I17" i="8"/>
  <c r="I16" i="8"/>
  <c r="I15" i="8"/>
  <c r="I14" i="8"/>
  <c r="K14" i="8" s="1"/>
  <c r="I13" i="8"/>
  <c r="I12" i="8"/>
  <c r="I11" i="8"/>
  <c r="J100" i="8"/>
  <c r="J112" i="8"/>
  <c r="J92" i="8"/>
  <c r="I5" i="8"/>
  <c r="L5" i="8" s="1"/>
  <c r="B115" i="19"/>
  <c r="K114" i="19"/>
  <c r="J114" i="19"/>
  <c r="B114" i="19"/>
  <c r="B113" i="19"/>
  <c r="B112" i="19"/>
  <c r="J111" i="19"/>
  <c r="B111" i="19"/>
  <c r="B110" i="19"/>
  <c r="B109" i="19"/>
  <c r="K108" i="19"/>
  <c r="J108" i="19"/>
  <c r="B108" i="19"/>
  <c r="K107" i="19"/>
  <c r="B107" i="19"/>
  <c r="K106" i="19"/>
  <c r="B106" i="19"/>
  <c r="J105" i="19"/>
  <c r="B105" i="19"/>
  <c r="B104" i="19"/>
  <c r="B103" i="19"/>
  <c r="K102" i="19"/>
  <c r="J102" i="19"/>
  <c r="B102" i="19"/>
  <c r="K101" i="19"/>
  <c r="B101" i="19"/>
  <c r="K100" i="19"/>
  <c r="B100" i="19"/>
  <c r="J99" i="19"/>
  <c r="B99" i="19"/>
  <c r="B98" i="19"/>
  <c r="B97" i="19"/>
  <c r="K96" i="19"/>
  <c r="J96" i="19"/>
  <c r="B96" i="19"/>
  <c r="K95" i="19"/>
  <c r="B95" i="19"/>
  <c r="K94" i="19"/>
  <c r="B94" i="19"/>
  <c r="J93" i="19"/>
  <c r="B93" i="19"/>
  <c r="B92" i="19"/>
  <c r="B91" i="19"/>
  <c r="K90" i="19"/>
  <c r="J90" i="19"/>
  <c r="B90" i="19"/>
  <c r="K89" i="19"/>
  <c r="B89" i="19"/>
  <c r="K88" i="19"/>
  <c r="B88" i="19"/>
  <c r="B87" i="19"/>
  <c r="B86" i="19"/>
  <c r="B85" i="19"/>
  <c r="K84" i="19"/>
  <c r="J84" i="19"/>
  <c r="B84" i="19"/>
  <c r="K83" i="19"/>
  <c r="B83" i="19"/>
  <c r="K82" i="19"/>
  <c r="B82" i="19"/>
  <c r="B81" i="19"/>
  <c r="B80" i="19"/>
  <c r="K79" i="19"/>
  <c r="B79" i="19"/>
  <c r="K78" i="19"/>
  <c r="J78" i="19"/>
  <c r="B78" i="19"/>
  <c r="K77" i="19"/>
  <c r="B77" i="19"/>
  <c r="K76" i="19"/>
  <c r="B76" i="19"/>
  <c r="B75" i="19"/>
  <c r="B74" i="19"/>
  <c r="B73" i="19"/>
  <c r="B72" i="19"/>
  <c r="K71" i="19"/>
  <c r="B71" i="19"/>
  <c r="K70" i="19"/>
  <c r="B70" i="19"/>
  <c r="B69" i="19"/>
  <c r="B68" i="19"/>
  <c r="B67" i="19"/>
  <c r="K66" i="19"/>
  <c r="B66" i="19"/>
  <c r="K65" i="19"/>
  <c r="B65" i="19"/>
  <c r="K64" i="19"/>
  <c r="B64" i="19"/>
  <c r="B63" i="19"/>
  <c r="B62" i="19"/>
  <c r="K61" i="19"/>
  <c r="B61" i="19"/>
  <c r="B60" i="19"/>
  <c r="K59" i="19"/>
  <c r="B59" i="19"/>
  <c r="K58" i="19"/>
  <c r="B58" i="19"/>
  <c r="B57" i="19"/>
  <c r="B56" i="19"/>
  <c r="B55" i="19"/>
  <c r="B54" i="19"/>
  <c r="K53" i="19"/>
  <c r="B53" i="19"/>
  <c r="K52" i="19"/>
  <c r="B52" i="19"/>
  <c r="J51" i="19"/>
  <c r="B51" i="19"/>
  <c r="J50" i="19"/>
  <c r="B50" i="19"/>
  <c r="K49" i="19"/>
  <c r="B49" i="19"/>
  <c r="B48" i="19"/>
  <c r="B47" i="19"/>
  <c r="K46" i="19"/>
  <c r="B46" i="19"/>
  <c r="B45" i="19"/>
  <c r="B44" i="19"/>
  <c r="B43" i="19"/>
  <c r="K42" i="19"/>
  <c r="B42" i="19"/>
  <c r="K41" i="19"/>
  <c r="B41" i="19"/>
  <c r="K40" i="19"/>
  <c r="B40" i="19"/>
  <c r="J39" i="19"/>
  <c r="B39" i="19"/>
  <c r="K38" i="19"/>
  <c r="J38" i="19"/>
  <c r="B38" i="19"/>
  <c r="B37" i="19"/>
  <c r="K36" i="19"/>
  <c r="B36" i="19"/>
  <c r="J35" i="19"/>
  <c r="B35" i="19"/>
  <c r="K34" i="19"/>
  <c r="B34" i="19"/>
  <c r="J33" i="19"/>
  <c r="B33" i="19"/>
  <c r="B32" i="19"/>
  <c r="K31" i="19"/>
  <c r="B31" i="19"/>
  <c r="K30" i="19"/>
  <c r="J30" i="19"/>
  <c r="B30" i="19"/>
  <c r="J29" i="19"/>
  <c r="B29" i="19"/>
  <c r="K28" i="19"/>
  <c r="B28" i="19"/>
  <c r="B27" i="19"/>
  <c r="K26" i="19"/>
  <c r="J26" i="19"/>
  <c r="B26" i="19"/>
  <c r="B25" i="19"/>
  <c r="B24" i="19"/>
  <c r="K23" i="19"/>
  <c r="J23" i="19"/>
  <c r="B23" i="19"/>
  <c r="K22" i="19"/>
  <c r="B22" i="19"/>
  <c r="B21" i="19"/>
  <c r="B20" i="19"/>
  <c r="B19" i="19"/>
  <c r="K18" i="19"/>
  <c r="J18" i="19"/>
  <c r="B18" i="19"/>
  <c r="J17" i="19"/>
  <c r="B17" i="19"/>
  <c r="K16" i="19"/>
  <c r="B16" i="19"/>
  <c r="J15" i="19"/>
  <c r="B15" i="19"/>
  <c r="K14" i="19"/>
  <c r="J14" i="19"/>
  <c r="B14" i="19"/>
  <c r="K13" i="19"/>
  <c r="J13" i="19"/>
  <c r="B13" i="19"/>
  <c r="J12" i="19"/>
  <c r="K12" i="19"/>
  <c r="B12" i="19"/>
  <c r="B11" i="19"/>
  <c r="K10" i="19"/>
  <c r="J10" i="19"/>
  <c r="B10" i="19"/>
  <c r="J9" i="19"/>
  <c r="K9" i="19"/>
  <c r="B9" i="19"/>
  <c r="B8" i="19"/>
  <c r="K7" i="19"/>
  <c r="J7" i="19"/>
  <c r="B7" i="19"/>
  <c r="J6" i="19"/>
  <c r="K6" i="19"/>
  <c r="B6" i="19"/>
  <c r="A6" i="19"/>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I3" i="19" a="1"/>
  <c r="I3" i="19" s="1"/>
  <c r="L3" i="19" a="1"/>
  <c r="L3" i="19" s="1"/>
  <c r="L2" i="19"/>
  <c r="N115" i="18"/>
  <c r="J115" i="18"/>
  <c r="K115" i="18"/>
  <c r="B115" i="18"/>
  <c r="N114" i="18"/>
  <c r="K114" i="18"/>
  <c r="J114" i="18"/>
  <c r="B114" i="18"/>
  <c r="N113" i="18"/>
  <c r="K113" i="18"/>
  <c r="B113" i="18"/>
  <c r="N112" i="18"/>
  <c r="K112" i="18"/>
  <c r="J112" i="18"/>
  <c r="B112" i="18"/>
  <c r="W111" i="18"/>
  <c r="V111" i="18"/>
  <c r="N111" i="18"/>
  <c r="B111" i="18"/>
  <c r="W110" i="18"/>
  <c r="N110" i="18"/>
  <c r="K110" i="18"/>
  <c r="J110" i="18"/>
  <c r="B110" i="18"/>
  <c r="W109" i="18"/>
  <c r="V109" i="18"/>
  <c r="N109" i="18"/>
  <c r="J109" i="18"/>
  <c r="K109" i="18"/>
  <c r="B109" i="18"/>
  <c r="N108" i="18"/>
  <c r="J108" i="18"/>
  <c r="B108" i="18"/>
  <c r="N107" i="18"/>
  <c r="K107" i="18"/>
  <c r="J107" i="18"/>
  <c r="B107" i="18"/>
  <c r="W106" i="18"/>
  <c r="N106" i="18"/>
  <c r="B106" i="18"/>
  <c r="W105" i="18"/>
  <c r="V105" i="18"/>
  <c r="N105" i="18"/>
  <c r="B105" i="18"/>
  <c r="N104" i="18"/>
  <c r="B104" i="18"/>
  <c r="W103" i="18"/>
  <c r="V103" i="18"/>
  <c r="N103" i="18"/>
  <c r="K103" i="18"/>
  <c r="B103" i="18"/>
  <c r="N102" i="18"/>
  <c r="K102" i="18"/>
  <c r="J102" i="18"/>
  <c r="B102" i="18"/>
  <c r="N101" i="18"/>
  <c r="K101" i="18"/>
  <c r="J101" i="18"/>
  <c r="B101" i="18"/>
  <c r="N100" i="18"/>
  <c r="K100" i="18"/>
  <c r="J100" i="18"/>
  <c r="B100" i="18"/>
  <c r="W99" i="18"/>
  <c r="V99" i="18"/>
  <c r="N99" i="18"/>
  <c r="B99" i="18"/>
  <c r="W98" i="18"/>
  <c r="N98" i="18"/>
  <c r="K98" i="18"/>
  <c r="J98" i="18"/>
  <c r="B98" i="18"/>
  <c r="W97" i="18"/>
  <c r="V97" i="18"/>
  <c r="N97" i="18"/>
  <c r="K97" i="18"/>
  <c r="B97" i="18"/>
  <c r="N96" i="18"/>
  <c r="B96" i="18"/>
  <c r="N95" i="18"/>
  <c r="K95" i="18"/>
  <c r="J95" i="18"/>
  <c r="B95" i="18"/>
  <c r="N94" i="18"/>
  <c r="B94" i="18"/>
  <c r="W93" i="18"/>
  <c r="V93" i="18"/>
  <c r="N93" i="18"/>
  <c r="B93" i="18"/>
  <c r="N92" i="18"/>
  <c r="B92" i="18"/>
  <c r="W91" i="18"/>
  <c r="V91" i="18"/>
  <c r="N91" i="18"/>
  <c r="K91" i="18"/>
  <c r="B91" i="18"/>
  <c r="N90" i="18"/>
  <c r="K90" i="18"/>
  <c r="J90" i="18"/>
  <c r="B90" i="18"/>
  <c r="N89" i="18"/>
  <c r="K89" i="18"/>
  <c r="J89" i="18"/>
  <c r="B89" i="18"/>
  <c r="N88" i="18"/>
  <c r="K88" i="18"/>
  <c r="J88" i="18"/>
  <c r="B88" i="18"/>
  <c r="W87" i="18"/>
  <c r="V87" i="18"/>
  <c r="N87" i="18"/>
  <c r="B87" i="18"/>
  <c r="W86" i="18"/>
  <c r="N86" i="18"/>
  <c r="K86" i="18"/>
  <c r="J86" i="18"/>
  <c r="B86" i="18"/>
  <c r="W85" i="18"/>
  <c r="V85" i="18"/>
  <c r="N85" i="18"/>
  <c r="K85" i="18"/>
  <c r="B85" i="18"/>
  <c r="N84" i="18"/>
  <c r="J84" i="18"/>
  <c r="B84" i="18"/>
  <c r="N83" i="18"/>
  <c r="K83" i="18"/>
  <c r="J83" i="18"/>
  <c r="B83" i="18"/>
  <c r="N82" i="18"/>
  <c r="B82" i="18"/>
  <c r="W81" i="18"/>
  <c r="V81" i="18"/>
  <c r="N81" i="18"/>
  <c r="B81" i="18"/>
  <c r="N80" i="18"/>
  <c r="B80" i="18"/>
  <c r="W79" i="18"/>
  <c r="V79" i="18"/>
  <c r="N79" i="18"/>
  <c r="K79" i="18"/>
  <c r="B79" i="18"/>
  <c r="N78" i="18"/>
  <c r="K78" i="18"/>
  <c r="J78" i="18"/>
  <c r="B78" i="18"/>
  <c r="N77" i="18"/>
  <c r="K77" i="18"/>
  <c r="J77" i="18"/>
  <c r="B77" i="18"/>
  <c r="N76" i="18"/>
  <c r="K76" i="18"/>
  <c r="J76" i="18"/>
  <c r="B76" i="18"/>
  <c r="W75" i="18"/>
  <c r="V75" i="18"/>
  <c r="N75" i="18"/>
  <c r="B75" i="18"/>
  <c r="W74" i="18"/>
  <c r="N74" i="18"/>
  <c r="K74" i="18"/>
  <c r="J74" i="18"/>
  <c r="B74" i="18"/>
  <c r="W73" i="18"/>
  <c r="V73" i="18"/>
  <c r="N73" i="18"/>
  <c r="K73" i="18"/>
  <c r="B73" i="18"/>
  <c r="N72" i="18"/>
  <c r="K72" i="18"/>
  <c r="B72" i="18"/>
  <c r="N71" i="18"/>
  <c r="K71" i="18"/>
  <c r="J71" i="18"/>
  <c r="B71" i="18"/>
  <c r="N70" i="18"/>
  <c r="B70" i="18"/>
  <c r="W69" i="18"/>
  <c r="V69" i="18"/>
  <c r="N69" i="18"/>
  <c r="B69" i="18"/>
  <c r="N68" i="18"/>
  <c r="B68" i="18"/>
  <c r="W67" i="18"/>
  <c r="V67" i="18"/>
  <c r="N67" i="18"/>
  <c r="K67" i="18"/>
  <c r="B67" i="18"/>
  <c r="N66" i="18"/>
  <c r="K66" i="18"/>
  <c r="J66" i="18"/>
  <c r="B66" i="18"/>
  <c r="N65" i="18"/>
  <c r="K65" i="18"/>
  <c r="J65" i="18"/>
  <c r="B65" i="18"/>
  <c r="N64" i="18"/>
  <c r="K64" i="18"/>
  <c r="J64" i="18"/>
  <c r="B64" i="18"/>
  <c r="W63" i="18"/>
  <c r="V63" i="18"/>
  <c r="N63" i="18"/>
  <c r="B63" i="18"/>
  <c r="N62" i="18"/>
  <c r="K62" i="18"/>
  <c r="J62" i="18"/>
  <c r="B62" i="18"/>
  <c r="W61" i="18"/>
  <c r="V61" i="18"/>
  <c r="N61" i="18"/>
  <c r="J61" i="18"/>
  <c r="K61" i="18"/>
  <c r="B61" i="18"/>
  <c r="N60" i="18"/>
  <c r="B60" i="18"/>
  <c r="V59" i="18"/>
  <c r="N59" i="18"/>
  <c r="K59" i="18"/>
  <c r="J59" i="18"/>
  <c r="B59" i="18"/>
  <c r="V58" i="18"/>
  <c r="N58" i="18"/>
  <c r="B58" i="18"/>
  <c r="W57" i="18"/>
  <c r="V57" i="18"/>
  <c r="N57" i="18"/>
  <c r="B57" i="18"/>
  <c r="W56" i="18"/>
  <c r="N56" i="18"/>
  <c r="K56" i="18"/>
  <c r="B56" i="18"/>
  <c r="W55" i="18"/>
  <c r="V55" i="18"/>
  <c r="N55" i="18"/>
  <c r="J55" i="18"/>
  <c r="K55" i="18"/>
  <c r="B55" i="18"/>
  <c r="N54" i="18"/>
  <c r="J54" i="18"/>
  <c r="B54" i="18"/>
  <c r="N53" i="18"/>
  <c r="K53" i="18"/>
  <c r="J53" i="18"/>
  <c r="B53" i="18"/>
  <c r="W52" i="18"/>
  <c r="V52" i="18"/>
  <c r="N52" i="18"/>
  <c r="K52" i="18"/>
  <c r="J52" i="18"/>
  <c r="B52" i="18"/>
  <c r="W51" i="18"/>
  <c r="V51" i="18"/>
  <c r="N51" i="18"/>
  <c r="J51" i="18"/>
  <c r="B51" i="18"/>
  <c r="W50" i="18"/>
  <c r="N50" i="18"/>
  <c r="K50" i="18"/>
  <c r="J50" i="18"/>
  <c r="B50" i="18"/>
  <c r="W49" i="18"/>
  <c r="V49" i="18"/>
  <c r="N49" i="18"/>
  <c r="K49" i="18"/>
  <c r="B49" i="18"/>
  <c r="N48" i="18"/>
  <c r="B48" i="18"/>
  <c r="N47" i="18"/>
  <c r="K47" i="18"/>
  <c r="J47" i="18"/>
  <c r="B47" i="18"/>
  <c r="V46" i="18"/>
  <c r="N46" i="18"/>
  <c r="B46" i="18"/>
  <c r="W45" i="18"/>
  <c r="V45" i="18"/>
  <c r="N45" i="18"/>
  <c r="B45" i="18"/>
  <c r="N44" i="18"/>
  <c r="B44" i="18"/>
  <c r="W43" i="18"/>
  <c r="V43" i="18"/>
  <c r="N43" i="18"/>
  <c r="J43" i="18"/>
  <c r="B43" i="18"/>
  <c r="N42" i="18"/>
  <c r="J42" i="18"/>
  <c r="B42" i="18"/>
  <c r="N41" i="18"/>
  <c r="K41" i="18"/>
  <c r="J41" i="18"/>
  <c r="B41" i="18"/>
  <c r="N40" i="18"/>
  <c r="K40" i="18"/>
  <c r="J40" i="18"/>
  <c r="B40" i="18"/>
  <c r="W39" i="18"/>
  <c r="V39" i="18"/>
  <c r="N39" i="18"/>
  <c r="B39" i="18"/>
  <c r="W38" i="18"/>
  <c r="N38" i="18"/>
  <c r="J38" i="18"/>
  <c r="B38" i="18"/>
  <c r="W37" i="18"/>
  <c r="V37" i="18"/>
  <c r="N37" i="18"/>
  <c r="B37" i="18"/>
  <c r="N36" i="18"/>
  <c r="B36" i="18"/>
  <c r="W35" i="18"/>
  <c r="V35" i="18"/>
  <c r="N35" i="18"/>
  <c r="K35" i="18"/>
  <c r="J35" i="18"/>
  <c r="B35" i="18"/>
  <c r="W34" i="18"/>
  <c r="V34" i="18"/>
  <c r="N34" i="18"/>
  <c r="B34" i="18"/>
  <c r="W33" i="18"/>
  <c r="V33" i="18"/>
  <c r="N33" i="18"/>
  <c r="B33" i="18"/>
  <c r="W32" i="18"/>
  <c r="N32" i="18"/>
  <c r="B32" i="18"/>
  <c r="W31" i="18"/>
  <c r="V31" i="18"/>
  <c r="N31" i="18"/>
  <c r="B31" i="18"/>
  <c r="N30" i="18"/>
  <c r="K30" i="18"/>
  <c r="J30" i="18"/>
  <c r="B30" i="18"/>
  <c r="W29" i="18"/>
  <c r="N29" i="18"/>
  <c r="K29" i="18"/>
  <c r="J29" i="18"/>
  <c r="B29" i="18"/>
  <c r="W28" i="18"/>
  <c r="N28" i="18"/>
  <c r="K28" i="18"/>
  <c r="J28" i="18"/>
  <c r="B28" i="18"/>
  <c r="W27" i="18"/>
  <c r="V27" i="18"/>
  <c r="N27" i="18"/>
  <c r="J27" i="18"/>
  <c r="B27" i="18"/>
  <c r="V26" i="18"/>
  <c r="W26" i="18"/>
  <c r="N26" i="18"/>
  <c r="B26" i="18"/>
  <c r="W25" i="18"/>
  <c r="V25" i="18"/>
  <c r="N25" i="18"/>
  <c r="K25" i="18"/>
  <c r="J25" i="18"/>
  <c r="B25" i="18"/>
  <c r="N24" i="18"/>
  <c r="B24" i="18"/>
  <c r="N23" i="18"/>
  <c r="K23" i="18"/>
  <c r="J23" i="18"/>
  <c r="B23" i="18"/>
  <c r="W22" i="18"/>
  <c r="N22" i="18"/>
  <c r="B22" i="18"/>
  <c r="W21" i="18"/>
  <c r="V21" i="18"/>
  <c r="N21" i="18"/>
  <c r="B21" i="18"/>
  <c r="W20" i="18"/>
  <c r="N20" i="18"/>
  <c r="B20" i="18"/>
  <c r="W19" i="18"/>
  <c r="V19" i="18"/>
  <c r="N19" i="18"/>
  <c r="K19" i="18"/>
  <c r="B19" i="18"/>
  <c r="N18" i="18"/>
  <c r="J18" i="18"/>
  <c r="B18" i="18"/>
  <c r="V17" i="18"/>
  <c r="N17" i="18"/>
  <c r="J17" i="18"/>
  <c r="B17" i="18"/>
  <c r="N16" i="18"/>
  <c r="K16" i="18"/>
  <c r="J16" i="18"/>
  <c r="B16" i="18"/>
  <c r="W15" i="18"/>
  <c r="V15" i="18"/>
  <c r="N15" i="18"/>
  <c r="B15" i="18"/>
  <c r="W14" i="18"/>
  <c r="N14" i="18"/>
  <c r="K14" i="18"/>
  <c r="J14" i="18"/>
  <c r="B14" i="18"/>
  <c r="N13" i="18"/>
  <c r="J13" i="18"/>
  <c r="B13" i="18"/>
  <c r="N12" i="18"/>
  <c r="B12" i="18"/>
  <c r="W11" i="18"/>
  <c r="V11" i="18"/>
  <c r="N11" i="18"/>
  <c r="K11" i="18"/>
  <c r="B11" i="18"/>
  <c r="W10" i="18"/>
  <c r="N10" i="18"/>
  <c r="B10" i="18"/>
  <c r="W9" i="18"/>
  <c r="N9" i="18"/>
  <c r="B9" i="18"/>
  <c r="N8" i="18"/>
  <c r="U8" i="18" s="1"/>
  <c r="B8" i="18"/>
  <c r="N7" i="18"/>
  <c r="U7" i="18" s="1"/>
  <c r="X7" i="18" s="1" a="1"/>
  <c r="X7" i="18" s="1"/>
  <c r="J7" i="18"/>
  <c r="B7" i="18"/>
  <c r="N6" i="18"/>
  <c r="U6" i="18" s="1"/>
  <c r="X6" i="18" s="1" a="1"/>
  <c r="X6" i="18" s="1"/>
  <c r="B6" i="18"/>
  <c r="J5" i="18"/>
  <c r="L3" i="18" a="1"/>
  <c r="L3" i="18" s="1"/>
  <c r="L2" i="18"/>
  <c r="N115" i="1"/>
  <c r="J115" i="1"/>
  <c r="B115" i="1"/>
  <c r="N114" i="1"/>
  <c r="K114" i="1"/>
  <c r="J114" i="1"/>
  <c r="B114" i="1"/>
  <c r="N113" i="1"/>
  <c r="K113" i="1"/>
  <c r="B113" i="1"/>
  <c r="N112" i="1"/>
  <c r="B112" i="1"/>
  <c r="W111" i="1"/>
  <c r="V111" i="1"/>
  <c r="N111" i="1"/>
  <c r="B111" i="1"/>
  <c r="V110" i="1"/>
  <c r="W110" i="1"/>
  <c r="N110" i="1"/>
  <c r="B110" i="1"/>
  <c r="N109" i="1"/>
  <c r="J109" i="1"/>
  <c r="B109" i="1"/>
  <c r="V108" i="1"/>
  <c r="N108" i="1"/>
  <c r="K108" i="1"/>
  <c r="J108" i="1"/>
  <c r="B108" i="1"/>
  <c r="N107" i="1"/>
  <c r="K107" i="1"/>
  <c r="B107" i="1"/>
  <c r="N106" i="1"/>
  <c r="B106" i="1"/>
  <c r="W105" i="1"/>
  <c r="V105" i="1"/>
  <c r="N105" i="1"/>
  <c r="B105" i="1"/>
  <c r="W104" i="1"/>
  <c r="V104" i="1"/>
  <c r="N104" i="1"/>
  <c r="B104" i="1"/>
  <c r="N103" i="1"/>
  <c r="J103" i="1"/>
  <c r="B103" i="1"/>
  <c r="V102" i="1"/>
  <c r="N102" i="1"/>
  <c r="K102" i="1"/>
  <c r="J102" i="1"/>
  <c r="B102" i="1"/>
  <c r="N101" i="1"/>
  <c r="K101" i="1"/>
  <c r="J101" i="1"/>
  <c r="B101" i="1"/>
  <c r="N100" i="1"/>
  <c r="B100" i="1"/>
  <c r="W99" i="1"/>
  <c r="V99" i="1"/>
  <c r="N99" i="1"/>
  <c r="B99" i="1"/>
  <c r="W98" i="1"/>
  <c r="V98" i="1"/>
  <c r="N98" i="1"/>
  <c r="B98" i="1"/>
  <c r="N97" i="1"/>
  <c r="J97" i="1"/>
  <c r="B97" i="1"/>
  <c r="V96" i="1"/>
  <c r="N96" i="1"/>
  <c r="K96" i="1"/>
  <c r="J96" i="1"/>
  <c r="B96" i="1"/>
  <c r="N95" i="1"/>
  <c r="K95" i="1"/>
  <c r="J95" i="1"/>
  <c r="B95" i="1"/>
  <c r="N94" i="1"/>
  <c r="B94" i="1"/>
  <c r="W93" i="1"/>
  <c r="V93" i="1"/>
  <c r="N93" i="1"/>
  <c r="B93" i="1"/>
  <c r="W92" i="1"/>
  <c r="V92" i="1"/>
  <c r="N92" i="1"/>
  <c r="B92" i="1"/>
  <c r="N91" i="1"/>
  <c r="J91" i="1"/>
  <c r="B91" i="1"/>
  <c r="V90" i="1"/>
  <c r="N90" i="1"/>
  <c r="K90" i="1"/>
  <c r="J90" i="1"/>
  <c r="B90" i="1"/>
  <c r="N89" i="1"/>
  <c r="K89" i="1"/>
  <c r="J89" i="1"/>
  <c r="B89" i="1"/>
  <c r="N88" i="1"/>
  <c r="B88" i="1"/>
  <c r="W87" i="1"/>
  <c r="V87" i="1"/>
  <c r="N87" i="1"/>
  <c r="K87" i="1"/>
  <c r="B87" i="1"/>
  <c r="W86" i="1"/>
  <c r="V86" i="1"/>
  <c r="N86" i="1"/>
  <c r="B86" i="1"/>
  <c r="N85" i="1"/>
  <c r="J85" i="1"/>
  <c r="B85" i="1"/>
  <c r="V84" i="1"/>
  <c r="N84" i="1"/>
  <c r="K84" i="1"/>
  <c r="J84" i="1"/>
  <c r="B84" i="1"/>
  <c r="N83" i="1"/>
  <c r="K83" i="1"/>
  <c r="J83" i="1"/>
  <c r="B83" i="1"/>
  <c r="N82" i="1"/>
  <c r="B82" i="1"/>
  <c r="W81" i="1"/>
  <c r="V81" i="1"/>
  <c r="N81" i="1"/>
  <c r="B81" i="1"/>
  <c r="W80" i="1"/>
  <c r="V80" i="1"/>
  <c r="N80" i="1"/>
  <c r="B80" i="1"/>
  <c r="N79" i="1"/>
  <c r="J79" i="1"/>
  <c r="B79" i="1"/>
  <c r="V78" i="1"/>
  <c r="N78" i="1"/>
  <c r="K78" i="1"/>
  <c r="J78" i="1"/>
  <c r="B78" i="1"/>
  <c r="N77" i="1"/>
  <c r="K77" i="1"/>
  <c r="B77" i="1"/>
  <c r="N76" i="1"/>
  <c r="B76" i="1"/>
  <c r="W75" i="1"/>
  <c r="V75" i="1"/>
  <c r="N75" i="1"/>
  <c r="K75" i="1"/>
  <c r="B75" i="1"/>
  <c r="W74" i="1"/>
  <c r="V74" i="1"/>
  <c r="N74" i="1"/>
  <c r="B74" i="1"/>
  <c r="N73" i="1"/>
  <c r="J73" i="1"/>
  <c r="B73" i="1"/>
  <c r="V72" i="1"/>
  <c r="N72" i="1"/>
  <c r="K72" i="1"/>
  <c r="J72" i="1"/>
  <c r="B72" i="1"/>
  <c r="N71" i="1"/>
  <c r="K71" i="1"/>
  <c r="B71" i="1"/>
  <c r="N70" i="1"/>
  <c r="B70" i="1"/>
  <c r="W69" i="1"/>
  <c r="V69" i="1"/>
  <c r="N69" i="1"/>
  <c r="B69" i="1"/>
  <c r="W68" i="1"/>
  <c r="V68" i="1"/>
  <c r="N68" i="1"/>
  <c r="B68" i="1"/>
  <c r="N67" i="1"/>
  <c r="J67" i="1"/>
  <c r="B67" i="1"/>
  <c r="V66" i="1"/>
  <c r="N66" i="1"/>
  <c r="K66" i="1"/>
  <c r="J66" i="1"/>
  <c r="B66" i="1"/>
  <c r="W65" i="1"/>
  <c r="N65" i="1"/>
  <c r="K65" i="1"/>
  <c r="B65" i="1"/>
  <c r="N64" i="1"/>
  <c r="B64" i="1"/>
  <c r="W63" i="1"/>
  <c r="V63" i="1"/>
  <c r="N63" i="1"/>
  <c r="K63" i="1"/>
  <c r="B63" i="1"/>
  <c r="W62" i="1"/>
  <c r="V62" i="1"/>
  <c r="N62" i="1"/>
  <c r="B62" i="1"/>
  <c r="N61" i="1"/>
  <c r="B61" i="1"/>
  <c r="V60" i="1"/>
  <c r="N60" i="1"/>
  <c r="K60" i="1"/>
  <c r="J60" i="1"/>
  <c r="B60" i="1"/>
  <c r="W59" i="1"/>
  <c r="N59" i="1"/>
  <c r="K59" i="1"/>
  <c r="J59" i="1"/>
  <c r="B59" i="1"/>
  <c r="N58" i="1"/>
  <c r="B58" i="1"/>
  <c r="W57" i="1"/>
  <c r="V57" i="1"/>
  <c r="N57" i="1"/>
  <c r="B57" i="1"/>
  <c r="W56" i="1"/>
  <c r="V56" i="1"/>
  <c r="N56" i="1"/>
  <c r="B56" i="1"/>
  <c r="N55" i="1"/>
  <c r="B55" i="1"/>
  <c r="V54" i="1"/>
  <c r="N54" i="1"/>
  <c r="K54" i="1"/>
  <c r="J54" i="1"/>
  <c r="B54" i="1"/>
  <c r="W53" i="1"/>
  <c r="N53" i="1"/>
  <c r="K53" i="1"/>
  <c r="J53" i="1"/>
  <c r="B53" i="1"/>
  <c r="V52" i="1"/>
  <c r="N52" i="1"/>
  <c r="B52" i="1"/>
  <c r="W51" i="1"/>
  <c r="V51" i="1"/>
  <c r="N51" i="1"/>
  <c r="K51" i="1"/>
  <c r="B51" i="1"/>
  <c r="W50" i="1"/>
  <c r="V50" i="1"/>
  <c r="N50" i="1"/>
  <c r="B50" i="1"/>
  <c r="N49" i="1"/>
  <c r="K49" i="1"/>
  <c r="B49" i="1"/>
  <c r="V48" i="1"/>
  <c r="N48" i="1"/>
  <c r="K48" i="1"/>
  <c r="J48" i="1"/>
  <c r="B48" i="1"/>
  <c r="W47" i="1"/>
  <c r="N47" i="1"/>
  <c r="K47" i="1"/>
  <c r="B47" i="1"/>
  <c r="N46" i="1"/>
  <c r="B46" i="1"/>
  <c r="W45" i="1"/>
  <c r="V45" i="1"/>
  <c r="N45" i="1"/>
  <c r="K45" i="1"/>
  <c r="B45" i="1"/>
  <c r="W44" i="1"/>
  <c r="V44" i="1"/>
  <c r="N44" i="1"/>
  <c r="B44" i="1"/>
  <c r="N43" i="1"/>
  <c r="B43" i="1"/>
  <c r="V42" i="1"/>
  <c r="N42" i="1"/>
  <c r="K42" i="1"/>
  <c r="J42" i="1"/>
  <c r="B42" i="1"/>
  <c r="W41" i="1"/>
  <c r="N41" i="1"/>
  <c r="K41" i="1"/>
  <c r="B41" i="1"/>
  <c r="V40" i="1"/>
  <c r="N40" i="1"/>
  <c r="B40" i="1"/>
  <c r="W39" i="1"/>
  <c r="V39" i="1"/>
  <c r="N39" i="1"/>
  <c r="K39" i="1"/>
  <c r="B39" i="1"/>
  <c r="W38" i="1"/>
  <c r="V38" i="1"/>
  <c r="N38" i="1"/>
  <c r="B38" i="1"/>
  <c r="N37" i="1"/>
  <c r="B37" i="1"/>
  <c r="V36" i="1"/>
  <c r="N36" i="1"/>
  <c r="K36" i="1"/>
  <c r="J36" i="1"/>
  <c r="B36" i="1"/>
  <c r="W35" i="1"/>
  <c r="N35" i="1"/>
  <c r="K35" i="1"/>
  <c r="B35" i="1"/>
  <c r="V34" i="1"/>
  <c r="N34" i="1"/>
  <c r="B34" i="1"/>
  <c r="W33" i="1"/>
  <c r="V33" i="1"/>
  <c r="N33" i="1"/>
  <c r="B33" i="1"/>
  <c r="W32" i="1"/>
  <c r="V32" i="1"/>
  <c r="N32" i="1"/>
  <c r="B32" i="1"/>
  <c r="N31" i="1"/>
  <c r="B31" i="1"/>
  <c r="V30" i="1"/>
  <c r="N30" i="1"/>
  <c r="K30" i="1"/>
  <c r="J30" i="1"/>
  <c r="B30" i="1"/>
  <c r="W29" i="1"/>
  <c r="N29" i="1"/>
  <c r="K29" i="1"/>
  <c r="B29" i="1"/>
  <c r="N28" i="1"/>
  <c r="B28" i="1"/>
  <c r="W27" i="1"/>
  <c r="V27" i="1"/>
  <c r="N27" i="1"/>
  <c r="K27" i="1"/>
  <c r="J27" i="1"/>
  <c r="B27" i="1"/>
  <c r="W26" i="1"/>
  <c r="V26" i="1"/>
  <c r="N26" i="1"/>
  <c r="B26" i="1"/>
  <c r="N25" i="1"/>
  <c r="B25" i="1"/>
  <c r="W24" i="1"/>
  <c r="V24" i="1"/>
  <c r="N24" i="1"/>
  <c r="K24" i="1"/>
  <c r="J24" i="1"/>
  <c r="B24" i="1"/>
  <c r="W23" i="1"/>
  <c r="N23" i="1"/>
  <c r="K23" i="1"/>
  <c r="B23" i="1"/>
  <c r="V22" i="1"/>
  <c r="N22" i="1"/>
  <c r="B22" i="1"/>
  <c r="W21" i="1"/>
  <c r="V21" i="1"/>
  <c r="N21" i="1"/>
  <c r="B21" i="1"/>
  <c r="W20" i="1"/>
  <c r="V20" i="1"/>
  <c r="N20" i="1"/>
  <c r="B20" i="1"/>
  <c r="N19" i="1"/>
  <c r="K19" i="1"/>
  <c r="B19" i="1"/>
  <c r="W18" i="1"/>
  <c r="V18" i="1"/>
  <c r="N18" i="1"/>
  <c r="K18" i="1"/>
  <c r="J18" i="1"/>
  <c r="B18" i="1"/>
  <c r="W17" i="1"/>
  <c r="N17" i="1"/>
  <c r="K17" i="1"/>
  <c r="B17" i="1"/>
  <c r="V16" i="1"/>
  <c r="N16" i="1"/>
  <c r="J16" i="1"/>
  <c r="B16" i="1"/>
  <c r="N15" i="1"/>
  <c r="K15" i="1"/>
  <c r="J15" i="1"/>
  <c r="B15" i="1"/>
  <c r="V14" i="1"/>
  <c r="N14" i="1"/>
  <c r="B14" i="1"/>
  <c r="W13" i="1"/>
  <c r="N13" i="1"/>
  <c r="K13" i="1"/>
  <c r="B13" i="1"/>
  <c r="N12" i="1"/>
  <c r="J12" i="1"/>
  <c r="B12" i="1"/>
  <c r="W11" i="1"/>
  <c r="V11" i="1"/>
  <c r="N11" i="1"/>
  <c r="K11" i="1"/>
  <c r="J11" i="1"/>
  <c r="B11" i="1"/>
  <c r="V10" i="1"/>
  <c r="N10" i="1"/>
  <c r="B10" i="1"/>
  <c r="N9" i="1"/>
  <c r="B9" i="1"/>
  <c r="W8" i="1"/>
  <c r="V8" i="1"/>
  <c r="N8" i="1"/>
  <c r="B8" i="1"/>
  <c r="N7" i="1"/>
  <c r="M7" i="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K7" i="1"/>
  <c r="B7" i="1"/>
  <c r="A7" i="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N6" i="1"/>
  <c r="M6" i="1"/>
  <c r="J6" i="1"/>
  <c r="B6" i="1"/>
  <c r="A6" i="1"/>
  <c r="L3" i="1" a="1"/>
  <c r="L3" i="1" s="1"/>
  <c r="L2" i="1"/>
  <c r="M6" i="31"/>
  <c r="M7" i="31" s="1"/>
  <c r="M8" i="31" s="1"/>
  <c r="M9" i="31" s="1"/>
  <c r="M10" i="31" s="1"/>
  <c r="M11" i="31" s="1"/>
  <c r="M12" i="31" s="1"/>
  <c r="M13" i="31" s="1"/>
  <c r="M14" i="31" s="1"/>
  <c r="M15" i="31" s="1"/>
  <c r="M16" i="31" s="1"/>
  <c r="M17" i="31" s="1"/>
  <c r="M18" i="31" s="1"/>
  <c r="M19" i="31" s="1"/>
  <c r="M20" i="31" s="1"/>
  <c r="M21" i="31" s="1"/>
  <c r="M22" i="31" s="1"/>
  <c r="M23" i="31" s="1"/>
  <c r="M24" i="31" s="1"/>
  <c r="M25" i="31" s="1"/>
  <c r="M26" i="31" s="1"/>
  <c r="M27" i="31" s="1"/>
  <c r="M28" i="31" s="1"/>
  <c r="M29" i="31" s="1"/>
  <c r="M30" i="31" s="1"/>
  <c r="M31" i="31" s="1"/>
  <c r="M32" i="31" s="1"/>
  <c r="M33" i="31" s="1"/>
  <c r="M34" i="31" s="1"/>
  <c r="A8" i="31"/>
  <c r="A9" i="31" s="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7" i="31"/>
  <c r="A6" i="31"/>
  <c r="N34" i="31"/>
  <c r="K34" i="31"/>
  <c r="B34" i="31"/>
  <c r="N33" i="31"/>
  <c r="B33" i="31"/>
  <c r="N32" i="31"/>
  <c r="J32" i="31"/>
  <c r="B32" i="31"/>
  <c r="V31" i="31"/>
  <c r="W31" i="31"/>
  <c r="N31" i="31"/>
  <c r="K31" i="31"/>
  <c r="B31" i="31"/>
  <c r="W30" i="31"/>
  <c r="V30" i="31"/>
  <c r="N30" i="31"/>
  <c r="J30" i="31"/>
  <c r="B30" i="31"/>
  <c r="N29" i="31"/>
  <c r="B29" i="31"/>
  <c r="W28" i="31"/>
  <c r="N28" i="31"/>
  <c r="B28" i="31"/>
  <c r="V27" i="31"/>
  <c r="W27" i="31"/>
  <c r="N27" i="31"/>
  <c r="B27" i="31"/>
  <c r="W26" i="31"/>
  <c r="N26" i="31"/>
  <c r="J26" i="31"/>
  <c r="B26" i="31"/>
  <c r="W25" i="31"/>
  <c r="N25" i="31"/>
  <c r="B25" i="31"/>
  <c r="W24" i="31"/>
  <c r="V24" i="31"/>
  <c r="N24" i="31"/>
  <c r="J24" i="31"/>
  <c r="B24" i="31"/>
  <c r="N23" i="31"/>
  <c r="B23" i="31"/>
  <c r="N22" i="31"/>
  <c r="J22" i="31"/>
  <c r="B22" i="31"/>
  <c r="V21" i="31"/>
  <c r="W21" i="31"/>
  <c r="N21" i="31"/>
  <c r="B21" i="31"/>
  <c r="N20" i="31"/>
  <c r="B20" i="31"/>
  <c r="W19" i="31"/>
  <c r="N19" i="31"/>
  <c r="K19" i="31"/>
  <c r="B19" i="31"/>
  <c r="W18" i="31"/>
  <c r="V18" i="31"/>
  <c r="N18" i="31"/>
  <c r="J18" i="31"/>
  <c r="B18" i="31"/>
  <c r="N17" i="31"/>
  <c r="B17" i="31"/>
  <c r="N16" i="31"/>
  <c r="J16" i="31"/>
  <c r="B16" i="31"/>
  <c r="W15" i="31"/>
  <c r="N15" i="31"/>
  <c r="B15" i="31"/>
  <c r="W14" i="31"/>
  <c r="N14" i="31"/>
  <c r="B14" i="31"/>
  <c r="N13" i="31"/>
  <c r="B13" i="31"/>
  <c r="V12" i="31"/>
  <c r="N12" i="31"/>
  <c r="B12" i="31"/>
  <c r="N11" i="31"/>
  <c r="B11" i="31"/>
  <c r="N10" i="31"/>
  <c r="B10" i="31"/>
  <c r="N9" i="31"/>
  <c r="J9" i="31"/>
  <c r="B9" i="31"/>
  <c r="N8" i="31"/>
  <c r="B8" i="31"/>
  <c r="N7" i="31"/>
  <c r="B7" i="31"/>
  <c r="W6" i="31"/>
  <c r="V6" i="31"/>
  <c r="N6" i="31"/>
  <c r="B6" i="31"/>
  <c r="V5" i="31"/>
  <c r="L3" i="31" a="1"/>
  <c r="L3" i="31" s="1"/>
  <c r="X3" i="31" a="1"/>
  <c r="X3" i="31" s="1"/>
  <c r="X2" i="31"/>
  <c r="L2" i="31"/>
  <c r="W115" i="15"/>
  <c r="N115" i="15"/>
  <c r="B115" i="15"/>
  <c r="N114" i="15"/>
  <c r="K114" i="15"/>
  <c r="J114" i="15"/>
  <c r="B114" i="15"/>
  <c r="W113" i="15"/>
  <c r="N113" i="15"/>
  <c r="J113" i="15"/>
  <c r="K113" i="15"/>
  <c r="B113" i="15"/>
  <c r="N112" i="15"/>
  <c r="K112" i="15"/>
  <c r="B112" i="15"/>
  <c r="V111" i="15"/>
  <c r="N111" i="15"/>
  <c r="K111" i="15"/>
  <c r="J111" i="15"/>
  <c r="B111" i="15"/>
  <c r="W110" i="15"/>
  <c r="V110" i="15"/>
  <c r="N110" i="15"/>
  <c r="B110" i="15"/>
  <c r="W109" i="15"/>
  <c r="V109" i="15"/>
  <c r="N109" i="15"/>
  <c r="B109" i="15"/>
  <c r="N108" i="15"/>
  <c r="K108" i="15"/>
  <c r="J108" i="15"/>
  <c r="B108" i="15"/>
  <c r="W107" i="15"/>
  <c r="N107" i="15"/>
  <c r="J107" i="15"/>
  <c r="K107" i="15"/>
  <c r="B107" i="15"/>
  <c r="N106" i="15"/>
  <c r="K106" i="15"/>
  <c r="J106" i="15"/>
  <c r="B106" i="15"/>
  <c r="N105" i="15"/>
  <c r="K105" i="15"/>
  <c r="J105" i="15"/>
  <c r="B105" i="15"/>
  <c r="W104" i="15"/>
  <c r="V104" i="15"/>
  <c r="N104" i="15"/>
  <c r="B104" i="15"/>
  <c r="W103" i="15"/>
  <c r="V103" i="15"/>
  <c r="N103" i="15"/>
  <c r="B103" i="15"/>
  <c r="N102" i="15"/>
  <c r="K102" i="15"/>
  <c r="J102" i="15"/>
  <c r="B102" i="15"/>
  <c r="W101" i="15"/>
  <c r="N101" i="15"/>
  <c r="J101" i="15"/>
  <c r="K101" i="15"/>
  <c r="B101" i="15"/>
  <c r="N100" i="15"/>
  <c r="K100" i="15"/>
  <c r="J100" i="15"/>
  <c r="B100" i="15"/>
  <c r="V99" i="15"/>
  <c r="N99" i="15"/>
  <c r="K99" i="15"/>
  <c r="J99" i="15"/>
  <c r="B99" i="15"/>
  <c r="W98" i="15"/>
  <c r="V98" i="15"/>
  <c r="N98" i="15"/>
  <c r="B98" i="15"/>
  <c r="W97" i="15"/>
  <c r="V97" i="15"/>
  <c r="N97" i="15"/>
  <c r="B97" i="15"/>
  <c r="N96" i="15"/>
  <c r="K96" i="15"/>
  <c r="J96" i="15"/>
  <c r="B96" i="15"/>
  <c r="W95" i="15"/>
  <c r="N95" i="15"/>
  <c r="J95" i="15"/>
  <c r="K95" i="15"/>
  <c r="B95" i="15"/>
  <c r="N94" i="15"/>
  <c r="K94" i="15"/>
  <c r="J94" i="15"/>
  <c r="B94" i="15"/>
  <c r="N93" i="15"/>
  <c r="J93" i="15"/>
  <c r="B93" i="15"/>
  <c r="W92" i="15"/>
  <c r="V92" i="15"/>
  <c r="N92" i="15"/>
  <c r="K92" i="15"/>
  <c r="B92" i="15"/>
  <c r="W91" i="15"/>
  <c r="V91" i="15"/>
  <c r="N91" i="15"/>
  <c r="B91" i="15"/>
  <c r="N90" i="15"/>
  <c r="K90" i="15"/>
  <c r="J90" i="15"/>
  <c r="B90" i="15"/>
  <c r="W89" i="15"/>
  <c r="N89" i="15"/>
  <c r="J89" i="15"/>
  <c r="K89" i="15"/>
  <c r="B89" i="15"/>
  <c r="N88" i="15"/>
  <c r="K88" i="15"/>
  <c r="J88" i="15"/>
  <c r="B88" i="15"/>
  <c r="V87" i="15"/>
  <c r="N87" i="15"/>
  <c r="J87" i="15"/>
  <c r="B87" i="15"/>
  <c r="W86" i="15"/>
  <c r="V86" i="15"/>
  <c r="N86" i="15"/>
  <c r="K86" i="15"/>
  <c r="B86" i="15"/>
  <c r="W85" i="15"/>
  <c r="V85" i="15"/>
  <c r="N85" i="15"/>
  <c r="B85" i="15"/>
  <c r="N84" i="15"/>
  <c r="K84" i="15"/>
  <c r="J84" i="15"/>
  <c r="B84" i="15"/>
  <c r="W83" i="15"/>
  <c r="N83" i="15"/>
  <c r="J83" i="15"/>
  <c r="K83" i="15"/>
  <c r="B83" i="15"/>
  <c r="N82" i="15"/>
  <c r="K82" i="15"/>
  <c r="J82" i="15"/>
  <c r="B82" i="15"/>
  <c r="N81" i="15"/>
  <c r="J81" i="15"/>
  <c r="B81" i="15"/>
  <c r="W80" i="15"/>
  <c r="V80" i="15"/>
  <c r="N80" i="15"/>
  <c r="K80" i="15"/>
  <c r="B80" i="15"/>
  <c r="W79" i="15"/>
  <c r="V79" i="15"/>
  <c r="N79" i="15"/>
  <c r="B79" i="15"/>
  <c r="N78" i="15"/>
  <c r="K78" i="15"/>
  <c r="J78" i="15"/>
  <c r="B78" i="15"/>
  <c r="W77" i="15"/>
  <c r="N77" i="15"/>
  <c r="J77" i="15"/>
  <c r="K77" i="15"/>
  <c r="B77" i="15"/>
  <c r="N76" i="15"/>
  <c r="K76" i="15"/>
  <c r="J76" i="15"/>
  <c r="B76" i="15"/>
  <c r="V75" i="15"/>
  <c r="N75" i="15"/>
  <c r="J75" i="15"/>
  <c r="B75" i="15"/>
  <c r="W74" i="15"/>
  <c r="V74" i="15"/>
  <c r="N74" i="15"/>
  <c r="K74" i="15"/>
  <c r="B74" i="15"/>
  <c r="W73" i="15"/>
  <c r="V73" i="15"/>
  <c r="N73" i="15"/>
  <c r="B73" i="15"/>
  <c r="W72" i="15"/>
  <c r="N72" i="15"/>
  <c r="K72" i="15"/>
  <c r="J72" i="15"/>
  <c r="B72" i="15"/>
  <c r="W71" i="15"/>
  <c r="N71" i="15"/>
  <c r="K71" i="15"/>
  <c r="B71" i="15"/>
  <c r="N70" i="15"/>
  <c r="K70" i="15"/>
  <c r="J70" i="15"/>
  <c r="B70" i="15"/>
  <c r="N69" i="15"/>
  <c r="J69" i="15"/>
  <c r="B69" i="15"/>
  <c r="W68" i="15"/>
  <c r="V68" i="15"/>
  <c r="N68" i="15"/>
  <c r="K68" i="15"/>
  <c r="B68" i="15"/>
  <c r="W67" i="15"/>
  <c r="V67" i="15"/>
  <c r="N67" i="15"/>
  <c r="B67" i="15"/>
  <c r="W66" i="15"/>
  <c r="N66" i="15"/>
  <c r="K66" i="15"/>
  <c r="J66" i="15"/>
  <c r="B66" i="15"/>
  <c r="W65" i="15"/>
  <c r="N65" i="15"/>
  <c r="K65" i="15"/>
  <c r="B65" i="15"/>
  <c r="N64" i="15"/>
  <c r="K64" i="15"/>
  <c r="J64" i="15"/>
  <c r="B64" i="15"/>
  <c r="V63" i="15"/>
  <c r="N63" i="15"/>
  <c r="J63" i="15"/>
  <c r="B63" i="15"/>
  <c r="W62" i="15"/>
  <c r="V62" i="15"/>
  <c r="N62" i="15"/>
  <c r="K62" i="15"/>
  <c r="J62" i="15"/>
  <c r="B62" i="15"/>
  <c r="W61" i="15"/>
  <c r="V61" i="15"/>
  <c r="N61" i="15"/>
  <c r="B61" i="15"/>
  <c r="W60" i="15"/>
  <c r="N60" i="15"/>
  <c r="K60" i="15"/>
  <c r="J60" i="15"/>
  <c r="B60" i="15"/>
  <c r="W59" i="15"/>
  <c r="V59" i="15"/>
  <c r="N59" i="15"/>
  <c r="K59" i="15"/>
  <c r="B59" i="15"/>
  <c r="N58" i="15"/>
  <c r="K58" i="15"/>
  <c r="J58" i="15"/>
  <c r="B58" i="15"/>
  <c r="N57" i="15"/>
  <c r="J57" i="15"/>
  <c r="B57" i="15"/>
  <c r="W56" i="15"/>
  <c r="V56" i="15"/>
  <c r="N56" i="15"/>
  <c r="K56" i="15"/>
  <c r="B56" i="15"/>
  <c r="W55" i="15"/>
  <c r="V55" i="15"/>
  <c r="N55" i="15"/>
  <c r="B55" i="15"/>
  <c r="W54" i="15"/>
  <c r="N54" i="15"/>
  <c r="K54" i="15"/>
  <c r="J54" i="15"/>
  <c r="B54" i="15"/>
  <c r="W53" i="15"/>
  <c r="N53" i="15"/>
  <c r="K53" i="15"/>
  <c r="B53" i="15"/>
  <c r="N52" i="15"/>
  <c r="K52" i="15"/>
  <c r="J52" i="15"/>
  <c r="B52" i="15"/>
  <c r="V51" i="15"/>
  <c r="N51" i="15"/>
  <c r="J51" i="15"/>
  <c r="B51" i="15"/>
  <c r="W50" i="15"/>
  <c r="V50" i="15"/>
  <c r="N50" i="15"/>
  <c r="K50" i="15"/>
  <c r="B50" i="15"/>
  <c r="W49" i="15"/>
  <c r="V49" i="15"/>
  <c r="N49" i="15"/>
  <c r="B49" i="15"/>
  <c r="W48" i="15"/>
  <c r="N48" i="15"/>
  <c r="K48" i="15"/>
  <c r="J48" i="15"/>
  <c r="B48" i="15"/>
  <c r="W47" i="15"/>
  <c r="N47" i="15"/>
  <c r="K47" i="15"/>
  <c r="B47" i="15"/>
  <c r="N46" i="15"/>
  <c r="K46" i="15"/>
  <c r="J46" i="15"/>
  <c r="B46" i="15"/>
  <c r="N45" i="15"/>
  <c r="J45" i="15"/>
  <c r="B45" i="15"/>
  <c r="W44" i="15"/>
  <c r="V44" i="15"/>
  <c r="N44" i="15"/>
  <c r="K44" i="15"/>
  <c r="B44" i="15"/>
  <c r="W43" i="15"/>
  <c r="V43" i="15"/>
  <c r="N43" i="15"/>
  <c r="B43" i="15"/>
  <c r="W42" i="15"/>
  <c r="N42" i="15"/>
  <c r="K42" i="15"/>
  <c r="J42" i="15"/>
  <c r="B42" i="15"/>
  <c r="W41" i="15"/>
  <c r="N41" i="15"/>
  <c r="B41" i="15"/>
  <c r="N40" i="15"/>
  <c r="K40" i="15"/>
  <c r="J40" i="15"/>
  <c r="B40" i="15"/>
  <c r="N39" i="15"/>
  <c r="J39" i="15"/>
  <c r="B39" i="15"/>
  <c r="W38" i="15"/>
  <c r="V38" i="15"/>
  <c r="N38" i="15"/>
  <c r="K38" i="15"/>
  <c r="B38" i="15"/>
  <c r="W37" i="15"/>
  <c r="V37" i="15"/>
  <c r="N37" i="15"/>
  <c r="B37" i="15"/>
  <c r="W36" i="15"/>
  <c r="N36" i="15"/>
  <c r="K36" i="15"/>
  <c r="J36" i="15"/>
  <c r="B36" i="15"/>
  <c r="W35" i="15"/>
  <c r="N35" i="15"/>
  <c r="B35" i="15"/>
  <c r="N34" i="15"/>
  <c r="K34" i="15"/>
  <c r="J34" i="15"/>
  <c r="B34" i="15"/>
  <c r="N33" i="15"/>
  <c r="J33" i="15"/>
  <c r="B33" i="15"/>
  <c r="W32" i="15"/>
  <c r="V32" i="15"/>
  <c r="N32" i="15"/>
  <c r="K32" i="15"/>
  <c r="B32" i="15"/>
  <c r="W31" i="15"/>
  <c r="V31" i="15"/>
  <c r="N31" i="15"/>
  <c r="B31" i="15"/>
  <c r="W30" i="15"/>
  <c r="N30" i="15"/>
  <c r="K30" i="15"/>
  <c r="J30" i="15"/>
  <c r="B30" i="15"/>
  <c r="W29" i="15"/>
  <c r="N29" i="15"/>
  <c r="J29" i="15"/>
  <c r="K29" i="15"/>
  <c r="B29" i="15"/>
  <c r="N28" i="15"/>
  <c r="K28" i="15"/>
  <c r="J28" i="15"/>
  <c r="B28" i="15"/>
  <c r="V27" i="15"/>
  <c r="N27" i="15"/>
  <c r="J27" i="15"/>
  <c r="B27" i="15"/>
  <c r="W26" i="15"/>
  <c r="V26" i="15"/>
  <c r="N26" i="15"/>
  <c r="K26" i="15"/>
  <c r="B26" i="15"/>
  <c r="W25" i="15"/>
  <c r="V25" i="15"/>
  <c r="N25" i="15"/>
  <c r="B25" i="15"/>
  <c r="W24" i="15"/>
  <c r="N24" i="15"/>
  <c r="K24" i="15"/>
  <c r="J24" i="15"/>
  <c r="B24" i="15"/>
  <c r="W23" i="15"/>
  <c r="N23" i="15"/>
  <c r="J23" i="15"/>
  <c r="K23" i="15"/>
  <c r="B23" i="15"/>
  <c r="N22" i="15"/>
  <c r="K22" i="15"/>
  <c r="J22" i="15"/>
  <c r="B22" i="15"/>
  <c r="N21" i="15"/>
  <c r="J21" i="15"/>
  <c r="B21" i="15"/>
  <c r="W20" i="15"/>
  <c r="V20" i="15"/>
  <c r="N20" i="15"/>
  <c r="K20" i="15"/>
  <c r="B20" i="15"/>
  <c r="W19" i="15"/>
  <c r="V19" i="15"/>
  <c r="N19" i="15"/>
  <c r="B19" i="15"/>
  <c r="W18" i="15"/>
  <c r="N18" i="15"/>
  <c r="K18" i="15"/>
  <c r="J18" i="15"/>
  <c r="B18" i="15"/>
  <c r="N17" i="15"/>
  <c r="K17" i="15"/>
  <c r="B17" i="15"/>
  <c r="N16" i="15"/>
  <c r="K16" i="15"/>
  <c r="J16" i="15"/>
  <c r="B16" i="15"/>
  <c r="V15" i="15"/>
  <c r="N15" i="15"/>
  <c r="K15" i="15"/>
  <c r="J15" i="15"/>
  <c r="B15" i="15"/>
  <c r="W14" i="15"/>
  <c r="V14" i="15"/>
  <c r="N14" i="15"/>
  <c r="B14" i="15"/>
  <c r="N13" i="15"/>
  <c r="J13" i="15"/>
  <c r="B13" i="15"/>
  <c r="N12" i="15"/>
  <c r="K12" i="15"/>
  <c r="J12" i="15"/>
  <c r="B12" i="15"/>
  <c r="W11" i="15"/>
  <c r="V11" i="15"/>
  <c r="N11" i="15"/>
  <c r="K11" i="15"/>
  <c r="J11" i="15"/>
  <c r="B11" i="15"/>
  <c r="W10" i="15"/>
  <c r="V10" i="15"/>
  <c r="N10" i="15"/>
  <c r="J10" i="15"/>
  <c r="B10" i="15"/>
  <c r="N9" i="15"/>
  <c r="J9" i="15"/>
  <c r="B9" i="15"/>
  <c r="W8" i="15"/>
  <c r="V8" i="15"/>
  <c r="N8" i="15"/>
  <c r="K8" i="15"/>
  <c r="J8" i="15"/>
  <c r="B8" i="15"/>
  <c r="A8" i="15"/>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W7" i="15"/>
  <c r="N7" i="15"/>
  <c r="M7" i="15"/>
  <c r="M8" i="15" s="1"/>
  <c r="M9" i="15" s="1"/>
  <c r="M10" i="15" s="1"/>
  <c r="M11" i="15" s="1"/>
  <c r="M12" i="15" s="1"/>
  <c r="M13" i="15" s="1"/>
  <c r="M14" i="15" s="1"/>
  <c r="M15" i="15" s="1"/>
  <c r="M16" i="15" s="1"/>
  <c r="M17" i="15" s="1"/>
  <c r="M18" i="15" s="1"/>
  <c r="M19" i="15" s="1"/>
  <c r="M20" i="15" s="1"/>
  <c r="M21" i="15" s="1"/>
  <c r="M22" i="15" s="1"/>
  <c r="M23" i="15" s="1"/>
  <c r="M24" i="15" s="1"/>
  <c r="M25" i="15" s="1"/>
  <c r="M26" i="15" s="1"/>
  <c r="M27" i="15" s="1"/>
  <c r="M28" i="15" s="1"/>
  <c r="M29" i="15" s="1"/>
  <c r="M30" i="15" s="1"/>
  <c r="M31" i="15" s="1"/>
  <c r="M32" i="15" s="1"/>
  <c r="M33" i="15" s="1"/>
  <c r="M34" i="15" s="1"/>
  <c r="M35" i="15" s="1"/>
  <c r="M36" i="15" s="1"/>
  <c r="M37" i="15" s="1"/>
  <c r="M38" i="15" s="1"/>
  <c r="M39" i="15" s="1"/>
  <c r="M40" i="15" s="1"/>
  <c r="M41" i="15" s="1"/>
  <c r="M42" i="15" s="1"/>
  <c r="M43" i="15" s="1"/>
  <c r="M44" i="15" s="1"/>
  <c r="M45" i="15" s="1"/>
  <c r="M46" i="15" s="1"/>
  <c r="M47" i="15" s="1"/>
  <c r="M48" i="15" s="1"/>
  <c r="M49" i="15" s="1"/>
  <c r="M50" i="15" s="1"/>
  <c r="M51" i="15" s="1"/>
  <c r="M52" i="15" s="1"/>
  <c r="M53" i="15" s="1"/>
  <c r="M54" i="15" s="1"/>
  <c r="M55" i="15" s="1"/>
  <c r="M56" i="15" s="1"/>
  <c r="M57" i="15" s="1"/>
  <c r="M58" i="15" s="1"/>
  <c r="M59" i="15" s="1"/>
  <c r="M60" i="15" s="1"/>
  <c r="M61" i="15" s="1"/>
  <c r="M62" i="15" s="1"/>
  <c r="M63" i="15" s="1"/>
  <c r="M64" i="15" s="1"/>
  <c r="M65" i="15" s="1"/>
  <c r="M66" i="15" s="1"/>
  <c r="M67" i="15" s="1"/>
  <c r="M68" i="15" s="1"/>
  <c r="M69" i="15" s="1"/>
  <c r="M70" i="15" s="1"/>
  <c r="M71" i="15" s="1"/>
  <c r="M72" i="15" s="1"/>
  <c r="M73" i="15" s="1"/>
  <c r="M74" i="15" s="1"/>
  <c r="M75" i="15" s="1"/>
  <c r="M76" i="15" s="1"/>
  <c r="M77" i="15" s="1"/>
  <c r="M78" i="15" s="1"/>
  <c r="M79" i="15" s="1"/>
  <c r="M80" i="15" s="1"/>
  <c r="M81" i="15" s="1"/>
  <c r="M82" i="15" s="1"/>
  <c r="M83" i="15" s="1"/>
  <c r="M84" i="15" s="1"/>
  <c r="M85" i="15" s="1"/>
  <c r="M86" i="15" s="1"/>
  <c r="M87" i="15" s="1"/>
  <c r="M88" i="15" s="1"/>
  <c r="M89" i="15" s="1"/>
  <c r="M90" i="15" s="1"/>
  <c r="M91" i="15" s="1"/>
  <c r="M92" i="15" s="1"/>
  <c r="M93" i="15" s="1"/>
  <c r="M94" i="15" s="1"/>
  <c r="M95" i="15" s="1"/>
  <c r="M96" i="15" s="1"/>
  <c r="M97" i="15" s="1"/>
  <c r="M98" i="15" s="1"/>
  <c r="M99" i="15" s="1"/>
  <c r="M100" i="15" s="1"/>
  <c r="M101" i="15" s="1"/>
  <c r="M102" i="15" s="1"/>
  <c r="M103" i="15" s="1"/>
  <c r="M104" i="15" s="1"/>
  <c r="M105" i="15" s="1"/>
  <c r="M106" i="15" s="1"/>
  <c r="M107" i="15" s="1"/>
  <c r="M108" i="15" s="1"/>
  <c r="M109" i="15" s="1"/>
  <c r="M110" i="15" s="1"/>
  <c r="M111" i="15" s="1"/>
  <c r="M112" i="15" s="1"/>
  <c r="M113" i="15" s="1"/>
  <c r="M114" i="15" s="1"/>
  <c r="M115" i="15" s="1"/>
  <c r="B7" i="15"/>
  <c r="A7" i="15"/>
  <c r="N6" i="15"/>
  <c r="M6" i="15"/>
  <c r="K6" i="15"/>
  <c r="J6" i="15"/>
  <c r="B6" i="15"/>
  <c r="A6" i="15"/>
  <c r="U3" i="15" a="1"/>
  <c r="U3" i="15" s="1"/>
  <c r="J5" i="15"/>
  <c r="L3" i="15" a="1"/>
  <c r="L3" i="15" s="1"/>
  <c r="X3" i="15" a="1"/>
  <c r="X3" i="15" s="1"/>
  <c r="X2" i="15"/>
  <c r="L2" i="15"/>
  <c r="M6" i="4"/>
  <c r="M7" i="4" s="1"/>
  <c r="M8" i="4" s="1"/>
  <c r="M9" i="4" s="1"/>
  <c r="M10" i="4" s="1"/>
  <c r="M11" i="4" s="1"/>
  <c r="M12" i="4" s="1"/>
  <c r="M13" i="4" s="1"/>
  <c r="M14" i="4" s="1"/>
  <c r="M15" i="4" s="1"/>
  <c r="M16" i="4" s="1"/>
  <c r="M17" i="4" s="1"/>
  <c r="M18" i="4" s="1"/>
  <c r="M19" i="4" s="1"/>
  <c r="M20" i="4" s="1"/>
  <c r="M21" i="4" s="1"/>
  <c r="M22" i="4" s="1"/>
  <c r="M23" i="4" s="1"/>
  <c r="M24" i="4" s="1"/>
  <c r="M25" i="4" s="1"/>
  <c r="M26" i="4" s="1"/>
  <c r="M27" i="4" s="1"/>
  <c r="M28" i="4" s="1"/>
  <c r="M29" i="4" s="1"/>
  <c r="M30" i="4" s="1"/>
  <c r="M31" i="4" s="1"/>
  <c r="M32" i="4" s="1"/>
  <c r="M33" i="4" s="1"/>
  <c r="M34" i="4" s="1"/>
  <c r="M35" i="4" s="1"/>
  <c r="M36" i="4" s="1"/>
  <c r="M37" i="4" s="1"/>
  <c r="M38" i="4" s="1"/>
  <c r="M39" i="4" s="1"/>
  <c r="M40" i="4" s="1"/>
  <c r="M41" i="4" s="1"/>
  <c r="M42" i="4" s="1"/>
  <c r="M43" i="4" s="1"/>
  <c r="M44" i="4" s="1"/>
  <c r="M45" i="4" s="1"/>
  <c r="M46" i="4" s="1"/>
  <c r="M47" i="4" s="1"/>
  <c r="M48" i="4" s="1"/>
  <c r="M49" i="4" s="1"/>
  <c r="M50" i="4" s="1"/>
  <c r="M51" i="4" s="1"/>
  <c r="M52" i="4" s="1"/>
  <c r="M53" i="4" s="1"/>
  <c r="M54" i="4" s="1"/>
  <c r="M55" i="4" s="1"/>
  <c r="M56" i="4" s="1"/>
  <c r="M57" i="4" s="1"/>
  <c r="M58" i="4" s="1"/>
  <c r="M59" i="4" s="1"/>
  <c r="M60" i="4" s="1"/>
  <c r="M61" i="4" s="1"/>
  <c r="M62" i="4" s="1"/>
  <c r="M63" i="4" s="1"/>
  <c r="M64" i="4" s="1"/>
  <c r="M65" i="4" s="1"/>
  <c r="M66" i="4" s="1"/>
  <c r="M67" i="4" s="1"/>
  <c r="M68" i="4" s="1"/>
  <c r="M69" i="4" s="1"/>
  <c r="M70" i="4" s="1"/>
  <c r="M71" i="4" s="1"/>
  <c r="M72" i="4" s="1"/>
  <c r="M73" i="4" s="1"/>
  <c r="M74" i="4" s="1"/>
  <c r="M75" i="4" s="1"/>
  <c r="M76" i="4" s="1"/>
  <c r="M77" i="4" s="1"/>
  <c r="M78" i="4" s="1"/>
  <c r="M79" i="4" s="1"/>
  <c r="M80" i="4" s="1"/>
  <c r="M81" i="4" s="1"/>
  <c r="M82" i="4" s="1"/>
  <c r="M83" i="4" s="1"/>
  <c r="M84" i="4" s="1"/>
  <c r="M85" i="4" s="1"/>
  <c r="M86" i="4" s="1"/>
  <c r="M87" i="4" s="1"/>
  <c r="M88" i="4" s="1"/>
  <c r="M89" i="4" s="1"/>
  <c r="M90" i="4" s="1"/>
  <c r="M91" i="4" s="1"/>
  <c r="M92" i="4" s="1"/>
  <c r="M93" i="4" s="1"/>
  <c r="M94" i="4" s="1"/>
  <c r="M95" i="4" s="1"/>
  <c r="M96" i="4" s="1"/>
  <c r="M97" i="4" s="1"/>
  <c r="M98" i="4" s="1"/>
  <c r="M99" i="4" s="1"/>
  <c r="M100" i="4" s="1"/>
  <c r="M101" i="4" s="1"/>
  <c r="M102" i="4" s="1"/>
  <c r="M103" i="4" s="1"/>
  <c r="M104" i="4" s="1"/>
  <c r="M105" i="4" s="1"/>
  <c r="M106" i="4" s="1"/>
  <c r="M107" i="4" s="1"/>
  <c r="M108" i="4" s="1"/>
  <c r="M109" i="4" s="1"/>
  <c r="M110" i="4" s="1"/>
  <c r="M111" i="4" s="1"/>
  <c r="M112" i="4" s="1"/>
  <c r="M113" i="4" s="1"/>
  <c r="M114" i="4" s="1"/>
  <c r="M115"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7" i="4"/>
  <c r="A6" i="4"/>
  <c r="V115" i="4"/>
  <c r="N115" i="4"/>
  <c r="B115" i="4"/>
  <c r="V114" i="4"/>
  <c r="W114" i="4"/>
  <c r="N114" i="4"/>
  <c r="J114" i="4"/>
  <c r="B114" i="4"/>
  <c r="N113" i="4"/>
  <c r="B113" i="4"/>
  <c r="N112" i="4"/>
  <c r="B112" i="4"/>
  <c r="N111" i="4"/>
  <c r="B111" i="4"/>
  <c r="V110" i="4"/>
  <c r="W110" i="4"/>
  <c r="N110" i="4"/>
  <c r="B110" i="4"/>
  <c r="V109" i="4"/>
  <c r="N109" i="4"/>
  <c r="B109" i="4"/>
  <c r="W108" i="4"/>
  <c r="V108" i="4"/>
  <c r="N108" i="4"/>
  <c r="J108" i="4"/>
  <c r="B108" i="4"/>
  <c r="N107" i="4"/>
  <c r="B107" i="4"/>
  <c r="N106" i="4"/>
  <c r="B106" i="4"/>
  <c r="W105" i="4"/>
  <c r="N105" i="4"/>
  <c r="B105" i="4"/>
  <c r="W104" i="4"/>
  <c r="N104" i="4"/>
  <c r="B104" i="4"/>
  <c r="N103" i="4"/>
  <c r="B103" i="4"/>
  <c r="N102" i="4"/>
  <c r="J102" i="4"/>
  <c r="B102" i="4"/>
  <c r="N101" i="4"/>
  <c r="B101" i="4"/>
  <c r="N100" i="4"/>
  <c r="B100" i="4"/>
  <c r="W99" i="4"/>
  <c r="V99" i="4"/>
  <c r="N99" i="4"/>
  <c r="B99" i="4"/>
  <c r="W98" i="4"/>
  <c r="N98" i="4"/>
  <c r="B98" i="4"/>
  <c r="V97" i="4"/>
  <c r="N97" i="4"/>
  <c r="J97" i="4"/>
  <c r="B97" i="4"/>
  <c r="N96" i="4"/>
  <c r="J96" i="4"/>
  <c r="B96" i="4"/>
  <c r="N95" i="4"/>
  <c r="B95" i="4"/>
  <c r="N94" i="4"/>
  <c r="B94" i="4"/>
  <c r="N93" i="4"/>
  <c r="B93" i="4"/>
  <c r="W92" i="4"/>
  <c r="N92" i="4"/>
  <c r="B92" i="4"/>
  <c r="N91" i="4"/>
  <c r="B91" i="4"/>
  <c r="W90" i="4"/>
  <c r="V90" i="4"/>
  <c r="N90" i="4"/>
  <c r="K90" i="4"/>
  <c r="J90" i="4"/>
  <c r="B90" i="4"/>
  <c r="N89" i="4"/>
  <c r="B89" i="4"/>
  <c r="N88" i="4"/>
  <c r="B88" i="4"/>
  <c r="N87" i="4"/>
  <c r="B87" i="4"/>
  <c r="W86" i="4"/>
  <c r="N86" i="4"/>
  <c r="B86" i="4"/>
  <c r="N85" i="4"/>
  <c r="B85" i="4"/>
  <c r="W84" i="4"/>
  <c r="V84" i="4"/>
  <c r="N84" i="4"/>
  <c r="J84" i="4"/>
  <c r="B84" i="4"/>
  <c r="N83" i="4"/>
  <c r="B83" i="4"/>
  <c r="N82" i="4"/>
  <c r="B82" i="4"/>
  <c r="N81" i="4"/>
  <c r="B81" i="4"/>
  <c r="W80" i="4"/>
  <c r="N80" i="4"/>
  <c r="B80" i="4"/>
  <c r="N79" i="4"/>
  <c r="J79" i="4"/>
  <c r="B79" i="4"/>
  <c r="W78" i="4"/>
  <c r="V78" i="4"/>
  <c r="N78" i="4"/>
  <c r="J78" i="4"/>
  <c r="B78" i="4"/>
  <c r="N77" i="4"/>
  <c r="B77" i="4"/>
  <c r="N76" i="4"/>
  <c r="B76" i="4"/>
  <c r="N75" i="4"/>
  <c r="B75" i="4"/>
  <c r="W74" i="4"/>
  <c r="N74" i="4"/>
  <c r="B74" i="4"/>
  <c r="N73" i="4"/>
  <c r="J73" i="4"/>
  <c r="B73" i="4"/>
  <c r="V72" i="4"/>
  <c r="W72" i="4"/>
  <c r="N72" i="4"/>
  <c r="J72" i="4"/>
  <c r="B72" i="4"/>
  <c r="N71" i="4"/>
  <c r="B71" i="4"/>
  <c r="N70" i="4"/>
  <c r="B70" i="4"/>
  <c r="N69" i="4"/>
  <c r="B69" i="4"/>
  <c r="W68" i="4"/>
  <c r="N68" i="4"/>
  <c r="B68" i="4"/>
  <c r="N67" i="4"/>
  <c r="B67" i="4"/>
  <c r="W66" i="4"/>
  <c r="N66" i="4"/>
  <c r="J66" i="4"/>
  <c r="B66" i="4"/>
  <c r="N65" i="4"/>
  <c r="B65" i="4"/>
  <c r="N64" i="4"/>
  <c r="B64" i="4"/>
  <c r="W63" i="4"/>
  <c r="N63" i="4"/>
  <c r="B63" i="4"/>
  <c r="V62" i="4"/>
  <c r="W62" i="4"/>
  <c r="N62" i="4"/>
  <c r="B62" i="4"/>
  <c r="N61" i="4"/>
  <c r="J61" i="4"/>
  <c r="B61" i="4"/>
  <c r="W60" i="4"/>
  <c r="N60" i="4"/>
  <c r="J60" i="4"/>
  <c r="B60" i="4"/>
  <c r="N59" i="4"/>
  <c r="B59" i="4"/>
  <c r="N58" i="4"/>
  <c r="J58" i="4"/>
  <c r="B58" i="4"/>
  <c r="W57" i="4"/>
  <c r="V57" i="4"/>
  <c r="N57" i="4"/>
  <c r="B57" i="4"/>
  <c r="W56" i="4"/>
  <c r="N56" i="4"/>
  <c r="B56" i="4"/>
  <c r="V55" i="4"/>
  <c r="W55" i="4"/>
  <c r="N55" i="4"/>
  <c r="B55" i="4"/>
  <c r="V54" i="4"/>
  <c r="W54" i="4"/>
  <c r="N54" i="4"/>
  <c r="J54" i="4"/>
  <c r="B54" i="4"/>
  <c r="N53" i="4"/>
  <c r="B53" i="4"/>
  <c r="N52" i="4"/>
  <c r="J52" i="4"/>
  <c r="B52" i="4"/>
  <c r="W51" i="4"/>
  <c r="V51" i="4"/>
  <c r="N51" i="4"/>
  <c r="B51" i="4"/>
  <c r="W50" i="4"/>
  <c r="N50" i="4"/>
  <c r="B50" i="4"/>
  <c r="W49" i="4"/>
  <c r="V49" i="4"/>
  <c r="N49" i="4"/>
  <c r="K49" i="4"/>
  <c r="B49" i="4"/>
  <c r="V48" i="4"/>
  <c r="W48" i="4"/>
  <c r="N48" i="4"/>
  <c r="J48" i="4"/>
  <c r="B48" i="4"/>
  <c r="N47" i="4"/>
  <c r="B47" i="4"/>
  <c r="W46" i="4"/>
  <c r="N46" i="4"/>
  <c r="J46" i="4"/>
  <c r="B46" i="4"/>
  <c r="W45" i="4"/>
  <c r="V45" i="4"/>
  <c r="N45" i="4"/>
  <c r="B45" i="4"/>
  <c r="W44" i="4"/>
  <c r="N44" i="4"/>
  <c r="B44" i="4"/>
  <c r="W43" i="4"/>
  <c r="V43" i="4"/>
  <c r="N43" i="4"/>
  <c r="K43" i="4"/>
  <c r="B43" i="4"/>
  <c r="V42" i="4"/>
  <c r="W42" i="4"/>
  <c r="N42" i="4"/>
  <c r="J42" i="4"/>
  <c r="B42" i="4"/>
  <c r="N41" i="4"/>
  <c r="B41" i="4"/>
  <c r="N40" i="4"/>
  <c r="J40" i="4"/>
  <c r="B40" i="4"/>
  <c r="V39" i="4"/>
  <c r="W39" i="4"/>
  <c r="N39" i="4"/>
  <c r="B39" i="4"/>
  <c r="N38" i="4"/>
  <c r="J38" i="4"/>
  <c r="B38" i="4"/>
  <c r="V37" i="4"/>
  <c r="W37" i="4"/>
  <c r="N37" i="4"/>
  <c r="K37" i="4"/>
  <c r="B37" i="4"/>
  <c r="W36" i="4"/>
  <c r="V36" i="4"/>
  <c r="N36" i="4"/>
  <c r="J36" i="4"/>
  <c r="B36" i="4"/>
  <c r="N35" i="4"/>
  <c r="B35" i="4"/>
  <c r="W34" i="4"/>
  <c r="N34" i="4"/>
  <c r="J34" i="4"/>
  <c r="B34" i="4"/>
  <c r="N33" i="4"/>
  <c r="B33" i="4"/>
  <c r="W32" i="4"/>
  <c r="N32" i="4"/>
  <c r="B32" i="4"/>
  <c r="V31" i="4"/>
  <c r="W31" i="4"/>
  <c r="N31" i="4"/>
  <c r="J31" i="4"/>
  <c r="B31" i="4"/>
  <c r="W30" i="4"/>
  <c r="N30" i="4"/>
  <c r="J30" i="4"/>
  <c r="B30" i="4"/>
  <c r="N29" i="4"/>
  <c r="B29" i="4"/>
  <c r="N28" i="4"/>
  <c r="J28" i="4"/>
  <c r="B28" i="4"/>
  <c r="V27" i="4"/>
  <c r="W27" i="4"/>
  <c r="N27" i="4"/>
  <c r="B27" i="4"/>
  <c r="W26" i="4"/>
  <c r="N26" i="4"/>
  <c r="B26" i="4"/>
  <c r="W25" i="4"/>
  <c r="V25" i="4"/>
  <c r="N25" i="4"/>
  <c r="K25" i="4"/>
  <c r="B25" i="4"/>
  <c r="V24" i="4"/>
  <c r="N24" i="4"/>
  <c r="J24" i="4"/>
  <c r="B24" i="4"/>
  <c r="N23" i="4"/>
  <c r="B23" i="4"/>
  <c r="W22" i="4"/>
  <c r="N22" i="4"/>
  <c r="J22" i="4"/>
  <c r="B22" i="4"/>
  <c r="W21" i="4"/>
  <c r="V21" i="4"/>
  <c r="N21" i="4"/>
  <c r="B21" i="4"/>
  <c r="W20" i="4"/>
  <c r="N20" i="4"/>
  <c r="B20" i="4"/>
  <c r="W19" i="4"/>
  <c r="V19" i="4"/>
  <c r="N19" i="4"/>
  <c r="B19" i="4"/>
  <c r="V18" i="4"/>
  <c r="N18" i="4"/>
  <c r="J18" i="4"/>
  <c r="B18" i="4"/>
  <c r="V17" i="4"/>
  <c r="N17" i="4"/>
  <c r="B17" i="4"/>
  <c r="N16" i="4"/>
  <c r="B16" i="4"/>
  <c r="W15" i="4"/>
  <c r="N15" i="4"/>
  <c r="B15" i="4"/>
  <c r="W14" i="4"/>
  <c r="N14" i="4"/>
  <c r="B14" i="4"/>
  <c r="V13" i="4"/>
  <c r="N13" i="4"/>
  <c r="B13" i="4"/>
  <c r="V12" i="4"/>
  <c r="W12" i="4"/>
  <c r="N12" i="4"/>
  <c r="B12" i="4"/>
  <c r="W11" i="4"/>
  <c r="V11" i="4"/>
  <c r="N11" i="4"/>
  <c r="J11" i="4"/>
  <c r="B11" i="4"/>
  <c r="V10" i="4"/>
  <c r="N10" i="4"/>
  <c r="J10" i="4"/>
  <c r="B10" i="4"/>
  <c r="V9" i="4"/>
  <c r="W9" i="4"/>
  <c r="N9" i="4"/>
  <c r="B9" i="4"/>
  <c r="N8" i="4"/>
  <c r="K8" i="4"/>
  <c r="B8" i="4"/>
  <c r="W7" i="4"/>
  <c r="N7" i="4"/>
  <c r="B7" i="4"/>
  <c r="W6" i="4"/>
  <c r="N6" i="4"/>
  <c r="B6" i="4"/>
  <c r="V5" i="4"/>
  <c r="X3" i="4" a="1"/>
  <c r="X3" i="4" s="1"/>
  <c r="X2" i="4"/>
  <c r="M6" i="32"/>
  <c r="M7" i="32" s="1"/>
  <c r="M8" i="32" s="1"/>
  <c r="M9" i="32" s="1"/>
  <c r="M10" i="32" s="1"/>
  <c r="M11" i="32" s="1"/>
  <c r="M12" i="32" s="1"/>
  <c r="M13" i="32" s="1"/>
  <c r="M14" i="32" s="1"/>
  <c r="M15" i="32" s="1"/>
  <c r="M16" i="32" s="1"/>
  <c r="M17" i="32" s="1"/>
  <c r="M18" i="32" s="1"/>
  <c r="M19" i="32" s="1"/>
  <c r="M20" i="32" s="1"/>
  <c r="M21" i="32" s="1"/>
  <c r="M22" i="32" s="1"/>
  <c r="M23" i="32" s="1"/>
  <c r="M24" i="32" s="1"/>
  <c r="M25" i="32" s="1"/>
  <c r="M26" i="32" s="1"/>
  <c r="M27" i="32" s="1"/>
  <c r="M28" i="32" s="1"/>
  <c r="M29" i="32" s="1"/>
  <c r="M30" i="32" s="1"/>
  <c r="M31" i="32" s="1"/>
  <c r="M32" i="32" s="1"/>
  <c r="M33" i="32" s="1"/>
  <c r="M34" i="32" s="1"/>
  <c r="M35" i="32" s="1"/>
  <c r="M36" i="32" s="1"/>
  <c r="M37" i="32" s="1"/>
  <c r="M38" i="32" s="1"/>
  <c r="M39" i="32" s="1"/>
  <c r="M40" i="32" s="1"/>
  <c r="M41" i="32" s="1"/>
  <c r="M42" i="32" s="1"/>
  <c r="M43" i="32" s="1"/>
  <c r="M44" i="32" s="1"/>
  <c r="M45" i="32" s="1"/>
  <c r="M46" i="32" s="1"/>
  <c r="M47" i="32" s="1"/>
  <c r="M48" i="32" s="1"/>
  <c r="M49" i="32" s="1"/>
  <c r="M50" i="32" s="1"/>
  <c r="M51" i="32" s="1"/>
  <c r="M52" i="32" s="1"/>
  <c r="M53" i="32" s="1"/>
  <c r="M54" i="32" s="1"/>
  <c r="M55" i="32" s="1"/>
  <c r="M56" i="32" s="1"/>
  <c r="M57" i="32" s="1"/>
  <c r="M58" i="32" s="1"/>
  <c r="M59" i="32" s="1"/>
  <c r="M60" i="32" s="1"/>
  <c r="M61" i="32" s="1"/>
  <c r="M62" i="32" s="1"/>
  <c r="M63" i="32" s="1"/>
  <c r="M64" i="32" s="1"/>
  <c r="M65" i="32" s="1"/>
  <c r="M66" i="32" s="1"/>
  <c r="M67" i="32" s="1"/>
  <c r="M68" i="32" s="1"/>
  <c r="M69" i="32" s="1"/>
  <c r="M70" i="32" s="1"/>
  <c r="M71" i="32" s="1"/>
  <c r="M72" i="32" s="1"/>
  <c r="M73" i="32" s="1"/>
  <c r="M74" i="32" s="1"/>
  <c r="M75" i="32" s="1"/>
  <c r="M76" i="32" s="1"/>
  <c r="M77" i="32" s="1"/>
  <c r="M78" i="32" s="1"/>
  <c r="M79" i="32" s="1"/>
  <c r="M80" i="32" s="1"/>
  <c r="M81" i="32" s="1"/>
  <c r="M82" i="32" s="1"/>
  <c r="M83" i="32" s="1"/>
  <c r="M84" i="32" s="1"/>
  <c r="M85" i="32" s="1"/>
  <c r="M86" i="32" s="1"/>
  <c r="M87" i="32" s="1"/>
  <c r="M88" i="32" s="1"/>
  <c r="M89" i="32" s="1"/>
  <c r="M90" i="32" s="1"/>
  <c r="M91" i="32" s="1"/>
  <c r="M92" i="32" s="1"/>
  <c r="M93" i="32" s="1"/>
  <c r="M94" i="32" s="1"/>
  <c r="M95" i="32" s="1"/>
  <c r="M96" i="32" s="1"/>
  <c r="M97" i="32" s="1"/>
  <c r="M98" i="32" s="1"/>
  <c r="M99" i="32" s="1"/>
  <c r="M100" i="32" s="1"/>
  <c r="M101" i="32" s="1"/>
  <c r="M102" i="32" s="1"/>
  <c r="M103" i="32" s="1"/>
  <c r="M104" i="32" s="1"/>
  <c r="M105" i="32" s="1"/>
  <c r="M106" i="32" s="1"/>
  <c r="M107" i="32" s="1"/>
  <c r="M108" i="32" s="1"/>
  <c r="M109" i="32" s="1"/>
  <c r="M110" i="32" s="1"/>
  <c r="M111" i="32" s="1"/>
  <c r="M112" i="32" s="1"/>
  <c r="M113" i="32" s="1"/>
  <c r="M114" i="32" s="1"/>
  <c r="M115" i="32" s="1"/>
  <c r="A8" i="32"/>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A58" i="32" s="1"/>
  <c r="A59" i="32" s="1"/>
  <c r="A60" i="32" s="1"/>
  <c r="A61" i="32" s="1"/>
  <c r="A62" i="32" s="1"/>
  <c r="A63" i="32" s="1"/>
  <c r="A64" i="32" s="1"/>
  <c r="A65" i="32" s="1"/>
  <c r="A66" i="32" s="1"/>
  <c r="A67" i="32" s="1"/>
  <c r="A68" i="32" s="1"/>
  <c r="A69" i="32" s="1"/>
  <c r="A70" i="32" s="1"/>
  <c r="A71" i="32" s="1"/>
  <c r="A72" i="32" s="1"/>
  <c r="A73" i="32" s="1"/>
  <c r="A74" i="32" s="1"/>
  <c r="A75" i="32" s="1"/>
  <c r="A76" i="32" s="1"/>
  <c r="A77" i="32" s="1"/>
  <c r="A78" i="32" s="1"/>
  <c r="A79" i="32" s="1"/>
  <c r="A80" i="32" s="1"/>
  <c r="A81" i="32" s="1"/>
  <c r="A82" i="32" s="1"/>
  <c r="A83" i="32" s="1"/>
  <c r="A84" i="32" s="1"/>
  <c r="A85" i="32" s="1"/>
  <c r="A86" i="32" s="1"/>
  <c r="A87" i="32" s="1"/>
  <c r="A88" i="32" s="1"/>
  <c r="A89" i="32" s="1"/>
  <c r="A90" i="32" s="1"/>
  <c r="A91" i="32" s="1"/>
  <c r="A92" i="32" s="1"/>
  <c r="A93" i="32" s="1"/>
  <c r="A94" i="32" s="1"/>
  <c r="A95" i="32" s="1"/>
  <c r="A96" i="32" s="1"/>
  <c r="A97" i="32" s="1"/>
  <c r="A98" i="32" s="1"/>
  <c r="A99" i="32" s="1"/>
  <c r="A100" i="32" s="1"/>
  <c r="A101" i="32" s="1"/>
  <c r="A102" i="32" s="1"/>
  <c r="A103" i="32" s="1"/>
  <c r="A104" i="32" s="1"/>
  <c r="A105" i="32" s="1"/>
  <c r="A106" i="32" s="1"/>
  <c r="A107" i="32" s="1"/>
  <c r="A108" i="32" s="1"/>
  <c r="A109" i="32" s="1"/>
  <c r="A110" i="32" s="1"/>
  <c r="A111" i="32" s="1"/>
  <c r="A112" i="32" s="1"/>
  <c r="A113" i="32" s="1"/>
  <c r="A114" i="32" s="1"/>
  <c r="A115" i="32" s="1"/>
  <c r="A7" i="32"/>
  <c r="A6" i="32"/>
  <c r="N115" i="32"/>
  <c r="B115" i="32"/>
  <c r="N114" i="32"/>
  <c r="J114" i="32"/>
  <c r="B114" i="32"/>
  <c r="N113" i="32"/>
  <c r="B113" i="32"/>
  <c r="V112" i="32"/>
  <c r="N112" i="32"/>
  <c r="B112" i="32"/>
  <c r="W111" i="32"/>
  <c r="V111" i="32"/>
  <c r="N111" i="32"/>
  <c r="B111" i="32"/>
  <c r="W110" i="32"/>
  <c r="N110" i="32"/>
  <c r="B110" i="32"/>
  <c r="N109" i="32"/>
  <c r="K109" i="32"/>
  <c r="B109" i="32"/>
  <c r="N108" i="32"/>
  <c r="J108" i="32"/>
  <c r="B108" i="32"/>
  <c r="N107" i="32"/>
  <c r="B107" i="32"/>
  <c r="N106" i="32"/>
  <c r="B106" i="32"/>
  <c r="N105" i="32"/>
  <c r="B105" i="32"/>
  <c r="W104" i="32"/>
  <c r="N104" i="32"/>
  <c r="B104" i="32"/>
  <c r="N103" i="32"/>
  <c r="B103" i="32"/>
  <c r="N102" i="32"/>
  <c r="J102" i="32"/>
  <c r="B102" i="32"/>
  <c r="N101" i="32"/>
  <c r="B101" i="32"/>
  <c r="N100" i="32"/>
  <c r="J100" i="32"/>
  <c r="B100" i="32"/>
  <c r="N99" i="32"/>
  <c r="B99" i="32"/>
  <c r="W98" i="32"/>
  <c r="N98" i="32"/>
  <c r="B98" i="32"/>
  <c r="N97" i="32"/>
  <c r="B97" i="32"/>
  <c r="N96" i="32"/>
  <c r="J96" i="32"/>
  <c r="B96" i="32"/>
  <c r="N95" i="32"/>
  <c r="B95" i="32"/>
  <c r="N94" i="32"/>
  <c r="K94" i="32"/>
  <c r="B94" i="32"/>
  <c r="W93" i="32"/>
  <c r="N93" i="32"/>
  <c r="B93" i="32"/>
  <c r="W92" i="32"/>
  <c r="N92" i="32"/>
  <c r="B92" i="32"/>
  <c r="W91" i="32"/>
  <c r="N91" i="32"/>
  <c r="B91" i="32"/>
  <c r="N90" i="32"/>
  <c r="J90" i="32"/>
  <c r="B90" i="32"/>
  <c r="N89" i="32"/>
  <c r="B89" i="32"/>
  <c r="N88" i="32"/>
  <c r="K88" i="32"/>
  <c r="B88" i="32"/>
  <c r="W87" i="32"/>
  <c r="V87" i="32"/>
  <c r="N87" i="32"/>
  <c r="B87" i="32"/>
  <c r="W86" i="32"/>
  <c r="N86" i="32"/>
  <c r="B86" i="32"/>
  <c r="N85" i="32"/>
  <c r="B85" i="32"/>
  <c r="N84" i="32"/>
  <c r="J84" i="32"/>
  <c r="B84" i="32"/>
  <c r="N83" i="32"/>
  <c r="B83" i="32"/>
  <c r="N82" i="32"/>
  <c r="J82" i="32"/>
  <c r="B82" i="32"/>
  <c r="V81" i="32"/>
  <c r="N81" i="32"/>
  <c r="B81" i="32"/>
  <c r="W80" i="32"/>
  <c r="N80" i="32"/>
  <c r="B80" i="32"/>
  <c r="N79" i="32"/>
  <c r="B79" i="32"/>
  <c r="N78" i="32"/>
  <c r="J78" i="32"/>
  <c r="B78" i="32"/>
  <c r="N77" i="32"/>
  <c r="B77" i="32"/>
  <c r="N76" i="32"/>
  <c r="K76" i="32"/>
  <c r="B76" i="32"/>
  <c r="V75" i="32"/>
  <c r="N75" i="32"/>
  <c r="B75" i="32"/>
  <c r="W74" i="32"/>
  <c r="N74" i="32"/>
  <c r="B74" i="32"/>
  <c r="N73" i="32"/>
  <c r="B73" i="32"/>
  <c r="N72" i="32"/>
  <c r="J72" i="32"/>
  <c r="B72" i="32"/>
  <c r="N71" i="32"/>
  <c r="B71" i="32"/>
  <c r="N70" i="32"/>
  <c r="J70" i="32"/>
  <c r="B70" i="32"/>
  <c r="N69" i="32"/>
  <c r="B69" i="32"/>
  <c r="W68" i="32"/>
  <c r="N68" i="32"/>
  <c r="B68" i="32"/>
  <c r="N67" i="32"/>
  <c r="K67" i="32"/>
  <c r="B67" i="32"/>
  <c r="N66" i="32"/>
  <c r="J66" i="32"/>
  <c r="B66" i="32"/>
  <c r="V65" i="32"/>
  <c r="N65" i="32"/>
  <c r="B65" i="32"/>
  <c r="N64" i="32"/>
  <c r="K64" i="32"/>
  <c r="B64" i="32"/>
  <c r="V63" i="32"/>
  <c r="N63" i="32"/>
  <c r="B63" i="32"/>
  <c r="W62" i="32"/>
  <c r="N62" i="32"/>
  <c r="B62" i="32"/>
  <c r="W61" i="32"/>
  <c r="N61" i="32"/>
  <c r="B61" i="32"/>
  <c r="N60" i="32"/>
  <c r="J60" i="32"/>
  <c r="B60" i="32"/>
  <c r="N59" i="32"/>
  <c r="B59" i="32"/>
  <c r="N58" i="32"/>
  <c r="K58" i="32"/>
  <c r="B58" i="32"/>
  <c r="N57" i="32"/>
  <c r="B57" i="32"/>
  <c r="W56" i="32"/>
  <c r="N56" i="32"/>
  <c r="B56" i="32"/>
  <c r="N55" i="32"/>
  <c r="B55" i="32"/>
  <c r="N54" i="32"/>
  <c r="J54" i="32"/>
  <c r="B54" i="32"/>
  <c r="N53" i="32"/>
  <c r="B53" i="32"/>
  <c r="V52" i="32"/>
  <c r="N52" i="32"/>
  <c r="K52" i="32"/>
  <c r="B52" i="32"/>
  <c r="W51" i="32"/>
  <c r="N51" i="32"/>
  <c r="B51" i="32"/>
  <c r="W50" i="32"/>
  <c r="N50" i="32"/>
  <c r="B50" i="32"/>
  <c r="W49" i="32"/>
  <c r="N49" i="32"/>
  <c r="B49" i="32"/>
  <c r="N48" i="32"/>
  <c r="J48" i="32"/>
  <c r="B48" i="32"/>
  <c r="N47" i="32"/>
  <c r="B47" i="32"/>
  <c r="N46" i="32"/>
  <c r="K46" i="32"/>
  <c r="B46" i="32"/>
  <c r="N45" i="32"/>
  <c r="B45" i="32"/>
  <c r="W44" i="32"/>
  <c r="N44" i="32"/>
  <c r="B44" i="32"/>
  <c r="W43" i="32"/>
  <c r="N43" i="32"/>
  <c r="B43" i="32"/>
  <c r="N42" i="32"/>
  <c r="J42" i="32"/>
  <c r="B42" i="32"/>
  <c r="N41" i="32"/>
  <c r="B41" i="32"/>
  <c r="N40" i="32"/>
  <c r="K40" i="32"/>
  <c r="B40" i="32"/>
  <c r="W39" i="32"/>
  <c r="V39" i="32"/>
  <c r="N39" i="32"/>
  <c r="B39" i="32"/>
  <c r="W38" i="32"/>
  <c r="N38" i="32"/>
  <c r="B38" i="32"/>
  <c r="N37" i="32"/>
  <c r="B37" i="32"/>
  <c r="N36" i="32"/>
  <c r="J36" i="32"/>
  <c r="B36" i="32"/>
  <c r="N35" i="32"/>
  <c r="B35" i="32"/>
  <c r="N34" i="32"/>
  <c r="K34" i="32"/>
  <c r="B34" i="32"/>
  <c r="N33" i="32"/>
  <c r="B33" i="32"/>
  <c r="W32" i="32"/>
  <c r="N32" i="32"/>
  <c r="B32" i="32"/>
  <c r="N31" i="32"/>
  <c r="B31" i="32"/>
  <c r="N30" i="32"/>
  <c r="J30" i="32"/>
  <c r="B30" i="32"/>
  <c r="N29" i="32"/>
  <c r="B29" i="32"/>
  <c r="V28" i="32"/>
  <c r="N28" i="32"/>
  <c r="K28" i="32"/>
  <c r="B28" i="32"/>
  <c r="V27" i="32"/>
  <c r="N27" i="32"/>
  <c r="B27" i="32"/>
  <c r="W26" i="32"/>
  <c r="N26" i="32"/>
  <c r="B26" i="32"/>
  <c r="N25" i="32"/>
  <c r="B25" i="32"/>
  <c r="N24" i="32"/>
  <c r="K24" i="32"/>
  <c r="J24" i="32"/>
  <c r="B24" i="32"/>
  <c r="N23" i="32"/>
  <c r="B23" i="32"/>
  <c r="V22" i="32"/>
  <c r="N22" i="32"/>
  <c r="K22" i="32"/>
  <c r="B22" i="32"/>
  <c r="N21" i="32"/>
  <c r="B21" i="32"/>
  <c r="W20" i="32"/>
  <c r="N20" i="32"/>
  <c r="B20" i="32"/>
  <c r="W19" i="32"/>
  <c r="N19" i="32"/>
  <c r="B19" i="32"/>
  <c r="N18" i="32"/>
  <c r="J18" i="32"/>
  <c r="B18" i="32"/>
  <c r="N17" i="32"/>
  <c r="B17" i="32"/>
  <c r="V16" i="32"/>
  <c r="N16" i="32"/>
  <c r="J16" i="32"/>
  <c r="B16" i="32"/>
  <c r="W15" i="32"/>
  <c r="V15" i="32"/>
  <c r="N15" i="32"/>
  <c r="B15" i="32"/>
  <c r="N14" i="32"/>
  <c r="B14" i="32"/>
  <c r="W13" i="32"/>
  <c r="N13" i="32"/>
  <c r="J13" i="32"/>
  <c r="B13" i="32"/>
  <c r="N12" i="32"/>
  <c r="B12" i="32"/>
  <c r="N11" i="32"/>
  <c r="B11" i="32"/>
  <c r="N10" i="32"/>
  <c r="B10" i="32"/>
  <c r="N9" i="32"/>
  <c r="B9" i="32"/>
  <c r="W8" i="32"/>
  <c r="V8" i="32"/>
  <c r="N8" i="32"/>
  <c r="B8" i="32"/>
  <c r="W7" i="32"/>
  <c r="N7" i="32"/>
  <c r="J7" i="32"/>
  <c r="B7" i="32"/>
  <c r="N6" i="32"/>
  <c r="B6" i="32"/>
  <c r="L3" i="32" a="1"/>
  <c r="L3" i="32" s="1"/>
  <c r="X3" i="32" a="1"/>
  <c r="X3" i="32" s="1"/>
  <c r="N115" i="8"/>
  <c r="B115" i="8"/>
  <c r="N114" i="8"/>
  <c r="K114" i="8"/>
  <c r="J114" i="8"/>
  <c r="B114" i="8"/>
  <c r="N113" i="8"/>
  <c r="B113" i="8"/>
  <c r="N112" i="8"/>
  <c r="B112" i="8"/>
  <c r="W111" i="8"/>
  <c r="V111" i="8"/>
  <c r="N111" i="8"/>
  <c r="B111" i="8"/>
  <c r="W110" i="8"/>
  <c r="N110" i="8"/>
  <c r="B110" i="8"/>
  <c r="N109" i="8"/>
  <c r="B109" i="8"/>
  <c r="N108" i="8"/>
  <c r="J108" i="8"/>
  <c r="B108" i="8"/>
  <c r="N107" i="8"/>
  <c r="B107" i="8"/>
  <c r="N106" i="8"/>
  <c r="J106" i="8"/>
  <c r="B106" i="8"/>
  <c r="N105" i="8"/>
  <c r="B105" i="8"/>
  <c r="W104" i="8"/>
  <c r="N104" i="8"/>
  <c r="B104" i="8"/>
  <c r="N103" i="8"/>
  <c r="B103" i="8"/>
  <c r="W102" i="8"/>
  <c r="N102" i="8"/>
  <c r="K102" i="8"/>
  <c r="J102" i="8"/>
  <c r="B102" i="8"/>
  <c r="N101" i="8"/>
  <c r="K101" i="8"/>
  <c r="J101" i="8"/>
  <c r="B101" i="8"/>
  <c r="N100" i="8"/>
  <c r="B100" i="8"/>
  <c r="W99" i="8"/>
  <c r="V99" i="8"/>
  <c r="N99" i="8"/>
  <c r="B99" i="8"/>
  <c r="W98" i="8"/>
  <c r="N98" i="8"/>
  <c r="B98" i="8"/>
  <c r="N97" i="8"/>
  <c r="J97" i="8"/>
  <c r="B97" i="8"/>
  <c r="W96" i="8"/>
  <c r="N96" i="8"/>
  <c r="B96" i="8"/>
  <c r="N95" i="8"/>
  <c r="B95" i="8"/>
  <c r="N94" i="8"/>
  <c r="J94" i="8"/>
  <c r="K94" i="8"/>
  <c r="B94" i="8"/>
  <c r="N93" i="8"/>
  <c r="B93" i="8"/>
  <c r="N92" i="8"/>
  <c r="B92" i="8"/>
  <c r="W91" i="8"/>
  <c r="N91" i="8"/>
  <c r="B91" i="8"/>
  <c r="W90" i="8"/>
  <c r="N90" i="8"/>
  <c r="K90" i="8"/>
  <c r="J90" i="8"/>
  <c r="B90" i="8"/>
  <c r="N89" i="8"/>
  <c r="J89" i="8"/>
  <c r="B89" i="8"/>
  <c r="N88" i="8"/>
  <c r="B88" i="8"/>
  <c r="W87" i="8"/>
  <c r="V87" i="8"/>
  <c r="N87" i="8"/>
  <c r="K87" i="8"/>
  <c r="B87" i="8"/>
  <c r="W86" i="8"/>
  <c r="N86" i="8"/>
  <c r="B86" i="8"/>
  <c r="W85" i="8"/>
  <c r="N85" i="8"/>
  <c r="J85" i="8"/>
  <c r="B85" i="8"/>
  <c r="W84" i="8"/>
  <c r="N84" i="8"/>
  <c r="B84" i="8"/>
  <c r="N83" i="8"/>
  <c r="B83" i="8"/>
  <c r="N82" i="8"/>
  <c r="K82" i="8"/>
  <c r="B82" i="8"/>
  <c r="N81" i="8"/>
  <c r="B81" i="8"/>
  <c r="W80" i="8"/>
  <c r="N80" i="8"/>
  <c r="B80" i="8"/>
  <c r="W79" i="8"/>
  <c r="N79" i="8"/>
  <c r="B79" i="8"/>
  <c r="N78" i="8"/>
  <c r="K78" i="8"/>
  <c r="J78" i="8"/>
  <c r="B78" i="8"/>
  <c r="N77" i="8"/>
  <c r="J77" i="8"/>
  <c r="B77" i="8"/>
  <c r="N76" i="8"/>
  <c r="B76" i="8"/>
  <c r="W75" i="8"/>
  <c r="V75" i="8"/>
  <c r="N75" i="8"/>
  <c r="B75" i="8"/>
  <c r="W74" i="8"/>
  <c r="N74" i="8"/>
  <c r="B74" i="8"/>
  <c r="W73" i="8"/>
  <c r="N73" i="8"/>
  <c r="J73" i="8"/>
  <c r="B73" i="8"/>
  <c r="N72" i="8"/>
  <c r="B72" i="8"/>
  <c r="N71" i="8"/>
  <c r="B71" i="8"/>
  <c r="N70" i="8"/>
  <c r="K70" i="8"/>
  <c r="B70" i="8"/>
  <c r="W69" i="8"/>
  <c r="N69" i="8"/>
  <c r="B69" i="8"/>
  <c r="N68" i="8"/>
  <c r="B68" i="8"/>
  <c r="W67" i="8"/>
  <c r="N67" i="8"/>
  <c r="J67" i="8"/>
  <c r="B67" i="8"/>
  <c r="N66" i="8"/>
  <c r="K66" i="8"/>
  <c r="J66" i="8"/>
  <c r="B66" i="8"/>
  <c r="N65" i="8"/>
  <c r="B65" i="8"/>
  <c r="N64" i="8"/>
  <c r="B64" i="8"/>
  <c r="W63" i="8"/>
  <c r="V63" i="8"/>
  <c r="N63" i="8"/>
  <c r="B63" i="8"/>
  <c r="W62" i="8"/>
  <c r="N62" i="8"/>
  <c r="B62" i="8"/>
  <c r="N61" i="8"/>
  <c r="B61" i="8"/>
  <c r="N60" i="8"/>
  <c r="B60" i="8"/>
  <c r="N59" i="8"/>
  <c r="B59" i="8"/>
  <c r="N58" i="8"/>
  <c r="B58" i="8"/>
  <c r="N57" i="8"/>
  <c r="B57" i="8"/>
  <c r="N56" i="8"/>
  <c r="B56" i="8"/>
  <c r="N55" i="8"/>
  <c r="J55" i="8"/>
  <c r="B55" i="8"/>
  <c r="N54" i="8"/>
  <c r="K54" i="8"/>
  <c r="J54" i="8"/>
  <c r="B54" i="8"/>
  <c r="N53" i="8"/>
  <c r="B53" i="8"/>
  <c r="N52" i="8"/>
  <c r="B52" i="8"/>
  <c r="W51" i="8"/>
  <c r="V51" i="8"/>
  <c r="N51" i="8"/>
  <c r="B51" i="8"/>
  <c r="W50" i="8"/>
  <c r="N50" i="8"/>
  <c r="B50" i="8"/>
  <c r="N49" i="8"/>
  <c r="J49" i="8"/>
  <c r="B49" i="8"/>
  <c r="N48" i="8"/>
  <c r="B48" i="8"/>
  <c r="N47" i="8"/>
  <c r="B47" i="8"/>
  <c r="N46" i="8"/>
  <c r="B46" i="8"/>
  <c r="N45" i="8"/>
  <c r="B45" i="8"/>
  <c r="N44" i="8"/>
  <c r="B44" i="8"/>
  <c r="W43" i="8"/>
  <c r="N43" i="8"/>
  <c r="J43" i="8"/>
  <c r="B43" i="8"/>
  <c r="N42" i="8"/>
  <c r="K42" i="8"/>
  <c r="J42" i="8"/>
  <c r="B42" i="8"/>
  <c r="W41" i="8"/>
  <c r="N41" i="8"/>
  <c r="K41" i="8"/>
  <c r="J41" i="8"/>
  <c r="B41" i="8"/>
  <c r="N40" i="8"/>
  <c r="B40" i="8"/>
  <c r="W39" i="8"/>
  <c r="V39" i="8"/>
  <c r="N39" i="8"/>
  <c r="K39" i="8"/>
  <c r="J39" i="8"/>
  <c r="B39" i="8"/>
  <c r="W38" i="8"/>
  <c r="V38" i="8"/>
  <c r="N38" i="8"/>
  <c r="B38" i="8"/>
  <c r="W37" i="8"/>
  <c r="N37" i="8"/>
  <c r="J37" i="8"/>
  <c r="B37" i="8"/>
  <c r="N36" i="8"/>
  <c r="B36" i="8"/>
  <c r="N35" i="8"/>
  <c r="B35" i="8"/>
  <c r="N34" i="8"/>
  <c r="K34" i="8"/>
  <c r="B34" i="8"/>
  <c r="N33" i="8"/>
  <c r="B33" i="8"/>
  <c r="N32" i="8"/>
  <c r="B32" i="8"/>
  <c r="W31" i="8"/>
  <c r="N31" i="8"/>
  <c r="B31" i="8"/>
  <c r="N30" i="8"/>
  <c r="K30" i="8"/>
  <c r="J30" i="8"/>
  <c r="B30" i="8"/>
  <c r="W29" i="8"/>
  <c r="N29" i="8"/>
  <c r="J29" i="8"/>
  <c r="K29" i="8"/>
  <c r="B29" i="8"/>
  <c r="N28" i="8"/>
  <c r="B28" i="8"/>
  <c r="W27" i="8"/>
  <c r="V27" i="8"/>
  <c r="N27" i="8"/>
  <c r="K27" i="8"/>
  <c r="J27" i="8"/>
  <c r="B27" i="8"/>
  <c r="W26" i="8"/>
  <c r="V26" i="8"/>
  <c r="N26" i="8"/>
  <c r="B26" i="8"/>
  <c r="W25" i="8"/>
  <c r="N25" i="8"/>
  <c r="B25" i="8"/>
  <c r="N24" i="8"/>
  <c r="B24" i="8"/>
  <c r="N23" i="8"/>
  <c r="B23" i="8"/>
  <c r="N22" i="8"/>
  <c r="K22" i="8"/>
  <c r="B22" i="8"/>
  <c r="N21" i="8"/>
  <c r="B21" i="8"/>
  <c r="N20" i="8"/>
  <c r="B20" i="8"/>
  <c r="W19" i="8"/>
  <c r="N19" i="8"/>
  <c r="J19" i="8"/>
  <c r="K19" i="8"/>
  <c r="B19" i="8"/>
  <c r="N18" i="8"/>
  <c r="K18" i="8"/>
  <c r="J18" i="8"/>
  <c r="B18" i="8"/>
  <c r="W17" i="8"/>
  <c r="N17" i="8"/>
  <c r="J17" i="8"/>
  <c r="K17" i="8"/>
  <c r="B17" i="8"/>
  <c r="N16" i="8"/>
  <c r="B16" i="8"/>
  <c r="N15" i="8"/>
  <c r="K15" i="8"/>
  <c r="J15" i="8"/>
  <c r="B15" i="8"/>
  <c r="V14" i="8"/>
  <c r="N14" i="8"/>
  <c r="B14" i="8"/>
  <c r="N13" i="8"/>
  <c r="K13" i="8"/>
  <c r="J13" i="8"/>
  <c r="B13" i="8"/>
  <c r="V12" i="8"/>
  <c r="N12" i="8"/>
  <c r="B12" i="8"/>
  <c r="N11" i="8"/>
  <c r="B11" i="8"/>
  <c r="V10" i="8"/>
  <c r="N10" i="8"/>
  <c r="N9" i="8"/>
  <c r="N8" i="8"/>
  <c r="U8" i="8" s="1"/>
  <c r="N7" i="8"/>
  <c r="U7" i="8" s="1"/>
  <c r="M7" i="8"/>
  <c r="M8" i="8" s="1"/>
  <c r="M9" i="8" s="1"/>
  <c r="M10" i="8" s="1"/>
  <c r="M11" i="8" s="1"/>
  <c r="M12" i="8" s="1"/>
  <c r="M13" i="8" s="1"/>
  <c r="M14" i="8" s="1"/>
  <c r="M15" i="8" s="1"/>
  <c r="M16" i="8" s="1"/>
  <c r="M17" i="8" s="1"/>
  <c r="M18" i="8" s="1"/>
  <c r="M19" i="8" s="1"/>
  <c r="M20" i="8" s="1"/>
  <c r="M21" i="8" s="1"/>
  <c r="M22" i="8" s="1"/>
  <c r="M23" i="8" s="1"/>
  <c r="M24" i="8" s="1"/>
  <c r="M25" i="8" s="1"/>
  <c r="M26" i="8" s="1"/>
  <c r="M27" i="8" s="1"/>
  <c r="M28" i="8" s="1"/>
  <c r="M29" i="8" s="1"/>
  <c r="M30" i="8" s="1"/>
  <c r="M31" i="8" s="1"/>
  <c r="M32" i="8" s="1"/>
  <c r="M33" i="8" s="1"/>
  <c r="M34" i="8" s="1"/>
  <c r="M35" i="8" s="1"/>
  <c r="M36" i="8" s="1"/>
  <c r="M37" i="8" s="1"/>
  <c r="M38" i="8" s="1"/>
  <c r="M39" i="8" s="1"/>
  <c r="M40" i="8" s="1"/>
  <c r="M41" i="8" s="1"/>
  <c r="M42" i="8" s="1"/>
  <c r="M43" i="8" s="1"/>
  <c r="M44" i="8" s="1"/>
  <c r="M45" i="8" s="1"/>
  <c r="M46" i="8" s="1"/>
  <c r="M47" i="8" s="1"/>
  <c r="M48" i="8" s="1"/>
  <c r="M49" i="8" s="1"/>
  <c r="M50" i="8" s="1"/>
  <c r="M51" i="8" s="1"/>
  <c r="M52" i="8" s="1"/>
  <c r="M53" i="8" s="1"/>
  <c r="M54" i="8" s="1"/>
  <c r="M55" i="8" s="1"/>
  <c r="M56" i="8" s="1"/>
  <c r="M57" i="8" s="1"/>
  <c r="M58" i="8" s="1"/>
  <c r="M59" i="8" s="1"/>
  <c r="M60" i="8" s="1"/>
  <c r="M61" i="8" s="1"/>
  <c r="M62" i="8" s="1"/>
  <c r="M63" i="8" s="1"/>
  <c r="M64" i="8" s="1"/>
  <c r="M65" i="8" s="1"/>
  <c r="M66" i="8" s="1"/>
  <c r="M67" i="8" s="1"/>
  <c r="M68" i="8" s="1"/>
  <c r="M69" i="8" s="1"/>
  <c r="M70" i="8" s="1"/>
  <c r="M71" i="8" s="1"/>
  <c r="M72" i="8" s="1"/>
  <c r="M73" i="8" s="1"/>
  <c r="M74" i="8" s="1"/>
  <c r="M75" i="8" s="1"/>
  <c r="M76" i="8" s="1"/>
  <c r="M77" i="8" s="1"/>
  <c r="M78" i="8" s="1"/>
  <c r="M79" i="8" s="1"/>
  <c r="M80" i="8" s="1"/>
  <c r="M81" i="8" s="1"/>
  <c r="M82" i="8" s="1"/>
  <c r="M83" i="8" s="1"/>
  <c r="M84" i="8" s="1"/>
  <c r="M85" i="8" s="1"/>
  <c r="M86" i="8" s="1"/>
  <c r="M87" i="8" s="1"/>
  <c r="M88" i="8" s="1"/>
  <c r="M89" i="8" s="1"/>
  <c r="M90" i="8" s="1"/>
  <c r="M91" i="8" s="1"/>
  <c r="M92" i="8" s="1"/>
  <c r="M93" i="8" s="1"/>
  <c r="M94" i="8" s="1"/>
  <c r="M95" i="8" s="1"/>
  <c r="M96" i="8" s="1"/>
  <c r="M97" i="8" s="1"/>
  <c r="M98" i="8" s="1"/>
  <c r="M99" i="8" s="1"/>
  <c r="M100" i="8" s="1"/>
  <c r="M101" i="8" s="1"/>
  <c r="M102" i="8" s="1"/>
  <c r="M103" i="8" s="1"/>
  <c r="M104" i="8" s="1"/>
  <c r="M105" i="8" s="1"/>
  <c r="M106" i="8" s="1"/>
  <c r="M107" i="8" s="1"/>
  <c r="M108" i="8" s="1"/>
  <c r="M109" i="8" s="1"/>
  <c r="M110" i="8" s="1"/>
  <c r="M111" i="8" s="1"/>
  <c r="M112" i="8" s="1"/>
  <c r="M113" i="8" s="1"/>
  <c r="M114" i="8" s="1"/>
  <c r="M115" i="8" s="1"/>
  <c r="N6" i="8"/>
  <c r="U6" i="8" s="1"/>
  <c r="M6" i="8"/>
  <c r="X3" i="30" a="1"/>
  <c r="X3" i="30" s="1"/>
  <c r="X2" i="30"/>
  <c r="W115" i="30"/>
  <c r="V115" i="30"/>
  <c r="W114" i="30"/>
  <c r="V114" i="30"/>
  <c r="W113" i="30"/>
  <c r="V113" i="30"/>
  <c r="W112" i="30"/>
  <c r="V112" i="30"/>
  <c r="W111" i="30"/>
  <c r="V111" i="30"/>
  <c r="W110" i="30"/>
  <c r="V110" i="30"/>
  <c r="W109" i="30"/>
  <c r="V109" i="30"/>
  <c r="W108" i="30"/>
  <c r="V108" i="30"/>
  <c r="W107" i="30"/>
  <c r="V107" i="30"/>
  <c r="V105" i="30"/>
  <c r="W104" i="30"/>
  <c r="V104" i="30"/>
  <c r="W103" i="30"/>
  <c r="V103" i="30"/>
  <c r="W102" i="30"/>
  <c r="V102" i="30"/>
  <c r="W101" i="30"/>
  <c r="V101" i="30"/>
  <c r="W100" i="30"/>
  <c r="V100" i="30"/>
  <c r="W99" i="30"/>
  <c r="V99" i="30"/>
  <c r="W98" i="30"/>
  <c r="V98" i="30"/>
  <c r="W97" i="30"/>
  <c r="V97" i="30"/>
  <c r="W96" i="30"/>
  <c r="V96" i="30"/>
  <c r="W95" i="30"/>
  <c r="V95" i="30"/>
  <c r="V93" i="30"/>
  <c r="W92" i="30"/>
  <c r="V92" i="30"/>
  <c r="W91" i="30"/>
  <c r="V91" i="30"/>
  <c r="W90" i="30"/>
  <c r="V90" i="30"/>
  <c r="W89" i="30"/>
  <c r="V89" i="30"/>
  <c r="W88" i="30"/>
  <c r="V88" i="30"/>
  <c r="W87" i="30"/>
  <c r="V87" i="30"/>
  <c r="W86" i="30"/>
  <c r="V86" i="30"/>
  <c r="W85" i="30"/>
  <c r="V85" i="30"/>
  <c r="W84" i="30"/>
  <c r="V84" i="30"/>
  <c r="W83" i="30"/>
  <c r="V83" i="30"/>
  <c r="V81" i="30"/>
  <c r="W80" i="30"/>
  <c r="V80" i="30"/>
  <c r="W79" i="30"/>
  <c r="V79" i="30"/>
  <c r="W78" i="30"/>
  <c r="V78" i="30"/>
  <c r="W77" i="30"/>
  <c r="V77" i="30"/>
  <c r="W76" i="30"/>
  <c r="V76" i="30"/>
  <c r="W75" i="30"/>
  <c r="V75" i="30"/>
  <c r="W74" i="30"/>
  <c r="V74" i="30"/>
  <c r="W73" i="30"/>
  <c r="V73" i="30"/>
  <c r="W72" i="30"/>
  <c r="V72" i="30"/>
  <c r="W71" i="30"/>
  <c r="V71" i="30"/>
  <c r="V69" i="30"/>
  <c r="W68" i="30"/>
  <c r="V68" i="30"/>
  <c r="W67" i="30"/>
  <c r="V67" i="30"/>
  <c r="W66" i="30"/>
  <c r="V66" i="30"/>
  <c r="W65" i="30"/>
  <c r="V65" i="30"/>
  <c r="W64" i="30"/>
  <c r="V64" i="30"/>
  <c r="W63" i="30"/>
  <c r="V63" i="30"/>
  <c r="W62" i="30"/>
  <c r="V62" i="30"/>
  <c r="W61" i="30"/>
  <c r="V61" i="30"/>
  <c r="W60" i="30"/>
  <c r="V60" i="30"/>
  <c r="W59" i="30"/>
  <c r="V59" i="30"/>
  <c r="V57" i="30"/>
  <c r="W56" i="30"/>
  <c r="V56" i="30"/>
  <c r="W55" i="30"/>
  <c r="V55" i="30"/>
  <c r="W54" i="30"/>
  <c r="V54" i="30"/>
  <c r="W53" i="30"/>
  <c r="V53" i="30"/>
  <c r="W52" i="30"/>
  <c r="V52" i="30"/>
  <c r="W51" i="30"/>
  <c r="V51" i="30"/>
  <c r="W50" i="30"/>
  <c r="V50" i="30"/>
  <c r="W49" i="30"/>
  <c r="V49" i="30"/>
  <c r="W48" i="30"/>
  <c r="V48" i="30"/>
  <c r="W47" i="30"/>
  <c r="V47" i="30"/>
  <c r="W44" i="30"/>
  <c r="V44" i="30"/>
  <c r="W43" i="30"/>
  <c r="V43" i="30"/>
  <c r="W42" i="30"/>
  <c r="V42" i="30"/>
  <c r="W41" i="30"/>
  <c r="V41" i="30"/>
  <c r="W40" i="30"/>
  <c r="V40" i="30"/>
  <c r="W39" i="30"/>
  <c r="V39" i="30"/>
  <c r="W38" i="30"/>
  <c r="V38" i="30"/>
  <c r="W37" i="30"/>
  <c r="V37" i="30"/>
  <c r="W36" i="30"/>
  <c r="V36" i="30"/>
  <c r="W35" i="30"/>
  <c r="V35" i="30"/>
  <c r="V33" i="30"/>
  <c r="W32" i="30"/>
  <c r="V32" i="30"/>
  <c r="W31" i="30"/>
  <c r="V31" i="30"/>
  <c r="W30" i="30"/>
  <c r="V30" i="30"/>
  <c r="W29" i="30"/>
  <c r="V29" i="30"/>
  <c r="W28" i="30"/>
  <c r="V28" i="30"/>
  <c r="W27" i="30"/>
  <c r="V27" i="30"/>
  <c r="W26" i="30"/>
  <c r="V26" i="30"/>
  <c r="W25" i="30"/>
  <c r="V25" i="30"/>
  <c r="W24" i="30"/>
  <c r="V24" i="30"/>
  <c r="W23" i="30"/>
  <c r="V23" i="30"/>
  <c r="V21" i="30"/>
  <c r="W20" i="30"/>
  <c r="V20" i="30"/>
  <c r="W19" i="30"/>
  <c r="V19" i="30"/>
  <c r="W18" i="30"/>
  <c r="V18" i="30"/>
  <c r="W17" i="30"/>
  <c r="V17" i="30"/>
  <c r="W16" i="30"/>
  <c r="V16" i="30"/>
  <c r="W15" i="30"/>
  <c r="V15" i="30"/>
  <c r="W14" i="30"/>
  <c r="V14" i="30"/>
  <c r="W13" i="30"/>
  <c r="V13" i="30"/>
  <c r="W12" i="30"/>
  <c r="V12" i="30"/>
  <c r="W11" i="30"/>
  <c r="V11" i="30"/>
  <c r="V9" i="30"/>
  <c r="W8" i="30"/>
  <c r="V8" i="30"/>
  <c r="W7" i="30"/>
  <c r="V7" i="30"/>
  <c r="W6" i="30"/>
  <c r="V6" i="30"/>
  <c r="V5" i="30"/>
  <c r="J115" i="30"/>
  <c r="J114" i="30"/>
  <c r="J113" i="30"/>
  <c r="J112" i="30"/>
  <c r="J111" i="30"/>
  <c r="J110" i="30"/>
  <c r="J109" i="30"/>
  <c r="J108" i="30"/>
  <c r="J106" i="30"/>
  <c r="J104" i="30"/>
  <c r="J103" i="30"/>
  <c r="J102" i="30"/>
  <c r="J101" i="30"/>
  <c r="J100" i="30"/>
  <c r="J99" i="30"/>
  <c r="J98" i="30"/>
  <c r="J97" i="30"/>
  <c r="J96" i="30"/>
  <c r="J94" i="30"/>
  <c r="J92" i="30"/>
  <c r="J91" i="30"/>
  <c r="J90" i="30"/>
  <c r="J89" i="30"/>
  <c r="J88" i="30"/>
  <c r="J87" i="30"/>
  <c r="J86" i="30"/>
  <c r="J85" i="30"/>
  <c r="J84" i="30"/>
  <c r="J82" i="30"/>
  <c r="J80" i="30"/>
  <c r="J79" i="30"/>
  <c r="J78" i="30"/>
  <c r="J77" i="30"/>
  <c r="J76" i="30"/>
  <c r="J75" i="30"/>
  <c r="J74" i="30"/>
  <c r="J73" i="30"/>
  <c r="J72" i="30"/>
  <c r="J70" i="30"/>
  <c r="J68" i="30"/>
  <c r="J67" i="30"/>
  <c r="J66" i="30"/>
  <c r="J65" i="30"/>
  <c r="J64" i="30"/>
  <c r="J63" i="30"/>
  <c r="J62" i="30"/>
  <c r="J61" i="30"/>
  <c r="J60" i="30"/>
  <c r="J58" i="30"/>
  <c r="J56" i="30"/>
  <c r="J55" i="30"/>
  <c r="J54" i="30"/>
  <c r="J53" i="30"/>
  <c r="J52" i="30"/>
  <c r="J51" i="30"/>
  <c r="J50" i="30"/>
  <c r="J49" i="30"/>
  <c r="J48" i="30"/>
  <c r="J46" i="30"/>
  <c r="J44" i="30"/>
  <c r="J43" i="30"/>
  <c r="J42" i="30"/>
  <c r="J41" i="30"/>
  <c r="J40" i="30"/>
  <c r="J39" i="30"/>
  <c r="J38" i="30"/>
  <c r="J37" i="30"/>
  <c r="J36" i="30"/>
  <c r="J34" i="30"/>
  <c r="J32" i="30"/>
  <c r="J31" i="30"/>
  <c r="J30" i="30"/>
  <c r="J29" i="30"/>
  <c r="J28" i="30"/>
  <c r="J27" i="30"/>
  <c r="J26" i="30"/>
  <c r="J25" i="30"/>
  <c r="J24" i="30"/>
  <c r="J22" i="30"/>
  <c r="J20" i="30"/>
  <c r="J19" i="30"/>
  <c r="J18" i="30"/>
  <c r="J17" i="30"/>
  <c r="J16" i="30"/>
  <c r="J15" i="30"/>
  <c r="J14" i="30"/>
  <c r="J13" i="30"/>
  <c r="J12" i="30"/>
  <c r="J10" i="30"/>
  <c r="J8" i="30"/>
  <c r="J7" i="30"/>
  <c r="J6" i="30"/>
  <c r="J5" i="30"/>
  <c r="K115" i="30"/>
  <c r="K114" i="30"/>
  <c r="K113" i="30"/>
  <c r="K112" i="30"/>
  <c r="K111" i="30"/>
  <c r="K110" i="30"/>
  <c r="K109" i="30"/>
  <c r="K108" i="30"/>
  <c r="K106" i="30"/>
  <c r="K104" i="30"/>
  <c r="K103" i="30"/>
  <c r="K102" i="30"/>
  <c r="K101" i="30"/>
  <c r="K100" i="30"/>
  <c r="K99" i="30"/>
  <c r="K98" i="30"/>
  <c r="K97" i="30"/>
  <c r="K96" i="30"/>
  <c r="K94" i="30"/>
  <c r="K92" i="30"/>
  <c r="K91" i="30"/>
  <c r="K90" i="30"/>
  <c r="K89" i="30"/>
  <c r="K88" i="30"/>
  <c r="K87" i="30"/>
  <c r="K86" i="30"/>
  <c r="K85" i="30"/>
  <c r="K84" i="30"/>
  <c r="K82" i="30"/>
  <c r="K80" i="30"/>
  <c r="K79" i="30"/>
  <c r="K78" i="30"/>
  <c r="K77" i="30"/>
  <c r="K76" i="30"/>
  <c r="K75" i="30"/>
  <c r="K74" i="30"/>
  <c r="K73" i="30"/>
  <c r="K72" i="30"/>
  <c r="K70" i="30"/>
  <c r="K68" i="30"/>
  <c r="K67" i="30"/>
  <c r="K66" i="30"/>
  <c r="K65" i="30"/>
  <c r="K64" i="30"/>
  <c r="K63" i="30"/>
  <c r="K62" i="30"/>
  <c r="K61" i="30"/>
  <c r="K60" i="30"/>
  <c r="K58" i="30"/>
  <c r="K56" i="30"/>
  <c r="K55" i="30"/>
  <c r="K54" i="30"/>
  <c r="K53" i="30"/>
  <c r="K52" i="30"/>
  <c r="K51" i="30"/>
  <c r="K50" i="30"/>
  <c r="K49" i="30"/>
  <c r="K48" i="30"/>
  <c r="K46" i="30"/>
  <c r="K44" i="30"/>
  <c r="K43" i="30"/>
  <c r="K42" i="30"/>
  <c r="K41" i="30"/>
  <c r="K40" i="30"/>
  <c r="K39" i="30"/>
  <c r="K38" i="30"/>
  <c r="K37" i="30"/>
  <c r="K36" i="30"/>
  <c r="K34" i="30"/>
  <c r="K32" i="30"/>
  <c r="K31" i="30"/>
  <c r="K30" i="30"/>
  <c r="K29" i="30"/>
  <c r="K28" i="30"/>
  <c r="K27" i="30"/>
  <c r="K26" i="30"/>
  <c r="K25" i="30"/>
  <c r="K24" i="30"/>
  <c r="K22" i="30"/>
  <c r="K20" i="30"/>
  <c r="K19" i="30"/>
  <c r="K18" i="30"/>
  <c r="K17" i="30"/>
  <c r="K16" i="30"/>
  <c r="K15" i="30"/>
  <c r="K14" i="30"/>
  <c r="K13" i="30"/>
  <c r="K10" i="30"/>
  <c r="N115" i="30"/>
  <c r="B115" i="30"/>
  <c r="N114" i="30"/>
  <c r="B114" i="30"/>
  <c r="N113" i="30"/>
  <c r="B113" i="30"/>
  <c r="N112" i="30"/>
  <c r="B112" i="30"/>
  <c r="N111" i="30"/>
  <c r="B111" i="30"/>
  <c r="N110" i="30"/>
  <c r="B110" i="30"/>
  <c r="N109" i="30"/>
  <c r="B109" i="30"/>
  <c r="N108" i="30"/>
  <c r="B108" i="30"/>
  <c r="N107" i="30"/>
  <c r="B107" i="30"/>
  <c r="N106" i="30"/>
  <c r="B106" i="30"/>
  <c r="N105" i="30"/>
  <c r="B105" i="30"/>
  <c r="N104" i="30"/>
  <c r="B104" i="30"/>
  <c r="N103" i="30"/>
  <c r="B103" i="30"/>
  <c r="N102" i="30"/>
  <c r="B102" i="30"/>
  <c r="N101" i="30"/>
  <c r="B101" i="30"/>
  <c r="N100" i="30"/>
  <c r="B100" i="30"/>
  <c r="N99" i="30"/>
  <c r="B99" i="30"/>
  <c r="N98" i="30"/>
  <c r="B98" i="30"/>
  <c r="N97" i="30"/>
  <c r="B97" i="30"/>
  <c r="N96" i="30"/>
  <c r="B96" i="30"/>
  <c r="N95" i="30"/>
  <c r="B95" i="30"/>
  <c r="N94" i="30"/>
  <c r="B94" i="30"/>
  <c r="N93" i="30"/>
  <c r="B93" i="30"/>
  <c r="N92" i="30"/>
  <c r="B92" i="30"/>
  <c r="N91" i="30"/>
  <c r="B91" i="30"/>
  <c r="N90" i="30"/>
  <c r="B90" i="30"/>
  <c r="N89" i="30"/>
  <c r="B89" i="30"/>
  <c r="N88" i="30"/>
  <c r="B88" i="30"/>
  <c r="N87" i="30"/>
  <c r="B87" i="30"/>
  <c r="N86" i="30"/>
  <c r="B86" i="30"/>
  <c r="N85" i="30"/>
  <c r="B85" i="30"/>
  <c r="N84" i="30"/>
  <c r="B84" i="30"/>
  <c r="N83" i="30"/>
  <c r="B83" i="30"/>
  <c r="N82" i="30"/>
  <c r="B82" i="30"/>
  <c r="N81" i="30"/>
  <c r="B81" i="30"/>
  <c r="N80" i="30"/>
  <c r="B80" i="30"/>
  <c r="N79" i="30"/>
  <c r="B79" i="30"/>
  <c r="N78" i="30"/>
  <c r="B78" i="30"/>
  <c r="N77" i="30"/>
  <c r="B77" i="30"/>
  <c r="N76" i="30"/>
  <c r="B76" i="30"/>
  <c r="N75" i="30"/>
  <c r="B75" i="30"/>
  <c r="N74" i="30"/>
  <c r="B74" i="30"/>
  <c r="N73" i="30"/>
  <c r="B73" i="30"/>
  <c r="N72" i="30"/>
  <c r="B72" i="30"/>
  <c r="N71" i="30"/>
  <c r="B71" i="30"/>
  <c r="N70" i="30"/>
  <c r="B70" i="30"/>
  <c r="N69" i="30"/>
  <c r="B69" i="30"/>
  <c r="N68" i="30"/>
  <c r="B68" i="30"/>
  <c r="N67" i="30"/>
  <c r="B67" i="30"/>
  <c r="N66" i="30"/>
  <c r="B66" i="30"/>
  <c r="N65" i="30"/>
  <c r="B65" i="30"/>
  <c r="N64" i="30"/>
  <c r="B64" i="30"/>
  <c r="N63" i="30"/>
  <c r="B63" i="30"/>
  <c r="N62" i="30"/>
  <c r="B62" i="30"/>
  <c r="N61" i="30"/>
  <c r="B61" i="30"/>
  <c r="N60" i="30"/>
  <c r="B60" i="30"/>
  <c r="N59" i="30"/>
  <c r="B59" i="30"/>
  <c r="N58" i="30"/>
  <c r="B58" i="30"/>
  <c r="N57" i="30"/>
  <c r="B57" i="30"/>
  <c r="N56" i="30"/>
  <c r="B56" i="30"/>
  <c r="N55" i="30"/>
  <c r="B55" i="30"/>
  <c r="N54" i="30"/>
  <c r="B54" i="30"/>
  <c r="N53" i="30"/>
  <c r="B53" i="30"/>
  <c r="N52" i="30"/>
  <c r="B52" i="30"/>
  <c r="N51" i="30"/>
  <c r="B51" i="30"/>
  <c r="N50" i="30"/>
  <c r="B50" i="30"/>
  <c r="N49" i="30"/>
  <c r="B49" i="30"/>
  <c r="N48" i="30"/>
  <c r="B48" i="30"/>
  <c r="N47" i="30"/>
  <c r="B47" i="30"/>
  <c r="N46" i="30"/>
  <c r="B46" i="30"/>
  <c r="N45" i="30"/>
  <c r="B45" i="30"/>
  <c r="N44" i="30"/>
  <c r="B44" i="30"/>
  <c r="N43" i="30"/>
  <c r="B43" i="30"/>
  <c r="N42" i="30"/>
  <c r="B42" i="30"/>
  <c r="N41" i="30"/>
  <c r="B41" i="30"/>
  <c r="N40" i="30"/>
  <c r="B40" i="30"/>
  <c r="N39" i="30"/>
  <c r="B39" i="30"/>
  <c r="N38" i="30"/>
  <c r="B38" i="30"/>
  <c r="N37" i="30"/>
  <c r="B37" i="30"/>
  <c r="N36" i="30"/>
  <c r="B36" i="30"/>
  <c r="N35" i="30"/>
  <c r="B35" i="30"/>
  <c r="N34" i="30"/>
  <c r="B34" i="30"/>
  <c r="N33" i="30"/>
  <c r="B33" i="30"/>
  <c r="N32" i="30"/>
  <c r="B32" i="30"/>
  <c r="N31" i="30"/>
  <c r="B31" i="30"/>
  <c r="N30" i="30"/>
  <c r="B30" i="30"/>
  <c r="N29" i="30"/>
  <c r="B29" i="30"/>
  <c r="N28" i="30"/>
  <c r="B28" i="30"/>
  <c r="N27" i="30"/>
  <c r="B27" i="30"/>
  <c r="N26" i="30"/>
  <c r="B26" i="30"/>
  <c r="N25" i="30"/>
  <c r="B25" i="30"/>
  <c r="N24" i="30"/>
  <c r="B24" i="30"/>
  <c r="N23" i="30"/>
  <c r="B23" i="30"/>
  <c r="N22" i="30"/>
  <c r="B22" i="30"/>
  <c r="N21" i="30"/>
  <c r="B21" i="30"/>
  <c r="N20" i="30"/>
  <c r="B20" i="30"/>
  <c r="N19" i="30"/>
  <c r="B19" i="30"/>
  <c r="N18" i="30"/>
  <c r="B18" i="30"/>
  <c r="N17" i="30"/>
  <c r="B17" i="30"/>
  <c r="N16" i="30"/>
  <c r="B16" i="30"/>
  <c r="N15" i="30"/>
  <c r="B15" i="30"/>
  <c r="N14" i="30"/>
  <c r="B14" i="30"/>
  <c r="N13" i="30"/>
  <c r="B13" i="30"/>
  <c r="N12" i="30"/>
  <c r="B12" i="30"/>
  <c r="N11" i="30"/>
  <c r="B11" i="30"/>
  <c r="N10" i="30"/>
  <c r="B10" i="30"/>
  <c r="N9" i="30"/>
  <c r="B9" i="30"/>
  <c r="N8" i="30"/>
  <c r="B8" i="30"/>
  <c r="N7" i="30"/>
  <c r="M7" i="30"/>
  <c r="M8" i="30" s="1"/>
  <c r="M9" i="30" s="1"/>
  <c r="M10" i="30" s="1"/>
  <c r="M11" i="30" s="1"/>
  <c r="M12" i="30" s="1"/>
  <c r="M13" i="30" s="1"/>
  <c r="M14" i="30" s="1"/>
  <c r="M15" i="30" s="1"/>
  <c r="M16" i="30" s="1"/>
  <c r="M17" i="30" s="1"/>
  <c r="M18" i="30" s="1"/>
  <c r="M19" i="30" s="1"/>
  <c r="M20" i="30" s="1"/>
  <c r="M21" i="30" s="1"/>
  <c r="M22" i="30" s="1"/>
  <c r="M23" i="30" s="1"/>
  <c r="M24" i="30" s="1"/>
  <c r="M25" i="30" s="1"/>
  <c r="M26" i="30" s="1"/>
  <c r="M27" i="30" s="1"/>
  <c r="M28" i="30" s="1"/>
  <c r="M29" i="30" s="1"/>
  <c r="M30" i="30" s="1"/>
  <c r="M31" i="30" s="1"/>
  <c r="M32" i="30" s="1"/>
  <c r="M33" i="30" s="1"/>
  <c r="M34" i="30" s="1"/>
  <c r="M35" i="30" s="1"/>
  <c r="M36" i="30" s="1"/>
  <c r="M37" i="30" s="1"/>
  <c r="M38" i="30" s="1"/>
  <c r="M39" i="30" s="1"/>
  <c r="M40" i="30" s="1"/>
  <c r="M41" i="30" s="1"/>
  <c r="M42" i="30" s="1"/>
  <c r="M43" i="30" s="1"/>
  <c r="M44" i="30" s="1"/>
  <c r="M45" i="30" s="1"/>
  <c r="M46" i="30" s="1"/>
  <c r="M47" i="30" s="1"/>
  <c r="M48" i="30" s="1"/>
  <c r="M49" i="30" s="1"/>
  <c r="M50" i="30" s="1"/>
  <c r="M51" i="30" s="1"/>
  <c r="M52" i="30" s="1"/>
  <c r="M53" i="30" s="1"/>
  <c r="M54" i="30" s="1"/>
  <c r="M55" i="30" s="1"/>
  <c r="M56" i="30" s="1"/>
  <c r="M57" i="30" s="1"/>
  <c r="M58" i="30" s="1"/>
  <c r="M59" i="30" s="1"/>
  <c r="M60" i="30" s="1"/>
  <c r="M61" i="30" s="1"/>
  <c r="M62" i="30" s="1"/>
  <c r="M63" i="30" s="1"/>
  <c r="M64" i="30" s="1"/>
  <c r="M65" i="30" s="1"/>
  <c r="M66" i="30" s="1"/>
  <c r="M67" i="30" s="1"/>
  <c r="M68" i="30" s="1"/>
  <c r="M69" i="30" s="1"/>
  <c r="M70" i="30" s="1"/>
  <c r="M71" i="30" s="1"/>
  <c r="M72" i="30" s="1"/>
  <c r="M73" i="30" s="1"/>
  <c r="M74" i="30" s="1"/>
  <c r="M75" i="30" s="1"/>
  <c r="M76" i="30" s="1"/>
  <c r="M77" i="30" s="1"/>
  <c r="M78" i="30" s="1"/>
  <c r="M79" i="30" s="1"/>
  <c r="M80" i="30" s="1"/>
  <c r="M81" i="30" s="1"/>
  <c r="M82" i="30" s="1"/>
  <c r="M83" i="30" s="1"/>
  <c r="M84" i="30" s="1"/>
  <c r="M85" i="30" s="1"/>
  <c r="M86" i="30" s="1"/>
  <c r="M87" i="30" s="1"/>
  <c r="M88" i="30" s="1"/>
  <c r="M89" i="30" s="1"/>
  <c r="M90" i="30" s="1"/>
  <c r="M91" i="30" s="1"/>
  <c r="M92" i="30" s="1"/>
  <c r="M93" i="30" s="1"/>
  <c r="M94" i="30" s="1"/>
  <c r="M95" i="30" s="1"/>
  <c r="M96" i="30" s="1"/>
  <c r="M97" i="30" s="1"/>
  <c r="M98" i="30" s="1"/>
  <c r="M99" i="30" s="1"/>
  <c r="M100" i="30" s="1"/>
  <c r="M101" i="30" s="1"/>
  <c r="M102" i="30" s="1"/>
  <c r="M103" i="30" s="1"/>
  <c r="M104" i="30" s="1"/>
  <c r="M105" i="30" s="1"/>
  <c r="M106" i="30" s="1"/>
  <c r="M107" i="30" s="1"/>
  <c r="M108" i="30" s="1"/>
  <c r="M109" i="30" s="1"/>
  <c r="M110" i="30" s="1"/>
  <c r="M111" i="30" s="1"/>
  <c r="M112" i="30" s="1"/>
  <c r="M113" i="30" s="1"/>
  <c r="M114" i="30" s="1"/>
  <c r="M115" i="30" s="1"/>
  <c r="B7" i="30"/>
  <c r="A7" i="30"/>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A76" i="30" s="1"/>
  <c r="A77" i="30" s="1"/>
  <c r="A78" i="30" s="1"/>
  <c r="A79" i="30" s="1"/>
  <c r="A80" i="30" s="1"/>
  <c r="A81" i="30" s="1"/>
  <c r="A82" i="30" s="1"/>
  <c r="A83" i="30" s="1"/>
  <c r="A84" i="30" s="1"/>
  <c r="A85" i="30" s="1"/>
  <c r="A86" i="30" s="1"/>
  <c r="A87" i="30" s="1"/>
  <c r="A88" i="30" s="1"/>
  <c r="A89" i="30" s="1"/>
  <c r="A90" i="30" s="1"/>
  <c r="A91" i="30" s="1"/>
  <c r="A92" i="30" s="1"/>
  <c r="A93" i="30" s="1"/>
  <c r="A94" i="30" s="1"/>
  <c r="A95" i="30" s="1"/>
  <c r="A96" i="30" s="1"/>
  <c r="A97" i="30" s="1"/>
  <c r="A98" i="30" s="1"/>
  <c r="A99" i="30" s="1"/>
  <c r="A100" i="30" s="1"/>
  <c r="A101" i="30" s="1"/>
  <c r="A102" i="30" s="1"/>
  <c r="A103" i="30" s="1"/>
  <c r="A104" i="30" s="1"/>
  <c r="A105" i="30" s="1"/>
  <c r="A106" i="30" s="1"/>
  <c r="A107" i="30" s="1"/>
  <c r="A108" i="30" s="1"/>
  <c r="A109" i="30" s="1"/>
  <c r="A110" i="30" s="1"/>
  <c r="A111" i="30" s="1"/>
  <c r="A112" i="30" s="1"/>
  <c r="A113" i="30" s="1"/>
  <c r="A114" i="30" s="1"/>
  <c r="A115" i="30" s="1"/>
  <c r="N6" i="30"/>
  <c r="M6" i="30"/>
  <c r="B6" i="30"/>
  <c r="A6" i="30"/>
  <c r="V8" i="18" l="1"/>
  <c r="X8" i="18" a="1"/>
  <c r="X8" i="18" s="1"/>
  <c r="V44" i="18"/>
  <c r="X44" i="18" a="1"/>
  <c r="X44" i="18" s="1"/>
  <c r="W80" i="18"/>
  <c r="X80" i="18" a="1"/>
  <c r="X80" i="18" s="1"/>
  <c r="K22" i="18"/>
  <c r="J34" i="18"/>
  <c r="J46" i="18"/>
  <c r="K34" i="18"/>
  <c r="K46" i="18"/>
  <c r="J58" i="18"/>
  <c r="J106" i="18"/>
  <c r="K58" i="18"/>
  <c r="J70" i="18"/>
  <c r="J82" i="18"/>
  <c r="J94" i="18"/>
  <c r="K106" i="18"/>
  <c r="K70" i="18"/>
  <c r="K82" i="18"/>
  <c r="K94" i="18"/>
  <c r="J22" i="18"/>
  <c r="K84" i="18"/>
  <c r="J96" i="18"/>
  <c r="K96" i="18"/>
  <c r="J48" i="18"/>
  <c r="K108" i="18"/>
  <c r="J45" i="18"/>
  <c r="L45" i="18" a="1"/>
  <c r="L45" i="18" s="1"/>
  <c r="J36" i="18"/>
  <c r="J24" i="18"/>
  <c r="J60" i="18"/>
  <c r="J72" i="18"/>
  <c r="J8" i="18"/>
  <c r="L8" i="18" a="1"/>
  <c r="L8" i="18" s="1"/>
  <c r="K32" i="18"/>
  <c r="L32" i="18" a="1"/>
  <c r="L32" i="18" s="1"/>
  <c r="K44" i="18"/>
  <c r="L44" i="18" a="1"/>
  <c r="L44" i="18" s="1"/>
  <c r="J56" i="18"/>
  <c r="L56" i="18" a="1"/>
  <c r="L56" i="18" s="1"/>
  <c r="K68" i="18"/>
  <c r="L68" i="18" a="1"/>
  <c r="L68" i="18" s="1"/>
  <c r="K80" i="18"/>
  <c r="L80" i="18" a="1"/>
  <c r="L80" i="18" s="1"/>
  <c r="K92" i="18"/>
  <c r="L92" i="18" a="1"/>
  <c r="L92" i="18" s="1"/>
  <c r="K104" i="18"/>
  <c r="L104" i="18" a="1"/>
  <c r="L104" i="18" s="1"/>
  <c r="X2" i="1"/>
  <c r="W7" i="1"/>
  <c r="W10" i="8"/>
  <c r="X3" i="8" a="1"/>
  <c r="X3" i="8" s="1"/>
  <c r="X2" i="8"/>
  <c r="V6" i="8"/>
  <c r="K38" i="8"/>
  <c r="J26" i="8"/>
  <c r="J83" i="8"/>
  <c r="K107" i="8"/>
  <c r="K35" i="8"/>
  <c r="K36" i="8"/>
  <c r="J12" i="8"/>
  <c r="J60" i="8"/>
  <c r="J72" i="8"/>
  <c r="K108" i="8"/>
  <c r="K12" i="8"/>
  <c r="K60" i="8"/>
  <c r="K72" i="8"/>
  <c r="J84" i="8"/>
  <c r="J24" i="8"/>
  <c r="J48" i="8"/>
  <c r="K84" i="8"/>
  <c r="K24" i="8"/>
  <c r="K48" i="8"/>
  <c r="I6" i="8"/>
  <c r="L6" i="8" s="1" a="1"/>
  <c r="L6" i="8" s="1"/>
  <c r="J96" i="8"/>
  <c r="I7" i="8"/>
  <c r="L7" i="8" s="1" a="1"/>
  <c r="L7" i="8" s="1"/>
  <c r="K96" i="8"/>
  <c r="I8" i="8"/>
  <c r="I9" i="8"/>
  <c r="I10" i="8"/>
  <c r="W8" i="18"/>
  <c r="W7" i="18"/>
  <c r="X3" i="18" a="1"/>
  <c r="X3" i="18" s="1"/>
  <c r="X2" i="18"/>
  <c r="U3" i="18" a="1"/>
  <c r="U3" i="18" s="1"/>
  <c r="V8" i="31"/>
  <c r="W33" i="31"/>
  <c r="J44" i="19"/>
  <c r="K44" i="19"/>
  <c r="J32" i="19"/>
  <c r="J56" i="19"/>
  <c r="K56" i="19"/>
  <c r="K8" i="18"/>
  <c r="K20" i="18"/>
  <c r="J20" i="18"/>
  <c r="J80" i="18"/>
  <c r="J68" i="18"/>
  <c r="J92" i="18"/>
  <c r="J104" i="18"/>
  <c r="W92" i="18"/>
  <c r="W44" i="18"/>
  <c r="W68" i="18"/>
  <c r="W104" i="18"/>
  <c r="J21" i="1"/>
  <c r="K21" i="1"/>
  <c r="V93" i="15"/>
  <c r="W81" i="32"/>
  <c r="V93" i="32"/>
  <c r="W69" i="32"/>
  <c r="W21" i="32"/>
  <c r="V45" i="32"/>
  <c r="W9" i="30"/>
  <c r="W21" i="30"/>
  <c r="W33" i="30"/>
  <c r="W57" i="30"/>
  <c r="W69" i="30"/>
  <c r="W81" i="30"/>
  <c r="W93" i="30"/>
  <c r="W105" i="30"/>
  <c r="W45" i="30"/>
  <c r="V10" i="30"/>
  <c r="V22" i="30"/>
  <c r="V34" i="30"/>
  <c r="V46" i="30"/>
  <c r="V58" i="30"/>
  <c r="V70" i="30"/>
  <c r="V82" i="30"/>
  <c r="V94" i="30"/>
  <c r="V106" i="30"/>
  <c r="W22" i="30"/>
  <c r="W58" i="30"/>
  <c r="W70" i="30"/>
  <c r="W82" i="30"/>
  <c r="W94" i="30"/>
  <c r="V45" i="30"/>
  <c r="J23" i="30"/>
  <c r="J35" i="30"/>
  <c r="J47" i="30"/>
  <c r="J59" i="30"/>
  <c r="J71" i="30"/>
  <c r="J83" i="30"/>
  <c r="J95" i="30"/>
  <c r="J107" i="30"/>
  <c r="K21" i="30"/>
  <c r="K33" i="30"/>
  <c r="K45" i="30"/>
  <c r="K57" i="30"/>
  <c r="K69" i="30"/>
  <c r="K81" i="30"/>
  <c r="K93" i="30"/>
  <c r="K105" i="30"/>
  <c r="K9" i="30"/>
  <c r="W8" i="8"/>
  <c r="W92" i="8"/>
  <c r="V32" i="8"/>
  <c r="V44" i="8"/>
  <c r="W68" i="8"/>
  <c r="W32" i="8"/>
  <c r="W44" i="8"/>
  <c r="W56" i="8"/>
  <c r="V69" i="8"/>
  <c r="V45" i="8"/>
  <c r="V105" i="8"/>
  <c r="V9" i="8"/>
  <c r="V81" i="8"/>
  <c r="V93" i="8"/>
  <c r="W105" i="8"/>
  <c r="W9" i="8"/>
  <c r="V21" i="8"/>
  <c r="W81" i="8"/>
  <c r="W93" i="8"/>
  <c r="V33" i="8"/>
  <c r="V57" i="8"/>
  <c r="J107" i="8"/>
  <c r="J9" i="8"/>
  <c r="K33" i="8"/>
  <c r="K21" i="8"/>
  <c r="K23" i="8"/>
  <c r="J23" i="8"/>
  <c r="K76" i="8"/>
  <c r="K26" i="8"/>
  <c r="J38" i="8"/>
  <c r="K16" i="8"/>
  <c r="K28" i="8"/>
  <c r="K88" i="8"/>
  <c r="J88" i="8"/>
  <c r="K40" i="8"/>
  <c r="J45" i="8"/>
  <c r="K20" i="8"/>
  <c r="J20" i="8"/>
  <c r="K44" i="8"/>
  <c r="K32" i="8"/>
  <c r="K81" i="8"/>
  <c r="J32" i="8"/>
  <c r="J48" i="19"/>
  <c r="J11" i="19"/>
  <c r="K17" i="19"/>
  <c r="J24" i="19"/>
  <c r="K35" i="19"/>
  <c r="J43" i="19"/>
  <c r="K48" i="19"/>
  <c r="J55" i="19"/>
  <c r="J62" i="19"/>
  <c r="K91" i="19"/>
  <c r="J91" i="19"/>
  <c r="K11" i="19"/>
  <c r="K24" i="19"/>
  <c r="K29" i="19"/>
  <c r="K39" i="19"/>
  <c r="K43" i="19"/>
  <c r="K55" i="19"/>
  <c r="K62" i="19"/>
  <c r="K68" i="19"/>
  <c r="J68" i="19"/>
  <c r="K109" i="19"/>
  <c r="J109" i="19"/>
  <c r="J47" i="19"/>
  <c r="J73" i="19"/>
  <c r="K15" i="19"/>
  <c r="K47" i="19"/>
  <c r="K51" i="19"/>
  <c r="J61" i="19"/>
  <c r="K73" i="19"/>
  <c r="K33" i="19"/>
  <c r="J42" i="19"/>
  <c r="J67" i="19"/>
  <c r="K103" i="19"/>
  <c r="J103" i="19"/>
  <c r="K27" i="19"/>
  <c r="J37" i="19"/>
  <c r="J54" i="19"/>
  <c r="K67" i="19"/>
  <c r="K85" i="19"/>
  <c r="J85" i="19"/>
  <c r="J5" i="19"/>
  <c r="J8" i="19"/>
  <c r="K21" i="19"/>
  <c r="J27" i="19"/>
  <c r="K37" i="19"/>
  <c r="K50" i="19"/>
  <c r="K54" i="19"/>
  <c r="K80" i="19"/>
  <c r="J80" i="19"/>
  <c r="K8" i="19"/>
  <c r="J21" i="19"/>
  <c r="J31" i="19"/>
  <c r="K32" i="19"/>
  <c r="J41" i="19"/>
  <c r="J49" i="19"/>
  <c r="K97" i="19"/>
  <c r="J97" i="19"/>
  <c r="J25" i="19"/>
  <c r="K45" i="19"/>
  <c r="K57" i="19"/>
  <c r="J60" i="19"/>
  <c r="J72" i="19"/>
  <c r="K115" i="19"/>
  <c r="J115" i="19"/>
  <c r="J19" i="19"/>
  <c r="K20" i="19"/>
  <c r="K25" i="19"/>
  <c r="J36" i="19"/>
  <c r="J45" i="19"/>
  <c r="J57" i="19"/>
  <c r="K60" i="19"/>
  <c r="K63" i="19"/>
  <c r="J63" i="19"/>
  <c r="J66" i="19"/>
  <c r="K72" i="19"/>
  <c r="K19" i="19"/>
  <c r="K74" i="19"/>
  <c r="J74" i="19"/>
  <c r="J79" i="19"/>
  <c r="J86" i="19"/>
  <c r="J92" i="19"/>
  <c r="J98" i="19"/>
  <c r="J104" i="19"/>
  <c r="J110" i="19"/>
  <c r="K86" i="19"/>
  <c r="K92" i="19"/>
  <c r="K98" i="19"/>
  <c r="K104" i="19"/>
  <c r="K110" i="19"/>
  <c r="J69" i="19"/>
  <c r="J75" i="19"/>
  <c r="J81" i="19"/>
  <c r="J87" i="19"/>
  <c r="K69" i="19"/>
  <c r="K75" i="19"/>
  <c r="K81" i="19"/>
  <c r="K87" i="19"/>
  <c r="K93" i="19"/>
  <c r="K99" i="19"/>
  <c r="K105" i="19"/>
  <c r="K111" i="19"/>
  <c r="J16" i="19"/>
  <c r="J22" i="19"/>
  <c r="J28" i="19"/>
  <c r="J34" i="19"/>
  <c r="J40" i="19"/>
  <c r="J46" i="19"/>
  <c r="J52" i="19"/>
  <c r="J58" i="19"/>
  <c r="J64" i="19"/>
  <c r="J70" i="19"/>
  <c r="J76" i="19"/>
  <c r="J82" i="19"/>
  <c r="J88" i="19"/>
  <c r="J94" i="19"/>
  <c r="J100" i="19"/>
  <c r="J106" i="19"/>
  <c r="J112" i="19"/>
  <c r="K112" i="19"/>
  <c r="J53" i="19"/>
  <c r="J59" i="19"/>
  <c r="J65" i="19"/>
  <c r="J71" i="19"/>
  <c r="J77" i="19"/>
  <c r="J83" i="19"/>
  <c r="J89" i="19"/>
  <c r="J95" i="19"/>
  <c r="J101" i="19"/>
  <c r="J107" i="19"/>
  <c r="J113" i="19"/>
  <c r="K113" i="19"/>
  <c r="W54" i="18"/>
  <c r="V54" i="18"/>
  <c r="K63" i="18"/>
  <c r="J63" i="18"/>
  <c r="W65" i="18"/>
  <c r="V65" i="18"/>
  <c r="J9" i="18"/>
  <c r="J26" i="18"/>
  <c r="V32" i="18"/>
  <c r="K39" i="18"/>
  <c r="V47" i="18"/>
  <c r="J73" i="18"/>
  <c r="J79" i="18"/>
  <c r="J85" i="18"/>
  <c r="J91" i="18"/>
  <c r="J97" i="18"/>
  <c r="J103" i="18"/>
  <c r="W107" i="18"/>
  <c r="V107" i="18"/>
  <c r="I3" i="18" a="1"/>
  <c r="I3" i="18" s="1"/>
  <c r="V5" i="18"/>
  <c r="V6" i="18"/>
  <c r="K9" i="18"/>
  <c r="V12" i="18"/>
  <c r="K24" i="18"/>
  <c r="K26" i="18"/>
  <c r="W30" i="18"/>
  <c r="V30" i="18"/>
  <c r="J37" i="18"/>
  <c r="J39" i="18"/>
  <c r="W46" i="18"/>
  <c r="W47" i="18"/>
  <c r="J49" i="18"/>
  <c r="K57" i="18"/>
  <c r="J57" i="18"/>
  <c r="W6" i="18"/>
  <c r="J10" i="18"/>
  <c r="W12" i="18"/>
  <c r="V16" i="18"/>
  <c r="K37" i="18"/>
  <c r="V64" i="18"/>
  <c r="W71" i="18"/>
  <c r="V71" i="18"/>
  <c r="W77" i="18"/>
  <c r="V77" i="18"/>
  <c r="W83" i="18"/>
  <c r="V83" i="18"/>
  <c r="W89" i="18"/>
  <c r="V89" i="18"/>
  <c r="W95" i="18"/>
  <c r="V95" i="18"/>
  <c r="W101" i="18"/>
  <c r="V101" i="18"/>
  <c r="V112" i="18"/>
  <c r="V7" i="18"/>
  <c r="K10" i="18"/>
  <c r="V13" i="18"/>
  <c r="V14" i="18"/>
  <c r="W16" i="18"/>
  <c r="W17" i="18"/>
  <c r="K21" i="18"/>
  <c r="K36" i="18"/>
  <c r="K38" i="18"/>
  <c r="W42" i="18"/>
  <c r="V42" i="18"/>
  <c r="V53" i="18"/>
  <c r="W59" i="18"/>
  <c r="W64" i="18"/>
  <c r="W112" i="18"/>
  <c r="J11" i="18"/>
  <c r="W13" i="18"/>
  <c r="J19" i="18"/>
  <c r="J21" i="18"/>
  <c r="V28" i="18"/>
  <c r="V29" i="18"/>
  <c r="K48" i="18"/>
  <c r="W53" i="18"/>
  <c r="V106" i="18"/>
  <c r="K33" i="18"/>
  <c r="V70" i="18"/>
  <c r="V76" i="18"/>
  <c r="V82" i="18"/>
  <c r="V88" i="18"/>
  <c r="V94" i="18"/>
  <c r="V100" i="18"/>
  <c r="J6" i="18"/>
  <c r="J12" i="18"/>
  <c r="K18" i="18"/>
  <c r="W24" i="18"/>
  <c r="V24" i="18"/>
  <c r="J31" i="18"/>
  <c r="J33" i="18"/>
  <c r="V40" i="18"/>
  <c r="V41" i="18"/>
  <c r="V50" i="18"/>
  <c r="W58" i="18"/>
  <c r="W70" i="18"/>
  <c r="W76" i="18"/>
  <c r="W82" i="18"/>
  <c r="W88" i="18"/>
  <c r="W94" i="18"/>
  <c r="W100" i="18"/>
  <c r="K6" i="18"/>
  <c r="V9" i="18"/>
  <c r="K12" i="18"/>
  <c r="K31" i="18"/>
  <c r="J32" i="18"/>
  <c r="V38" i="18"/>
  <c r="W40" i="18"/>
  <c r="W41" i="18"/>
  <c r="K45" i="18"/>
  <c r="K54" i="18"/>
  <c r="K60" i="18"/>
  <c r="W62" i="18"/>
  <c r="V62" i="18"/>
  <c r="K15" i="18"/>
  <c r="W36" i="18"/>
  <c r="V36" i="18"/>
  <c r="W48" i="18"/>
  <c r="V48" i="18"/>
  <c r="K7" i="18"/>
  <c r="V10" i="18"/>
  <c r="K13" i="18"/>
  <c r="J15" i="18"/>
  <c r="K17" i="18"/>
  <c r="V22" i="18"/>
  <c r="V23" i="18"/>
  <c r="K43" i="18"/>
  <c r="J44" i="18"/>
  <c r="V56" i="18"/>
  <c r="W113" i="18"/>
  <c r="V113" i="18"/>
  <c r="W18" i="18"/>
  <c r="V18" i="18"/>
  <c r="V20" i="18"/>
  <c r="W23" i="18"/>
  <c r="K27" i="18"/>
  <c r="K42" i="18"/>
  <c r="K51" i="18"/>
  <c r="J67" i="18"/>
  <c r="J69" i="18"/>
  <c r="J75" i="18"/>
  <c r="J81" i="18"/>
  <c r="J87" i="18"/>
  <c r="J93" i="18"/>
  <c r="J99" i="18"/>
  <c r="J105" i="18"/>
  <c r="J111" i="18"/>
  <c r="V60" i="18"/>
  <c r="V66" i="18"/>
  <c r="K69" i="18"/>
  <c r="V72" i="18"/>
  <c r="K75" i="18"/>
  <c r="V78" i="18"/>
  <c r="K81" i="18"/>
  <c r="V84" i="18"/>
  <c r="K87" i="18"/>
  <c r="V90" i="18"/>
  <c r="K93" i="18"/>
  <c r="V96" i="18"/>
  <c r="K99" i="18"/>
  <c r="V102" i="18"/>
  <c r="K105" i="18"/>
  <c r="V108" i="18"/>
  <c r="K111" i="18"/>
  <c r="V114" i="18"/>
  <c r="W60" i="18"/>
  <c r="W66" i="18"/>
  <c r="W72" i="18"/>
  <c r="W78" i="18"/>
  <c r="W84" i="18"/>
  <c r="W90" i="18"/>
  <c r="W96" i="18"/>
  <c r="W102" i="18"/>
  <c r="W108" i="18"/>
  <c r="W114" i="18"/>
  <c r="V115" i="18"/>
  <c r="J113" i="18"/>
  <c r="W115" i="18"/>
  <c r="V68" i="18"/>
  <c r="V74" i="18"/>
  <c r="V80" i="18"/>
  <c r="V86" i="18"/>
  <c r="V92" i="18"/>
  <c r="V98" i="18"/>
  <c r="V104" i="18"/>
  <c r="V110" i="18"/>
  <c r="U3" i="1" a="1"/>
  <c r="U3" i="1" s="1"/>
  <c r="K16" i="1"/>
  <c r="X3" i="1" a="1"/>
  <c r="X3" i="1" s="1"/>
  <c r="K6" i="1"/>
  <c r="V9" i="1"/>
  <c r="K12" i="1"/>
  <c r="J43" i="1"/>
  <c r="W46" i="1"/>
  <c r="J7" i="1"/>
  <c r="W9" i="1"/>
  <c r="J13" i="1"/>
  <c r="W16" i="1"/>
  <c r="J19" i="1"/>
  <c r="K43" i="1"/>
  <c r="V46" i="1"/>
  <c r="W64" i="1"/>
  <c r="V64" i="1"/>
  <c r="W100" i="1"/>
  <c r="V100" i="1"/>
  <c r="J14" i="1"/>
  <c r="K22" i="1"/>
  <c r="J22" i="1"/>
  <c r="K34" i="1"/>
  <c r="J34" i="1"/>
  <c r="J37" i="1"/>
  <c r="K61" i="1"/>
  <c r="W82" i="1"/>
  <c r="V82" i="1"/>
  <c r="J5" i="1"/>
  <c r="J8" i="1"/>
  <c r="W10" i="1"/>
  <c r="K14" i="1"/>
  <c r="J25" i="1"/>
  <c r="K28" i="1"/>
  <c r="J28" i="1"/>
  <c r="J31" i="1"/>
  <c r="K37" i="1"/>
  <c r="W40" i="1"/>
  <c r="K50" i="1"/>
  <c r="J50" i="1"/>
  <c r="J61" i="1"/>
  <c r="K8" i="1"/>
  <c r="W19" i="1"/>
  <c r="V19" i="1"/>
  <c r="W22" i="1"/>
  <c r="K25" i="1"/>
  <c r="K31" i="1"/>
  <c r="W34" i="1"/>
  <c r="W88" i="1"/>
  <c r="V88" i="1"/>
  <c r="W106" i="1"/>
  <c r="V106" i="1"/>
  <c r="W112" i="1"/>
  <c r="V112" i="1"/>
  <c r="W28" i="1"/>
  <c r="W70" i="1"/>
  <c r="V70" i="1"/>
  <c r="I3" i="1" a="1"/>
  <c r="I3" i="1" s="1"/>
  <c r="V5" i="1"/>
  <c r="V6" i="1"/>
  <c r="K9" i="1"/>
  <c r="V12" i="1"/>
  <c r="V15" i="1"/>
  <c r="V28" i="1"/>
  <c r="K44" i="1"/>
  <c r="J44" i="1"/>
  <c r="W6" i="1"/>
  <c r="J10" i="1"/>
  <c r="W12" i="1"/>
  <c r="W15" i="1"/>
  <c r="K20" i="1"/>
  <c r="J20" i="1"/>
  <c r="J55" i="1"/>
  <c r="W58" i="1"/>
  <c r="V58" i="1"/>
  <c r="V7" i="1"/>
  <c r="K10" i="1"/>
  <c r="V13" i="1"/>
  <c r="W14" i="1"/>
  <c r="K38" i="1"/>
  <c r="J38" i="1"/>
  <c r="K55" i="1"/>
  <c r="W76" i="1"/>
  <c r="V76" i="1"/>
  <c r="K26" i="1"/>
  <c r="J26" i="1"/>
  <c r="K32" i="1"/>
  <c r="J32" i="1"/>
  <c r="J49" i="1"/>
  <c r="W52" i="1"/>
  <c r="W94" i="1"/>
  <c r="V94" i="1"/>
  <c r="K67" i="1"/>
  <c r="K73" i="1"/>
  <c r="K79" i="1"/>
  <c r="K85" i="1"/>
  <c r="K91" i="1"/>
  <c r="K97" i="1"/>
  <c r="K103" i="1"/>
  <c r="K109" i="1"/>
  <c r="K115" i="1"/>
  <c r="J56" i="1"/>
  <c r="J62" i="1"/>
  <c r="J68" i="1"/>
  <c r="J74" i="1"/>
  <c r="J80" i="1"/>
  <c r="J86" i="1"/>
  <c r="J92" i="1"/>
  <c r="J98" i="1"/>
  <c r="J104" i="1"/>
  <c r="J110" i="1"/>
  <c r="V17" i="1"/>
  <c r="V23" i="1"/>
  <c r="V29" i="1"/>
  <c r="V35" i="1"/>
  <c r="V41" i="1"/>
  <c r="V47" i="1"/>
  <c r="V53" i="1"/>
  <c r="K56" i="1"/>
  <c r="V59" i="1"/>
  <c r="K62" i="1"/>
  <c r="V65" i="1"/>
  <c r="K68" i="1"/>
  <c r="V71" i="1"/>
  <c r="K74" i="1"/>
  <c r="V77" i="1"/>
  <c r="K80" i="1"/>
  <c r="V83" i="1"/>
  <c r="K86" i="1"/>
  <c r="V89" i="1"/>
  <c r="K92" i="1"/>
  <c r="V95" i="1"/>
  <c r="K98" i="1"/>
  <c r="V101" i="1"/>
  <c r="K104" i="1"/>
  <c r="V107" i="1"/>
  <c r="K110" i="1"/>
  <c r="V113" i="1"/>
  <c r="J33" i="1"/>
  <c r="J39" i="1"/>
  <c r="J45" i="1"/>
  <c r="J51" i="1"/>
  <c r="J57" i="1"/>
  <c r="J63" i="1"/>
  <c r="J69" i="1"/>
  <c r="W71" i="1"/>
  <c r="J75" i="1"/>
  <c r="W77" i="1"/>
  <c r="J81" i="1"/>
  <c r="W83" i="1"/>
  <c r="J87" i="1"/>
  <c r="W89" i="1"/>
  <c r="J93" i="1"/>
  <c r="W95" i="1"/>
  <c r="J99" i="1"/>
  <c r="W101" i="1"/>
  <c r="J105" i="1"/>
  <c r="W107" i="1"/>
  <c r="J111" i="1"/>
  <c r="W113" i="1"/>
  <c r="K99" i="1"/>
  <c r="K105" i="1"/>
  <c r="K111" i="1"/>
  <c r="V114" i="1"/>
  <c r="W30" i="1"/>
  <c r="W36" i="1"/>
  <c r="J40" i="1"/>
  <c r="W42" i="1"/>
  <c r="J46" i="1"/>
  <c r="W48" i="1"/>
  <c r="J52" i="1"/>
  <c r="W54" i="1"/>
  <c r="J58" i="1"/>
  <c r="W60" i="1"/>
  <c r="J64" i="1"/>
  <c r="W66" i="1"/>
  <c r="J70" i="1"/>
  <c r="W72" i="1"/>
  <c r="J76" i="1"/>
  <c r="W78" i="1"/>
  <c r="J82" i="1"/>
  <c r="W84" i="1"/>
  <c r="J88" i="1"/>
  <c r="W90" i="1"/>
  <c r="J94" i="1"/>
  <c r="W96" i="1"/>
  <c r="J100" i="1"/>
  <c r="W102" i="1"/>
  <c r="J106" i="1"/>
  <c r="W108" i="1"/>
  <c r="J112" i="1"/>
  <c r="W114" i="1"/>
  <c r="V25" i="1"/>
  <c r="V31" i="1"/>
  <c r="V37" i="1"/>
  <c r="K40" i="1"/>
  <c r="V43" i="1"/>
  <c r="K46" i="1"/>
  <c r="V49" i="1"/>
  <c r="K52" i="1"/>
  <c r="V55" i="1"/>
  <c r="K58" i="1"/>
  <c r="V61" i="1"/>
  <c r="K64" i="1"/>
  <c r="V67" i="1"/>
  <c r="K70" i="1"/>
  <c r="V73" i="1"/>
  <c r="K76" i="1"/>
  <c r="V79" i="1"/>
  <c r="K82" i="1"/>
  <c r="V85" i="1"/>
  <c r="K88" i="1"/>
  <c r="V91" i="1"/>
  <c r="K94" i="1"/>
  <c r="V97" i="1"/>
  <c r="K100" i="1"/>
  <c r="V103" i="1"/>
  <c r="K106" i="1"/>
  <c r="V109" i="1"/>
  <c r="K112" i="1"/>
  <c r="V115" i="1"/>
  <c r="J17" i="1"/>
  <c r="J23" i="1"/>
  <c r="W25" i="1"/>
  <c r="J29" i="1"/>
  <c r="W31" i="1"/>
  <c r="J35" i="1"/>
  <c r="W37" i="1"/>
  <c r="J41" i="1"/>
  <c r="W43" i="1"/>
  <c r="J47" i="1"/>
  <c r="W49" i="1"/>
  <c r="W55" i="1"/>
  <c r="W61" i="1"/>
  <c r="J65" i="1"/>
  <c r="W67" i="1"/>
  <c r="J71" i="1"/>
  <c r="W73" i="1"/>
  <c r="J77" i="1"/>
  <c r="W79" i="1"/>
  <c r="W85" i="1"/>
  <c r="W91" i="1"/>
  <c r="W97" i="1"/>
  <c r="W103" i="1"/>
  <c r="J107" i="1"/>
  <c r="W109" i="1"/>
  <c r="J113" i="1"/>
  <c r="W115" i="1"/>
  <c r="V14" i="31"/>
  <c r="W12" i="31"/>
  <c r="V20" i="31"/>
  <c r="V10" i="31"/>
  <c r="V19" i="31"/>
  <c r="V25" i="31"/>
  <c r="W8" i="31"/>
  <c r="V15" i="31"/>
  <c r="K22" i="31"/>
  <c r="K28" i="31"/>
  <c r="K17" i="31"/>
  <c r="J28" i="31"/>
  <c r="J23" i="31"/>
  <c r="J34" i="31"/>
  <c r="K16" i="31"/>
  <c r="J6" i="31"/>
  <c r="J17" i="31"/>
  <c r="J29" i="31"/>
  <c r="K9" i="31"/>
  <c r="K23" i="31"/>
  <c r="K6" i="31"/>
  <c r="J10" i="31"/>
  <c r="J12" i="31"/>
  <c r="K29" i="31"/>
  <c r="K10" i="31"/>
  <c r="K12" i="31"/>
  <c r="I3" i="31" a="1"/>
  <c r="I3" i="31" s="1"/>
  <c r="V7" i="31"/>
  <c r="V13" i="31"/>
  <c r="V34" i="31"/>
  <c r="W7" i="31"/>
  <c r="J11" i="31"/>
  <c r="W13" i="31"/>
  <c r="W34" i="31"/>
  <c r="U3" i="31" a="1"/>
  <c r="U3" i="31" s="1"/>
  <c r="K11" i="31"/>
  <c r="W29" i="31"/>
  <c r="V29" i="31"/>
  <c r="V9" i="31"/>
  <c r="W23" i="31"/>
  <c r="V23" i="31"/>
  <c r="J31" i="31"/>
  <c r="J7" i="31"/>
  <c r="W9" i="31"/>
  <c r="J13" i="31"/>
  <c r="W17" i="31"/>
  <c r="V17" i="31"/>
  <c r="K26" i="31"/>
  <c r="V28" i="31"/>
  <c r="K30" i="31"/>
  <c r="V32" i="31"/>
  <c r="K7" i="31"/>
  <c r="K13" i="31"/>
  <c r="K20" i="31"/>
  <c r="J5" i="31"/>
  <c r="J8" i="31"/>
  <c r="W10" i="31"/>
  <c r="J14" i="31"/>
  <c r="J20" i="31"/>
  <c r="V22" i="31"/>
  <c r="K24" i="31"/>
  <c r="J25" i="31"/>
  <c r="K8" i="31"/>
  <c r="V11" i="31"/>
  <c r="K14" i="31"/>
  <c r="V16" i="31"/>
  <c r="K18" i="31"/>
  <c r="J19" i="31"/>
  <c r="W22" i="31"/>
  <c r="K25" i="31"/>
  <c r="W11" i="31"/>
  <c r="W16" i="31"/>
  <c r="V26" i="31"/>
  <c r="K32" i="31"/>
  <c r="J15" i="31"/>
  <c r="J21" i="31"/>
  <c r="J27" i="31"/>
  <c r="J33" i="31"/>
  <c r="K15" i="31"/>
  <c r="K21" i="31"/>
  <c r="K27" i="31"/>
  <c r="K33" i="31"/>
  <c r="V9" i="15"/>
  <c r="K14" i="15"/>
  <c r="J14" i="15"/>
  <c r="W21" i="15"/>
  <c r="W45" i="15"/>
  <c r="K49" i="15"/>
  <c r="J49" i="15"/>
  <c r="K91" i="15"/>
  <c r="J91" i="15"/>
  <c r="J7" i="15"/>
  <c r="W9" i="15"/>
  <c r="K13" i="15"/>
  <c r="J17" i="15"/>
  <c r="V21" i="15"/>
  <c r="V45" i="15"/>
  <c r="K7" i="15"/>
  <c r="W15" i="15"/>
  <c r="K31" i="15"/>
  <c r="J31" i="15"/>
  <c r="K79" i="15"/>
  <c r="J79" i="15"/>
  <c r="K25" i="15"/>
  <c r="J25" i="15"/>
  <c r="K41" i="15"/>
  <c r="J41" i="15"/>
  <c r="K109" i="15"/>
  <c r="J109" i="15"/>
  <c r="K19" i="15"/>
  <c r="J19" i="15"/>
  <c r="K55" i="15"/>
  <c r="J55" i="15"/>
  <c r="K67" i="15"/>
  <c r="J67" i="15"/>
  <c r="W39" i="15"/>
  <c r="K97" i="15"/>
  <c r="J97" i="15"/>
  <c r="I3" i="15" a="1"/>
  <c r="I3" i="15" s="1"/>
  <c r="V5" i="15"/>
  <c r="V6" i="15"/>
  <c r="K9" i="15"/>
  <c r="V12" i="15"/>
  <c r="V13" i="15"/>
  <c r="V39" i="15"/>
  <c r="K43" i="15"/>
  <c r="J43" i="15"/>
  <c r="W6" i="15"/>
  <c r="W12" i="15"/>
  <c r="W13" i="15"/>
  <c r="K35" i="15"/>
  <c r="J35" i="15"/>
  <c r="K85" i="15"/>
  <c r="J85" i="15"/>
  <c r="K115" i="15"/>
  <c r="J115" i="15"/>
  <c r="V7" i="15"/>
  <c r="K10" i="15"/>
  <c r="W27" i="15"/>
  <c r="W33" i="15"/>
  <c r="K73" i="15"/>
  <c r="J73" i="15"/>
  <c r="V33" i="15"/>
  <c r="K37" i="15"/>
  <c r="J37" i="15"/>
  <c r="K61" i="15"/>
  <c r="J61" i="15"/>
  <c r="K103" i="15"/>
  <c r="J103" i="15"/>
  <c r="W51" i="15"/>
  <c r="W57" i="15"/>
  <c r="W63" i="15"/>
  <c r="W69" i="15"/>
  <c r="W75" i="15"/>
  <c r="W81" i="15"/>
  <c r="W87" i="15"/>
  <c r="W93" i="15"/>
  <c r="W99" i="15"/>
  <c r="W105" i="15"/>
  <c r="W111" i="15"/>
  <c r="V16" i="15"/>
  <c r="V22" i="15"/>
  <c r="V28" i="15"/>
  <c r="V34" i="15"/>
  <c r="V40" i="15"/>
  <c r="V46" i="15"/>
  <c r="V52" i="15"/>
  <c r="V58" i="15"/>
  <c r="V64" i="15"/>
  <c r="V70" i="15"/>
  <c r="V76" i="15"/>
  <c r="V82" i="15"/>
  <c r="V88" i="15"/>
  <c r="V94" i="15"/>
  <c r="V100" i="15"/>
  <c r="V106" i="15"/>
  <c r="V112" i="15"/>
  <c r="W16" i="15"/>
  <c r="J20" i="15"/>
  <c r="W22" i="15"/>
  <c r="J26" i="15"/>
  <c r="W28" i="15"/>
  <c r="J32" i="15"/>
  <c r="W34" i="15"/>
  <c r="J38" i="15"/>
  <c r="W40" i="15"/>
  <c r="J44" i="15"/>
  <c r="W46" i="15"/>
  <c r="J50" i="15"/>
  <c r="W52" i="15"/>
  <c r="J56" i="15"/>
  <c r="W58" i="15"/>
  <c r="W64" i="15"/>
  <c r="J68" i="15"/>
  <c r="W70" i="15"/>
  <c r="J74" i="15"/>
  <c r="W76" i="15"/>
  <c r="J80" i="15"/>
  <c r="W82" i="15"/>
  <c r="J86" i="15"/>
  <c r="W88" i="15"/>
  <c r="J92" i="15"/>
  <c r="W94" i="15"/>
  <c r="J98" i="15"/>
  <c r="W100" i="15"/>
  <c r="J104" i="15"/>
  <c r="W106" i="15"/>
  <c r="J110" i="15"/>
  <c r="W112" i="15"/>
  <c r="V17" i="15"/>
  <c r="V23" i="15"/>
  <c r="V29" i="15"/>
  <c r="V35" i="15"/>
  <c r="V41" i="15"/>
  <c r="V47" i="15"/>
  <c r="V53" i="15"/>
  <c r="V65" i="15"/>
  <c r="V71" i="15"/>
  <c r="V77" i="15"/>
  <c r="V83" i="15"/>
  <c r="V89" i="15"/>
  <c r="V95" i="15"/>
  <c r="K98" i="15"/>
  <c r="V101" i="15"/>
  <c r="K104" i="15"/>
  <c r="V107" i="15"/>
  <c r="K110" i="15"/>
  <c r="V113" i="15"/>
  <c r="W17" i="15"/>
  <c r="V18" i="15"/>
  <c r="K21" i="15"/>
  <c r="V24" i="15"/>
  <c r="K27" i="15"/>
  <c r="V30" i="15"/>
  <c r="K33" i="15"/>
  <c r="V36" i="15"/>
  <c r="K39" i="15"/>
  <c r="V42" i="15"/>
  <c r="K45" i="15"/>
  <c r="V48" i="15"/>
  <c r="K51" i="15"/>
  <c r="V54" i="15"/>
  <c r="K57" i="15"/>
  <c r="V60" i="15"/>
  <c r="K63" i="15"/>
  <c r="V66" i="15"/>
  <c r="K69" i="15"/>
  <c r="V72" i="15"/>
  <c r="K75" i="15"/>
  <c r="V78" i="15"/>
  <c r="K81" i="15"/>
  <c r="V84" i="15"/>
  <c r="K87" i="15"/>
  <c r="V90" i="15"/>
  <c r="K93" i="15"/>
  <c r="V96" i="15"/>
  <c r="V102" i="15"/>
  <c r="V108" i="15"/>
  <c r="V114" i="15"/>
  <c r="W78" i="15"/>
  <c r="W84" i="15"/>
  <c r="W90" i="15"/>
  <c r="W96" i="15"/>
  <c r="W102" i="15"/>
  <c r="W108" i="15"/>
  <c r="J112" i="15"/>
  <c r="W114" i="15"/>
  <c r="V115" i="15"/>
  <c r="J47" i="15"/>
  <c r="J53" i="15"/>
  <c r="J59" i="15"/>
  <c r="J65" i="15"/>
  <c r="J71" i="15"/>
  <c r="V56" i="4"/>
  <c r="V93" i="4"/>
  <c r="W93" i="4"/>
  <c r="V73" i="4"/>
  <c r="V79" i="4"/>
  <c r="V85" i="4"/>
  <c r="V87" i="4"/>
  <c r="V91" i="4"/>
  <c r="V16" i="4"/>
  <c r="W18" i="4"/>
  <c r="V30" i="4"/>
  <c r="V67" i="4"/>
  <c r="W73" i="4"/>
  <c r="V75" i="4"/>
  <c r="W79" i="4"/>
  <c r="V81" i="4"/>
  <c r="W85" i="4"/>
  <c r="W87" i="4"/>
  <c r="V102" i="4"/>
  <c r="V104" i="4"/>
  <c r="W16" i="4"/>
  <c r="W24" i="4"/>
  <c r="V28" i="4"/>
  <c r="V61" i="4"/>
  <c r="W67" i="4"/>
  <c r="V69" i="4"/>
  <c r="W75" i="4"/>
  <c r="W81" i="4"/>
  <c r="V96" i="4"/>
  <c r="V98" i="4"/>
  <c r="W102" i="4"/>
  <c r="W28" i="4"/>
  <c r="W61" i="4"/>
  <c r="V63" i="4"/>
  <c r="W69" i="4"/>
  <c r="W96" i="4"/>
  <c r="V22" i="4"/>
  <c r="V111" i="4"/>
  <c r="V6" i="4"/>
  <c r="V15" i="4"/>
  <c r="V33" i="4"/>
  <c r="W111" i="4"/>
  <c r="W33" i="4"/>
  <c r="V66" i="4"/>
  <c r="V74" i="4"/>
  <c r="V80" i="4"/>
  <c r="V105" i="4"/>
  <c r="V60" i="4"/>
  <c r="V68" i="4"/>
  <c r="V103" i="4"/>
  <c r="J9" i="4"/>
  <c r="K102" i="4"/>
  <c r="K60" i="4"/>
  <c r="J80" i="4"/>
  <c r="K84" i="4"/>
  <c r="J50" i="4"/>
  <c r="K82" i="4"/>
  <c r="K94" i="4"/>
  <c r="K13" i="4"/>
  <c r="K40" i="4"/>
  <c r="K46" i="4"/>
  <c r="J98" i="4"/>
  <c r="K100" i="4"/>
  <c r="K106" i="4"/>
  <c r="K22" i="4"/>
  <c r="K34" i="4"/>
  <c r="J16" i="4"/>
  <c r="K36" i="4"/>
  <c r="J62" i="4"/>
  <c r="K66" i="4"/>
  <c r="J110" i="4"/>
  <c r="K114" i="4"/>
  <c r="L3" i="4" a="1"/>
  <c r="L3" i="4" s="1"/>
  <c r="K16" i="4"/>
  <c r="J23" i="4"/>
  <c r="K54" i="4"/>
  <c r="K64" i="4"/>
  <c r="J68" i="4"/>
  <c r="K72" i="4"/>
  <c r="J86" i="4"/>
  <c r="K112" i="4"/>
  <c r="K23" i="4"/>
  <c r="K52" i="4"/>
  <c r="J92" i="4"/>
  <c r="K96" i="4"/>
  <c r="K7" i="4"/>
  <c r="K9" i="4"/>
  <c r="K88" i="4"/>
  <c r="K42" i="4"/>
  <c r="J56" i="4"/>
  <c r="K70" i="4"/>
  <c r="J74" i="4"/>
  <c r="K78" i="4"/>
  <c r="J44" i="4"/>
  <c r="K58" i="4"/>
  <c r="K76" i="4"/>
  <c r="L2" i="4"/>
  <c r="K28" i="4"/>
  <c r="J37" i="4"/>
  <c r="K48" i="4"/>
  <c r="J104" i="4"/>
  <c r="K108" i="4"/>
  <c r="I3" i="4" a="1"/>
  <c r="I3" i="4" s="1"/>
  <c r="V34" i="4"/>
  <c r="K79" i="4"/>
  <c r="W88" i="4"/>
  <c r="V88" i="4"/>
  <c r="K21" i="4"/>
  <c r="J21" i="4"/>
  <c r="W38" i="4"/>
  <c r="V38" i="4"/>
  <c r="K109" i="4"/>
  <c r="V14" i="4"/>
  <c r="W13" i="4"/>
  <c r="K18" i="4"/>
  <c r="J19" i="4"/>
  <c r="K31" i="4"/>
  <c r="J35" i="4"/>
  <c r="J49" i="4"/>
  <c r="W82" i="4"/>
  <c r="V82" i="4"/>
  <c r="U3" i="4" a="1"/>
  <c r="U3" i="4" s="1"/>
  <c r="V8" i="4"/>
  <c r="K11" i="4"/>
  <c r="K19" i="4"/>
  <c r="K20" i="4"/>
  <c r="W23" i="4"/>
  <c r="J29" i="4"/>
  <c r="V32" i="4"/>
  <c r="K35" i="4"/>
  <c r="K91" i="4"/>
  <c r="V7" i="4"/>
  <c r="J6" i="4"/>
  <c r="W8" i="4"/>
  <c r="J12" i="4"/>
  <c r="J17" i="4"/>
  <c r="V23" i="4"/>
  <c r="K29" i="4"/>
  <c r="J91" i="4"/>
  <c r="W94" i="4"/>
  <c r="V94" i="4"/>
  <c r="K103" i="4"/>
  <c r="K55" i="4"/>
  <c r="J55" i="4"/>
  <c r="K6" i="4"/>
  <c r="K12" i="4"/>
  <c r="K15" i="4"/>
  <c r="J15" i="4"/>
  <c r="K17" i="4"/>
  <c r="K27" i="4"/>
  <c r="J27" i="4"/>
  <c r="V40" i="4"/>
  <c r="W58" i="4"/>
  <c r="V58" i="4"/>
  <c r="K67" i="4"/>
  <c r="W76" i="4"/>
  <c r="V76" i="4"/>
  <c r="J103" i="4"/>
  <c r="K115" i="4"/>
  <c r="J7" i="4"/>
  <c r="J13" i="4"/>
  <c r="V20" i="4"/>
  <c r="W40" i="4"/>
  <c r="V46" i="4"/>
  <c r="J67" i="4"/>
  <c r="W106" i="4"/>
  <c r="V106" i="4"/>
  <c r="J115" i="4"/>
  <c r="K32" i="4"/>
  <c r="J109" i="4"/>
  <c r="W35" i="4"/>
  <c r="V35" i="4"/>
  <c r="W52" i="4"/>
  <c r="V52" i="4"/>
  <c r="K85" i="4"/>
  <c r="W100" i="4"/>
  <c r="V100" i="4"/>
  <c r="V26" i="4"/>
  <c r="J32" i="4"/>
  <c r="K10" i="4"/>
  <c r="K30" i="4"/>
  <c r="W47" i="4"/>
  <c r="V47" i="4"/>
  <c r="W64" i="4"/>
  <c r="V64" i="4"/>
  <c r="K73" i="4"/>
  <c r="J5" i="4"/>
  <c r="J8" i="4"/>
  <c r="W10" i="4"/>
  <c r="J14" i="4"/>
  <c r="K24" i="4"/>
  <c r="J25" i="4"/>
  <c r="J26" i="4"/>
  <c r="W29" i="4"/>
  <c r="K41" i="4"/>
  <c r="J41" i="4"/>
  <c r="J85" i="4"/>
  <c r="W41" i="4"/>
  <c r="V41" i="4"/>
  <c r="J43" i="4"/>
  <c r="W112" i="4"/>
  <c r="V112" i="4"/>
  <c r="J20" i="4"/>
  <c r="K14" i="4"/>
  <c r="W17" i="4"/>
  <c r="K26" i="4"/>
  <c r="V29" i="4"/>
  <c r="K47" i="4"/>
  <c r="J47" i="4"/>
  <c r="K61" i="4"/>
  <c r="W70" i="4"/>
  <c r="V70" i="4"/>
  <c r="K97" i="4"/>
  <c r="K38" i="4"/>
  <c r="K44" i="4"/>
  <c r="K50" i="4"/>
  <c r="V53" i="4"/>
  <c r="K56" i="4"/>
  <c r="V59" i="4"/>
  <c r="K62" i="4"/>
  <c r="V65" i="4"/>
  <c r="K68" i="4"/>
  <c r="V71" i="4"/>
  <c r="K74" i="4"/>
  <c r="V77" i="4"/>
  <c r="K80" i="4"/>
  <c r="V83" i="4"/>
  <c r="K86" i="4"/>
  <c r="V89" i="4"/>
  <c r="K92" i="4"/>
  <c r="V95" i="4"/>
  <c r="K98" i="4"/>
  <c r="V101" i="4"/>
  <c r="K104" i="4"/>
  <c r="V107" i="4"/>
  <c r="K110" i="4"/>
  <c r="V113" i="4"/>
  <c r="J33" i="4"/>
  <c r="J39" i="4"/>
  <c r="J45" i="4"/>
  <c r="J51" i="4"/>
  <c r="W53" i="4"/>
  <c r="J57" i="4"/>
  <c r="W59" i="4"/>
  <c r="J63" i="4"/>
  <c r="W65" i="4"/>
  <c r="J69" i="4"/>
  <c r="W71" i="4"/>
  <c r="J75" i="4"/>
  <c r="W77" i="4"/>
  <c r="J81" i="4"/>
  <c r="W83" i="4"/>
  <c r="J87" i="4"/>
  <c r="W89" i="4"/>
  <c r="J93" i="4"/>
  <c r="W95" i="4"/>
  <c r="J99" i="4"/>
  <c r="W101" i="4"/>
  <c r="J105" i="4"/>
  <c r="W107" i="4"/>
  <c r="J111" i="4"/>
  <c r="W113" i="4"/>
  <c r="K33" i="4"/>
  <c r="K39" i="4"/>
  <c r="K45" i="4"/>
  <c r="K51" i="4"/>
  <c r="K57" i="4"/>
  <c r="K63" i="4"/>
  <c r="K69" i="4"/>
  <c r="K75" i="4"/>
  <c r="K81" i="4"/>
  <c r="K87" i="4"/>
  <c r="K93" i="4"/>
  <c r="K99" i="4"/>
  <c r="K105" i="4"/>
  <c r="K111" i="4"/>
  <c r="J64" i="4"/>
  <c r="J70" i="4"/>
  <c r="J76" i="4"/>
  <c r="J82" i="4"/>
  <c r="J88" i="4"/>
  <c r="J94" i="4"/>
  <c r="J100" i="4"/>
  <c r="J106" i="4"/>
  <c r="J112" i="4"/>
  <c r="J53" i="4"/>
  <c r="J59" i="4"/>
  <c r="J65" i="4"/>
  <c r="J71" i="4"/>
  <c r="J77" i="4"/>
  <c r="J83" i="4"/>
  <c r="J89" i="4"/>
  <c r="W91" i="4"/>
  <c r="J95" i="4"/>
  <c r="W97" i="4"/>
  <c r="J101" i="4"/>
  <c r="W103" i="4"/>
  <c r="J107" i="4"/>
  <c r="W109" i="4"/>
  <c r="J113" i="4"/>
  <c r="W115" i="4"/>
  <c r="V44" i="4"/>
  <c r="V50" i="4"/>
  <c r="K53" i="4"/>
  <c r="K59" i="4"/>
  <c r="K65" i="4"/>
  <c r="K71" i="4"/>
  <c r="K77" i="4"/>
  <c r="K83" i="4"/>
  <c r="V86" i="4"/>
  <c r="K89" i="4"/>
  <c r="V92" i="4"/>
  <c r="K95" i="4"/>
  <c r="K101" i="4"/>
  <c r="K107" i="4"/>
  <c r="K113" i="4"/>
  <c r="W27" i="32"/>
  <c r="W63" i="32"/>
  <c r="V29" i="32"/>
  <c r="V59" i="32"/>
  <c r="V103" i="32"/>
  <c r="V105" i="32"/>
  <c r="V11" i="32"/>
  <c r="W25" i="32"/>
  <c r="V41" i="32"/>
  <c r="W55" i="32"/>
  <c r="W57" i="32"/>
  <c r="W73" i="32"/>
  <c r="W75" i="32"/>
  <c r="V89" i="32"/>
  <c r="W103" i="32"/>
  <c r="W105" i="32"/>
  <c r="V110" i="32"/>
  <c r="W11" i="32"/>
  <c r="V21" i="32"/>
  <c r="V23" i="32"/>
  <c r="W37" i="32"/>
  <c r="W85" i="32"/>
  <c r="V101" i="32"/>
  <c r="X2" i="32"/>
  <c r="U3" i="32" a="1"/>
  <c r="U3" i="32" s="1"/>
  <c r="V51" i="32"/>
  <c r="V53" i="32"/>
  <c r="V71" i="32"/>
  <c r="V99" i="32"/>
  <c r="V67" i="32"/>
  <c r="V69" i="32"/>
  <c r="W97" i="32"/>
  <c r="W99" i="32"/>
  <c r="V33" i="32"/>
  <c r="V35" i="32"/>
  <c r="W67" i="32"/>
  <c r="V83" i="32"/>
  <c r="W33" i="32"/>
  <c r="V77" i="32"/>
  <c r="W31" i="32"/>
  <c r="V47" i="32"/>
  <c r="W79" i="32"/>
  <c r="V95" i="32"/>
  <c r="V109" i="32"/>
  <c r="J103" i="32"/>
  <c r="K103" i="32"/>
  <c r="K90" i="32"/>
  <c r="K72" i="32"/>
  <c r="K96" i="32"/>
  <c r="K12" i="32"/>
  <c r="J49" i="32"/>
  <c r="K60" i="32"/>
  <c r="J95" i="32"/>
  <c r="J97" i="32"/>
  <c r="J25" i="32"/>
  <c r="J29" i="32"/>
  <c r="J55" i="32"/>
  <c r="K78" i="32"/>
  <c r="K97" i="32"/>
  <c r="K25" i="32"/>
  <c r="J47" i="32"/>
  <c r="K49" i="32"/>
  <c r="J53" i="32"/>
  <c r="K108" i="32"/>
  <c r="K102" i="32"/>
  <c r="J11" i="32"/>
  <c r="K55" i="32"/>
  <c r="J71" i="32"/>
  <c r="J73" i="32"/>
  <c r="K73" i="32"/>
  <c r="K42" i="32"/>
  <c r="J109" i="32"/>
  <c r="J12" i="32"/>
  <c r="K16" i="32"/>
  <c r="K18" i="32"/>
  <c r="K36" i="32"/>
  <c r="K48" i="32"/>
  <c r="K30" i="32"/>
  <c r="K54" i="32"/>
  <c r="J77" i="32"/>
  <c r="J79" i="32"/>
  <c r="K100" i="32"/>
  <c r="K114" i="32"/>
  <c r="K79" i="32"/>
  <c r="K11" i="32"/>
  <c r="K66" i="32"/>
  <c r="J83" i="32"/>
  <c r="J85" i="32"/>
  <c r="K106" i="32"/>
  <c r="K112" i="32"/>
  <c r="J6" i="32"/>
  <c r="J41" i="32"/>
  <c r="J43" i="32"/>
  <c r="K85" i="32"/>
  <c r="J89" i="32"/>
  <c r="J91" i="32"/>
  <c r="L2" i="32"/>
  <c r="K6" i="32"/>
  <c r="J35" i="32"/>
  <c r="K43" i="32"/>
  <c r="K91" i="32"/>
  <c r="J17" i="32"/>
  <c r="K19" i="32"/>
  <c r="J23" i="32"/>
  <c r="K70" i="32"/>
  <c r="J115" i="32"/>
  <c r="J59" i="32"/>
  <c r="J61" i="32"/>
  <c r="K115" i="32"/>
  <c r="K8" i="32"/>
  <c r="J10" i="32"/>
  <c r="K61" i="32"/>
  <c r="J65" i="32"/>
  <c r="J67" i="32"/>
  <c r="K82" i="32"/>
  <c r="K84" i="32"/>
  <c r="V9" i="32"/>
  <c r="K32" i="32"/>
  <c r="J32" i="32"/>
  <c r="J37" i="32"/>
  <c r="W40" i="32"/>
  <c r="W94" i="32"/>
  <c r="K37" i="32"/>
  <c r="V40" i="32"/>
  <c r="V94" i="32"/>
  <c r="K7" i="32"/>
  <c r="V10" i="32"/>
  <c r="K13" i="32"/>
  <c r="K14" i="32"/>
  <c r="J14" i="32"/>
  <c r="W82" i="32"/>
  <c r="K86" i="32"/>
  <c r="J86" i="32"/>
  <c r="J5" i="32"/>
  <c r="J8" i="32"/>
  <c r="W10" i="32"/>
  <c r="J19" i="32"/>
  <c r="W22" i="32"/>
  <c r="W58" i="32"/>
  <c r="K62" i="32"/>
  <c r="J62" i="32"/>
  <c r="W70" i="32"/>
  <c r="K74" i="32"/>
  <c r="J74" i="32"/>
  <c r="V82" i="32"/>
  <c r="W112" i="32"/>
  <c r="W106" i="32"/>
  <c r="K44" i="32"/>
  <c r="J44" i="32"/>
  <c r="V106" i="32"/>
  <c r="W14" i="32"/>
  <c r="V14" i="32"/>
  <c r="V58" i="32"/>
  <c r="V70" i="32"/>
  <c r="K98" i="32"/>
  <c r="J98" i="32"/>
  <c r="J9" i="32"/>
  <c r="K26" i="32"/>
  <c r="J26" i="32"/>
  <c r="J31" i="32"/>
  <c r="W34" i="32"/>
  <c r="W46" i="32"/>
  <c r="K50" i="32"/>
  <c r="J50" i="32"/>
  <c r="I3" i="32" a="1"/>
  <c r="I3" i="32" s="1"/>
  <c r="V5" i="32"/>
  <c r="V6" i="32"/>
  <c r="K9" i="32"/>
  <c r="V12" i="32"/>
  <c r="K31" i="32"/>
  <c r="V34" i="32"/>
  <c r="V46" i="32"/>
  <c r="W100" i="32"/>
  <c r="K104" i="32"/>
  <c r="J104" i="32"/>
  <c r="W6" i="32"/>
  <c r="W12" i="32"/>
  <c r="K38" i="32"/>
  <c r="J38" i="32"/>
  <c r="W88" i="32"/>
  <c r="K92" i="32"/>
  <c r="J92" i="32"/>
  <c r="V100" i="32"/>
  <c r="W9" i="32"/>
  <c r="V7" i="32"/>
  <c r="K10" i="32"/>
  <c r="V13" i="32"/>
  <c r="W64" i="32"/>
  <c r="W76" i="32"/>
  <c r="K80" i="32"/>
  <c r="J80" i="32"/>
  <c r="V88" i="32"/>
  <c r="W16" i="32"/>
  <c r="V64" i="32"/>
  <c r="K68" i="32"/>
  <c r="J68" i="32"/>
  <c r="V76" i="32"/>
  <c r="K110" i="32"/>
  <c r="J110" i="32"/>
  <c r="K20" i="32"/>
  <c r="J20" i="32"/>
  <c r="W28" i="32"/>
  <c r="W52" i="32"/>
  <c r="K56" i="32"/>
  <c r="J56" i="32"/>
  <c r="V17" i="32"/>
  <c r="V107" i="32"/>
  <c r="V113" i="32"/>
  <c r="J15" i="32"/>
  <c r="W17" i="32"/>
  <c r="J21" i="32"/>
  <c r="W23" i="32"/>
  <c r="J27" i="32"/>
  <c r="W29" i="32"/>
  <c r="J33" i="32"/>
  <c r="W35" i="32"/>
  <c r="J39" i="32"/>
  <c r="W41" i="32"/>
  <c r="J45" i="32"/>
  <c r="W47" i="32"/>
  <c r="J51" i="32"/>
  <c r="W53" i="32"/>
  <c r="J57" i="32"/>
  <c r="W59" i="32"/>
  <c r="J63" i="32"/>
  <c r="W65" i="32"/>
  <c r="J69" i="32"/>
  <c r="W71" i="32"/>
  <c r="J75" i="32"/>
  <c r="W77" i="32"/>
  <c r="J81" i="32"/>
  <c r="W83" i="32"/>
  <c r="J87" i="32"/>
  <c r="W89" i="32"/>
  <c r="J93" i="32"/>
  <c r="W95" i="32"/>
  <c r="J99" i="32"/>
  <c r="W101" i="32"/>
  <c r="J105" i="32"/>
  <c r="W107" i="32"/>
  <c r="J111" i="32"/>
  <c r="W113" i="32"/>
  <c r="K15" i="32"/>
  <c r="V18" i="32"/>
  <c r="K21" i="32"/>
  <c r="V24" i="32"/>
  <c r="K27" i="32"/>
  <c r="V30" i="32"/>
  <c r="K33" i="32"/>
  <c r="V36" i="32"/>
  <c r="K39" i="32"/>
  <c r="V42" i="32"/>
  <c r="K45" i="32"/>
  <c r="V48" i="32"/>
  <c r="K51" i="32"/>
  <c r="V54" i="32"/>
  <c r="K57" i="32"/>
  <c r="V60" i="32"/>
  <c r="K63" i="32"/>
  <c r="V66" i="32"/>
  <c r="K69" i="32"/>
  <c r="V72" i="32"/>
  <c r="K75" i="32"/>
  <c r="V78" i="32"/>
  <c r="K81" i="32"/>
  <c r="V84" i="32"/>
  <c r="K87" i="32"/>
  <c r="V90" i="32"/>
  <c r="K93" i="32"/>
  <c r="V96" i="32"/>
  <c r="K99" i="32"/>
  <c r="V102" i="32"/>
  <c r="K105" i="32"/>
  <c r="V108" i="32"/>
  <c r="K111" i="32"/>
  <c r="V114" i="32"/>
  <c r="W18" i="32"/>
  <c r="J22" i="32"/>
  <c r="W24" i="32"/>
  <c r="J28" i="32"/>
  <c r="W30" i="32"/>
  <c r="J34" i="32"/>
  <c r="W36" i="32"/>
  <c r="J40" i="32"/>
  <c r="W42" i="32"/>
  <c r="J46" i="32"/>
  <c r="W48" i="32"/>
  <c r="J52" i="32"/>
  <c r="W54" i="32"/>
  <c r="J58" i="32"/>
  <c r="W60" i="32"/>
  <c r="J64" i="32"/>
  <c r="W66" i="32"/>
  <c r="W72" i="32"/>
  <c r="J76" i="32"/>
  <c r="W78" i="32"/>
  <c r="W84" i="32"/>
  <c r="J88" i="32"/>
  <c r="W90" i="32"/>
  <c r="J94" i="32"/>
  <c r="W96" i="32"/>
  <c r="W102" i="32"/>
  <c r="J106" i="32"/>
  <c r="W108" i="32"/>
  <c r="J112" i="32"/>
  <c r="W114" i="32"/>
  <c r="V19" i="32"/>
  <c r="V25" i="32"/>
  <c r="V31" i="32"/>
  <c r="V37" i="32"/>
  <c r="V43" i="32"/>
  <c r="V49" i="32"/>
  <c r="V55" i="32"/>
  <c r="V61" i="32"/>
  <c r="V73" i="32"/>
  <c r="V79" i="32"/>
  <c r="V85" i="32"/>
  <c r="V91" i="32"/>
  <c r="V97" i="32"/>
  <c r="V115" i="32"/>
  <c r="J101" i="32"/>
  <c r="J107" i="32"/>
  <c r="W109" i="32"/>
  <c r="J113" i="32"/>
  <c r="W115" i="32"/>
  <c r="K17" i="32"/>
  <c r="V20" i="32"/>
  <c r="K23" i="32"/>
  <c r="V26" i="32"/>
  <c r="K29" i="32"/>
  <c r="V32" i="32"/>
  <c r="K35" i="32"/>
  <c r="V38" i="32"/>
  <c r="K41" i="32"/>
  <c r="V44" i="32"/>
  <c r="K47" i="32"/>
  <c r="V50" i="32"/>
  <c r="K53" i="32"/>
  <c r="V56" i="32"/>
  <c r="K59" i="32"/>
  <c r="V62" i="32"/>
  <c r="K65" i="32"/>
  <c r="V68" i="32"/>
  <c r="K71" i="32"/>
  <c r="V74" i="32"/>
  <c r="K77" i="32"/>
  <c r="V80" i="32"/>
  <c r="K83" i="32"/>
  <c r="V86" i="32"/>
  <c r="K89" i="32"/>
  <c r="V92" i="32"/>
  <c r="K95" i="32"/>
  <c r="V98" i="32"/>
  <c r="K101" i="32"/>
  <c r="V104" i="32"/>
  <c r="K107" i="32"/>
  <c r="K113" i="32"/>
  <c r="V16" i="8"/>
  <c r="J5" i="8"/>
  <c r="J14" i="8"/>
  <c r="W16" i="8"/>
  <c r="W20" i="8"/>
  <c r="K25" i="8"/>
  <c r="K31" i="8"/>
  <c r="W40" i="8"/>
  <c r="V40" i="8"/>
  <c r="W100" i="8"/>
  <c r="V100" i="8"/>
  <c r="V11" i="8"/>
  <c r="J25" i="8"/>
  <c r="J31" i="8"/>
  <c r="K85" i="8"/>
  <c r="W6" i="8"/>
  <c r="J10" i="8"/>
  <c r="W12" i="8"/>
  <c r="W15" i="8"/>
  <c r="W58" i="8"/>
  <c r="V58" i="8"/>
  <c r="K67" i="8"/>
  <c r="W76" i="8"/>
  <c r="V76" i="8"/>
  <c r="W88" i="8"/>
  <c r="V88" i="8"/>
  <c r="W64" i="8"/>
  <c r="V64" i="8"/>
  <c r="V7" i="8"/>
  <c r="K10" i="8"/>
  <c r="V13" i="8"/>
  <c r="W14" i="8"/>
  <c r="W22" i="8"/>
  <c r="V22" i="8"/>
  <c r="K73" i="8"/>
  <c r="K103" i="8"/>
  <c r="W112" i="8"/>
  <c r="V112" i="8"/>
  <c r="W7" i="8"/>
  <c r="J11" i="8"/>
  <c r="W13" i="8"/>
  <c r="W18" i="8"/>
  <c r="V18" i="8"/>
  <c r="W28" i="8"/>
  <c r="V28" i="8"/>
  <c r="W52" i="8"/>
  <c r="V52" i="8"/>
  <c r="K61" i="8"/>
  <c r="J103" i="8"/>
  <c r="W70" i="8"/>
  <c r="V70" i="8"/>
  <c r="U3" i="8" a="1"/>
  <c r="U3" i="8" s="1"/>
  <c r="V8" i="8"/>
  <c r="K11" i="8"/>
  <c r="K43" i="8"/>
  <c r="J61" i="8"/>
  <c r="K79" i="8"/>
  <c r="K109" i="8"/>
  <c r="K115" i="8"/>
  <c r="K97" i="8"/>
  <c r="V5" i="8"/>
  <c r="V15" i="8"/>
  <c r="W34" i="8"/>
  <c r="V34" i="8"/>
  <c r="W46" i="8"/>
  <c r="V46" i="8"/>
  <c r="K55" i="8"/>
  <c r="J79" i="8"/>
  <c r="K91" i="8"/>
  <c r="J109" i="8"/>
  <c r="J115" i="8"/>
  <c r="V17" i="8"/>
  <c r="K37" i="8"/>
  <c r="W82" i="8"/>
  <c r="V82" i="8"/>
  <c r="J91" i="8"/>
  <c r="W106" i="8"/>
  <c r="V106" i="8"/>
  <c r="W24" i="8"/>
  <c r="V24" i="8"/>
  <c r="K49" i="8"/>
  <c r="W94" i="8"/>
  <c r="V94" i="8"/>
  <c r="J44" i="8"/>
  <c r="J50" i="8"/>
  <c r="J56" i="8"/>
  <c r="J62" i="8"/>
  <c r="J68" i="8"/>
  <c r="J98" i="8"/>
  <c r="J104" i="8"/>
  <c r="J110" i="8"/>
  <c r="V23" i="8"/>
  <c r="V29" i="8"/>
  <c r="V35" i="8"/>
  <c r="V41" i="8"/>
  <c r="V47" i="8"/>
  <c r="K50" i="8"/>
  <c r="V53" i="8"/>
  <c r="K56" i="8"/>
  <c r="V59" i="8"/>
  <c r="K62" i="8"/>
  <c r="V65" i="8"/>
  <c r="K68" i="8"/>
  <c r="V71" i="8"/>
  <c r="K74" i="8"/>
  <c r="V77" i="8"/>
  <c r="K80" i="8"/>
  <c r="V83" i="8"/>
  <c r="K86" i="8"/>
  <c r="V89" i="8"/>
  <c r="K92" i="8"/>
  <c r="V95" i="8"/>
  <c r="K98" i="8"/>
  <c r="V101" i="8"/>
  <c r="K104" i="8"/>
  <c r="V107" i="8"/>
  <c r="K110" i="8"/>
  <c r="V113" i="8"/>
  <c r="W47" i="8"/>
  <c r="J51" i="8"/>
  <c r="W53" i="8"/>
  <c r="J57" i="8"/>
  <c r="W59" i="8"/>
  <c r="J63" i="8"/>
  <c r="W65" i="8"/>
  <c r="J69" i="8"/>
  <c r="W71" i="8"/>
  <c r="J75" i="8"/>
  <c r="W77" i="8"/>
  <c r="J81" i="8"/>
  <c r="W83" i="8"/>
  <c r="J87" i="8"/>
  <c r="W89" i="8"/>
  <c r="J93" i="8"/>
  <c r="W95" i="8"/>
  <c r="J99" i="8"/>
  <c r="W101" i="8"/>
  <c r="J105" i="8"/>
  <c r="W107" i="8"/>
  <c r="J111" i="8"/>
  <c r="W113" i="8"/>
  <c r="V30" i="8"/>
  <c r="V36" i="8"/>
  <c r="V42" i="8"/>
  <c r="V48" i="8"/>
  <c r="K51" i="8"/>
  <c r="V54" i="8"/>
  <c r="K57" i="8"/>
  <c r="V60" i="8"/>
  <c r="K63" i="8"/>
  <c r="V66" i="8"/>
  <c r="K69" i="8"/>
  <c r="V72" i="8"/>
  <c r="K75" i="8"/>
  <c r="V78" i="8"/>
  <c r="V84" i="8"/>
  <c r="V90" i="8"/>
  <c r="K93" i="8"/>
  <c r="V96" i="8"/>
  <c r="K99" i="8"/>
  <c r="V102" i="8"/>
  <c r="K105" i="8"/>
  <c r="V108" i="8"/>
  <c r="K111" i="8"/>
  <c r="V114" i="8"/>
  <c r="J16" i="8"/>
  <c r="J22" i="8"/>
  <c r="J28" i="8"/>
  <c r="W30" i="8"/>
  <c r="J34" i="8"/>
  <c r="W36" i="8"/>
  <c r="J40" i="8"/>
  <c r="W42" i="8"/>
  <c r="J46" i="8"/>
  <c r="W48" i="8"/>
  <c r="J52" i="8"/>
  <c r="W54" i="8"/>
  <c r="J58" i="8"/>
  <c r="W60" i="8"/>
  <c r="J64" i="8"/>
  <c r="W66" i="8"/>
  <c r="J70" i="8"/>
  <c r="W72" i="8"/>
  <c r="J76" i="8"/>
  <c r="W78" i="8"/>
  <c r="J82" i="8"/>
  <c r="W108" i="8"/>
  <c r="W114" i="8"/>
  <c r="V19" i="8"/>
  <c r="V25" i="8"/>
  <c r="V31" i="8"/>
  <c r="V37" i="8"/>
  <c r="V43" i="8"/>
  <c r="K46" i="8"/>
  <c r="V49" i="8"/>
  <c r="K52" i="8"/>
  <c r="V55" i="8"/>
  <c r="K58" i="8"/>
  <c r="V61" i="8"/>
  <c r="K64" i="8"/>
  <c r="V67" i="8"/>
  <c r="V73" i="8"/>
  <c r="V79" i="8"/>
  <c r="V85" i="8"/>
  <c r="V91" i="8"/>
  <c r="V97" i="8"/>
  <c r="K100" i="8"/>
  <c r="V103" i="8"/>
  <c r="K106" i="8"/>
  <c r="V109" i="8"/>
  <c r="K112" i="8"/>
  <c r="V115" i="8"/>
  <c r="J47" i="8"/>
  <c r="W49" i="8"/>
  <c r="J53" i="8"/>
  <c r="W55" i="8"/>
  <c r="J59" i="8"/>
  <c r="W61" i="8"/>
  <c r="J65" i="8"/>
  <c r="W97" i="8"/>
  <c r="W103" i="8"/>
  <c r="W109" i="8"/>
  <c r="J113" i="8"/>
  <c r="W115" i="8"/>
  <c r="K47" i="8"/>
  <c r="V50" i="8"/>
  <c r="K53" i="8"/>
  <c r="V56" i="8"/>
  <c r="K59" i="8"/>
  <c r="V62" i="8"/>
  <c r="K65" i="8"/>
  <c r="V68" i="8"/>
  <c r="K71" i="8"/>
  <c r="V74" i="8"/>
  <c r="K77" i="8"/>
  <c r="V80" i="8"/>
  <c r="K83" i="8"/>
  <c r="V86" i="8"/>
  <c r="K89" i="8"/>
  <c r="V92" i="8"/>
  <c r="K95" i="8"/>
  <c r="V98" i="8"/>
  <c r="V104" i="8"/>
  <c r="V110" i="8"/>
  <c r="K113" i="8"/>
  <c r="K8" i="30"/>
  <c r="K11" i="30"/>
  <c r="K12" i="30"/>
  <c r="K6" i="30"/>
  <c r="K7" i="30"/>
  <c r="L2" i="30"/>
  <c r="L3" i="30" a="1"/>
  <c r="L3" i="30" s="1"/>
  <c r="I3" i="30" a="1"/>
  <c r="I3" i="30" s="1"/>
  <c r="U3" i="30" a="1"/>
  <c r="U3" i="30" s="1"/>
  <c r="K8" i="8" l="1"/>
  <c r="L8" i="8" a="1"/>
  <c r="L8" i="8" s="1"/>
  <c r="J8" i="8"/>
  <c r="L2" i="8"/>
  <c r="L3" i="8" a="1"/>
  <c r="L3" i="8" s="1"/>
  <c r="I3" i="8" a="1"/>
  <c r="I3" i="8" s="1"/>
  <c r="K9" i="8"/>
  <c r="K7" i="8"/>
  <c r="J7" i="8"/>
  <c r="K6" i="8"/>
  <c r="J6"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<sst xmlns="http://schemas.openxmlformats.org/spreadsheetml/2006/main" count="1118" uniqueCount="128">
  <si>
    <t>Tester:</t>
  </si>
  <si>
    <t>Power:</t>
  </si>
  <si>
    <t>Media:</t>
  </si>
  <si>
    <t>Voltage:</t>
  </si>
  <si>
    <t>Fill Volume:</t>
  </si>
  <si>
    <t>Complete?</t>
  </si>
  <si>
    <t>Date:</t>
  </si>
  <si>
    <t>Did this burn?</t>
  </si>
  <si>
    <t>Puffing Regime:</t>
  </si>
  <si>
    <t>Usage Efficiency</t>
  </si>
  <si>
    <t>Did this clog?</t>
  </si>
  <si>
    <t>Viscosity:</t>
  </si>
  <si>
    <t>Initial Oil Mass:</t>
  </si>
  <si>
    <t>Did this leak?</t>
  </si>
  <si>
    <t>puffs</t>
  </si>
  <si>
    <t>Draw Pressure (kpa)</t>
  </si>
  <si>
    <t>Smell</t>
  </si>
  <si>
    <t>Clog</t>
  </si>
  <si>
    <t>Notes</t>
  </si>
  <si>
    <t>TPM (mg/puff)</t>
  </si>
  <si>
    <t>Average TPM and Standard deviation</t>
  </si>
  <si>
    <t>60mL/3s/30s</t>
  </si>
  <si>
    <t>200mL/3s/30s</t>
  </si>
  <si>
    <t>Step 1.1: Place In -20 C for 30 minutes</t>
  </si>
  <si>
    <t>Step 1.2: Place in 60 C for 30 minutes</t>
  </si>
  <si>
    <t>Step 2.1: Place in -20 C for 30 minutes</t>
  </si>
  <si>
    <t>Step 2.2: Place in 60 C for 30 minutes</t>
  </si>
  <si>
    <t>Step 3.1: Place In -20 C for 30 minutes</t>
  </si>
  <si>
    <t>Step 3.2: Place in 60 C for 30 minutes</t>
  </si>
  <si>
    <t>Step 4.1: Place in -20 C for 30 minutes</t>
  </si>
  <si>
    <t>Step 4.2: Place in 60 C for 30 minutes</t>
  </si>
  <si>
    <t>Step 5.1: Place in -20 C for 30 minutes</t>
  </si>
  <si>
    <t>Step 5.2: Place in 60 C for 30 minutes</t>
  </si>
  <si>
    <t>Step 6.1: Place In -20 C for 30 minutes</t>
  </si>
  <si>
    <t>Step 6.2: Place in 60 C for 30 minutes</t>
  </si>
  <si>
    <t>Viscosity Compatibility Test</t>
  </si>
  <si>
    <t>Various Oil Compatibility Test</t>
  </si>
  <si>
    <t>Resistance:</t>
  </si>
  <si>
    <t>Lifetime Test</t>
  </si>
  <si>
    <t>Intense Test</t>
  </si>
  <si>
    <t>Temperature Cycling Test</t>
  </si>
  <si>
    <t># Burn?</t>
  </si>
  <si>
    <t># Clog?</t>
  </si>
  <si>
    <t>Sample ID:</t>
  </si>
  <si>
    <t>Step 7: Leave samples at room temperature for 2 hours</t>
  </si>
  <si>
    <t>Step 8: Puffing (1 session, 10 puffs, check for clog and burn)</t>
  </si>
  <si>
    <t>Total Number of Samples</t>
  </si>
  <si>
    <t>Big Headspace Serial Test</t>
  </si>
  <si>
    <t>200mL/10s/60s</t>
  </si>
  <si>
    <t>Rapid Puff Lifetime Test</t>
  </si>
  <si>
    <t>60mL/2s/5s</t>
  </si>
  <si>
    <t>User Simulation Test</t>
  </si>
  <si>
    <t>100mL/2.5s/15s</t>
  </si>
  <si>
    <t>CCELL3.0</t>
  </si>
  <si>
    <t>Heating Technology:</t>
  </si>
  <si>
    <t>TPM Power Density (mg/(W*s))</t>
  </si>
  <si>
    <t>Long Puff Lifetime Test</t>
  </si>
  <si>
    <t>Variation in TPM (%)</t>
  </si>
  <si>
    <t>Orientations: Upright, Horizontal, Upside-Down</t>
  </si>
  <si>
    <t>Heater Technology:</t>
  </si>
  <si>
    <t>Number of Samples</t>
  </si>
  <si>
    <t>Negative Pressure Test</t>
  </si>
  <si>
    <t>Round 1</t>
  </si>
  <si>
    <t>Round 2</t>
  </si>
  <si>
    <t>Round 3</t>
  </si>
  <si>
    <t>Test:</t>
  </si>
  <si>
    <t>SOP</t>
  </si>
  <si>
    <t>Objective</t>
  </si>
  <si>
    <t>Pass Criteria</t>
  </si>
  <si>
    <t>Equipment</t>
  </si>
  <si>
    <t>Quantity</t>
  </si>
  <si>
    <t>Estimated Duration (1mL)</t>
  </si>
  <si>
    <t>Estimated Duration (2mL)</t>
  </si>
  <si>
    <t>Note</t>
  </si>
  <si>
    <t>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Measure device mass before and after puffing and enter into the TPM template. If using impingers, wrap in parafilm to ensure a good seal. Ensure that the proper silicone connector is used and parafilm is wrapped over the sample. Measure initial device resistance and filled oil mass. Input media details such as viscosity and media type.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</si>
  <si>
    <t>Characterize performance of the device over the full device lifetime. Identify any failures such as clog, burn, leaking, or faulty device.</t>
  </si>
  <si>
    <t>No clog, burn, leaking, or other device failure. Usage efficiency &gt;70%</t>
  </si>
  <si>
    <t>Puffing Machine, Impingers, Filter Holders, Scale, Battery, Digital Multimeter, USB-C Charger</t>
  </si>
  <si>
    <t>1 Day</t>
  </si>
  <si>
    <t>2 Days</t>
  </si>
  <si>
    <t>Conduct Lifetime Testing with 20kcp, 200kcp, 2Mcp, and 4Mcp D8. 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</si>
  <si>
    <t>Confirm device compatibility with a wide range of viscosities from 20kcp up to 4Mcp. This covers the broad spectrum of cannabis media in the US. Note: For the European market, separate low-viscosity testing should be conducted down to 1kcp.</t>
  </si>
  <si>
    <t>No clog, burn, leaking, or other device failure. Usage efficiency &gt;70% for 20kcp and 200kcp, &gt;60% for 2Mcp and 4Mcp.</t>
  </si>
  <si>
    <t>Puffing Machine, Scale, Battery, Digital Multimeter, USB-C Charger</t>
  </si>
  <si>
    <t>8 (2 for each viscosity)</t>
  </si>
  <si>
    <t>Media Compatibility Test</t>
  </si>
  <si>
    <t>Conduct Regular Lifetime Testing with low Quality Live Resin and Live Rosin. 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</si>
  <si>
    <t>Confirm device compatibility with Live Resin and Live Rosin. Resin and Rosin tend to have worse performance in lifetime testing in particular, as impurities clog up the pores in the heating element causing a decay in TPM. Mitigating this decay in TPM is critical to a positive user experience with Resin and Rosin.</t>
  </si>
  <si>
    <t>No clog, burn, leaking, or other device failure. Usage efficiency &gt;50%. TPM decay does not fall below 1mg/puff.</t>
  </si>
  <si>
    <t>4 (2 for each media type)</t>
  </si>
  <si>
    <t>2 Days*</t>
  </si>
  <si>
    <t>*NOTE: Resin/Rosin TPM drop-off can lead to longer test times for 2mL devices.</t>
  </si>
  <si>
    <t>User Simulation test is subject to change. Current SOP: 100mL/2.5s puff, 15s rest between puffs. Use the digital flow meter to calibrate the puffing machine prior to testing; it should read 40mL/s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10 puffs per session, 2 minute rest between sessions. Continue this testing until the device reaches 25% use, and then place the samples in the oven at 35C for 30 minutes, placed at a 45 degree angle with air inlet down. Remove from the oven and place in the tester's pocket for an additional 30 minutes. Repeat this cycle until the device is empty or a clog forms. Charge batteries every 100 puffs for single coil, every 50 puffs for dual coil. Collect notes and photos on any observations during teseting including abnormal bubbling, machine issues, and low battery. Non-device issues (puffing machine issues, low battery) will be eliminated during final presentation.</t>
  </si>
  <si>
    <t>Accurately reflect user test puffing habits, from puff length, interval, draw pressure, and environmental conditions. Validation for this test will be dependent on real user testing results.</t>
  </si>
  <si>
    <t>Failure rate matches user test results. Ideally  no clog, burn, leaking, or other device failure; if these failures are observed during user testing, however, it should be reflected in the user test simulation.</t>
  </si>
  <si>
    <t>Puffing Machine, Impingers, Filter Holders, Scale, Battery, Digital Multimeter, USB-C Charger, Oven, plastic bags, tester's pocket</t>
  </si>
  <si>
    <t>3 Days</t>
  </si>
  <si>
    <t>*Insufficient data for this test, duration subject to change along with SOP.</t>
  </si>
  <si>
    <t>Accelerated User Simulation Test</t>
  </si>
  <si>
    <t>User Simulation test is subject to change. Current SOP: 100mL/2.5s puff, 15s rest between puffs. Use the digital flow meter to calibrate the puffing machine prior to testing; it should read 40mL/s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10 puffs per session, 2 minute rest between sessions. Continue this testing until the device reaches 50% use, and then place the samples in the oven at 35C for 30 minutes, placed at a 45 degree angle with air inlet down. Remove from the oven and place in the tester's pocket for an additional 30 minutes. Repeat this cycle until the device is empty or a clog forms. Charge batteries every 100 puffs for single coil, every 50 puffs for dual coil. Collect notes and photos on any observations during teseting including abnormal bubbling, machine issues, and low battery. Non-device issues (puffing machine issues, low battery) will be eliminated during final presentation.</t>
  </si>
  <si>
    <t>1.5 Days</t>
  </si>
  <si>
    <t>Fill 1/3 of the device with 500kcp D8. Use the digital flow meter to calibrate the puffing machine prior to testing; it should read 20mL/s ± 2 mL/s.Perform regular 60mL/3s puffing until bubbling is observed.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Before starting the test, fill out all headers in the 'Big Headspace Serial Test' data collection template. Round 1: Place samples upright in the oven at 40C for 1 hour. Upon removal, check for initial clogging. If there is no clog, conduct regular puffing for 10 puffs, measuring TPM and draw pressure for each puff. Round 2: Place samples horizontal in the oven at 40C for 1 hour, and repeat the test process. Round 3: Place samples at the most unfavorable position (typically 45 degree angle with the air inlet at the lowest position) in the oven at 40C for 1 hour, repeating the same test process after. Note any high draw pressure, low TPM, activation issues, or other abnormalities. Other signs of clogging will be a 'popping' sound or only partial activation. NOTE: For non-CCELL3.0 devices, all three rounds of testing can be conducted in the upright position.</t>
  </si>
  <si>
    <t>Simulate clogging effects observed typically at the end of a device's lifetime due to pressure buildup in the oil tank. Leaking is accelerated in this situation</t>
  </si>
  <si>
    <t>No heavy clog, leak, or other device failure. Light clogs that pull through are to be noted but will not necessarily indicate a failure.</t>
  </si>
  <si>
    <t>Puffing Machine, Impingers, Filter Holders, Scale, Battery, Digital Multimeter, USB-C Charger, Oven</t>
  </si>
  <si>
    <t>0.5 Days</t>
  </si>
  <si>
    <t>Fill the device with 500kcp D8. Charge the samples and ensure that each sample activates. Before starting the test, fill out all headers in the 'Temperature Cycling Test' data collection template. Place two samples flat, two samples upright, and two samples upside-down in a sealed transport state. First, place samples at 60C for 30 minutes, then transfer to -20C for 30 minutes. Repeat this process for a total of 6 cycles, keeping the transition time below 3 minutes. After 6 cycles, store the samples at room temperature for 2 hours. Conduct 60mL/3s puffs with a 30s rest, 5 puffs per session for a total of 5 sessions. Use the digital flow meter to calibrate the puffing machine prior to testing; it should read 20mL/s ± 2 mL/s. If using impingers, wrap in parafilm to ensure a good seal. Before starting the test, charge the samples and ensure that the device activates. Ensure that the proper silicone connector is used and parafilm is wrapped over the sample. Record TPM and draw resistance for each session, and make note of any significant changes from puff to puff. Take notes and photos of any observations during testing. Non-device issues (puffing machine issues, low battery) will be eliminated during final presentation.</t>
  </si>
  <si>
    <t>Simulate extreme temperature changes from high temperature to low temperature. Device failures such as leaking, clogging, and battery failure are common with this test.</t>
  </si>
  <si>
    <t>Puffing Machine, Impingers, Filter Holders, Scale, Battery, Digital Multimeter, USB-C Charger, Oven, Sealed Storage Container</t>
  </si>
  <si>
    <t>200mL/10s puff, 60s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2 and 4 puffs depending on TPM and time restraints. The saturation limit of a filter pad is ~50mg. To prevent TPM inaccuracy, replace filter pads after 40mg of saturation (4 puffs at 10mg/10s puff, 2 puffs at 20mg/10s puff). Check for burn every session. Every session, allow samples to cool for 2 minutes. Charge batteries every 30 puffs for single coil, every 15 puffs for dual coil. Collect notes and photos on any observations during testing including abnormal bubbling, machine issues, and low battery. Non-device issues (puffing machine issues, low battery) will be eliminated during final presentation.</t>
  </si>
  <si>
    <t xml:space="preserve">Simulate the leaking and clogging effects observed by heavy users who take long puffs. Long puffs introduce risks for degradation of the heater, increased leaking, and potential clogging. </t>
  </si>
  <si>
    <t>No burn, clog, leak, or other device failure.</t>
  </si>
  <si>
    <t>60mL/2s puff, 5s rest. Use the digital flow meter to calibrate the puffing machine prior to testing; it should read 30mL/s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10 and 50 puffs depending on TPM and time restraints. For the first 5 sessions, do not use impingers and smell the filter pad to check for burn. After, add impingers to the puffing machine and complete the test. To prevent TPM inaccuracy, replace filter pads after 40mg of saturation when not using impingers. Every 10 puffs, allow samples to cool for 3 minutes. Charge batteries every 30 puffs for single coil, every 15 puffs for dual coil. Collect notes and photos on any observations during testing including abnormal bubbling, machine issues, and low battery. Non-device issues (puffing machine issues, low battery) will be eliminated during final presentation.</t>
  </si>
  <si>
    <t>Simulate the leaking and clogging effects observed by casual users who take short, rapid puffs. Extensive panel testing shows that the average casual user takes multiple 2-2.5s puffs in quick succession. This introduces a risk of leaking and clogging that may not be replicated by regular lifetime testing. TPM is also very different for a 2s puff compared to a 3s puff.</t>
  </si>
  <si>
    <t>TPM Consistency Test/Off Odor Test</t>
  </si>
  <si>
    <t>Hand samples to the analytical team to conduct whole aerosol and TPM consistency testing with the GCMS. Fill out the analytical test request form, provided in the Synology Drive. Testing is conducted at the beginning and end of a device's lifetime.</t>
  </si>
  <si>
    <t>Measure off odor scores in order to quantify off-taste compared to existing products such as the EVOMAX. This allows us to separate off-taste from media with off-taste from device. TPM consistency is used to compare initial vapor production with end vapor production.</t>
  </si>
  <si>
    <t>Off-odor score and TPM consistency equal or better than existing market products.</t>
  </si>
  <si>
    <t>Puffing Machine, GC-MS, Whole Aerosol Collection Device</t>
  </si>
  <si>
    <t>5 Days</t>
  </si>
  <si>
    <t>7 Days</t>
  </si>
  <si>
    <t>200mL/3s puff, 30s rest. Use the digital flow meter to calibrate the puffing machine prior to testing; it should read 67mL/s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10 and 20 puffs depending on TPM and time restraints. When using the 8 channel machine, do not use impingers. Impingers are acceptable for single channel machines. Check for burn and clogging every session. Ensure that filter pads are replaced every session without impingers, and every 50 puffs with impingers. Every 10 puffs, allow samples to cool for 3 minutes. Charge batteries every 100 puffs for single coil, every 50 puffs for dual coil. Collect notes and photos and photos on any observations during testing including abnormal bubbling, machine issues, and low battery. Non-device issues (puffing machine issues, low battery) will be eliminated during final presentation.</t>
  </si>
  <si>
    <t>Human draw analysis indicates that the average flow rate for a puff is between 40 and 50 mL/s, with flows reaching as high as 70mL/s. The intense test replicates the high end of this spectrum. This captures failure modes not observed in regular lifetime testing such as shooting oil and oil accumulation in the vapor pathway.</t>
  </si>
  <si>
    <t>Before weight (g)</t>
  </si>
  <si>
    <t>After weight (g)</t>
  </si>
  <si>
    <r>
      <t>Resistance (</t>
    </r>
    <r>
      <rPr>
        <sz val="11"/>
        <color theme="1"/>
        <rFont val="Aptos Narrow"/>
        <family val="2"/>
      </rPr>
      <t>Ω)</t>
    </r>
  </si>
  <si>
    <t>Oil Consumed (Cumulative, g)</t>
  </si>
  <si>
    <r>
      <t>Resistance (</t>
    </r>
    <r>
      <rPr>
        <sz val="11"/>
        <color theme="1"/>
        <rFont val="Aptos Narrow"/>
        <family val="2"/>
      </rPr>
      <t>Ω</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</si>
</sst>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b/>
      <u/>
      <sz val="11"/>
      <color theme="1"/>
      <name val="Aptos Narrow"/>
      <family val="2"/>
      <scheme val="minor"/>
    </font>
    <font>
      <sz val="11"/>
      <color rgb="FF242424"/>
      <name val="Consolas"/>
      <family val="3"/>
    </font>
    <font>
      <sz val="12"/>
      <name val="Calibri"/>
      <family val="2"/>
    </font>
    <font>
      <sz val="11"/>
      <color theme="1"/>
      <name val="Aptos Narrow"/>
      <family val="2"/>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theme="0"/>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 fillId="0" borderId="0">
      <alignment vertical="center"/>
    </xf>
    <xf numFmtId="0" fontId="1" fillId="0" borderId="0"/>
  </cellStyleXfs>
  <cellXfs count="22">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wrapText="1"/>
    </xf>
    <xf numFmtId="0" fontId="0" fillId="5" borderId="0" xfId="0" applyFill="1" applyAlignment="1">
      <alignment horizontal="left" vertical="center" wrapText="1"/>
    </xf>
    <xf numFmtId="0" fontId="0" fillId="5" borderId="0" xfId="0" applyFill="1" applyAlignment="1">
      <alignment horizontal="left" vertical="center"/>
    </xf>
    <xf numFmtId="0" fontId="0" fillId="5" borderId="3" xfId="0" applyFill="1" applyBorder="1" applyAlignment="1">
      <alignment horizontal="left" vertical="center" wrapText="1"/>
    </xf>
    <xf numFmtId="0" fontId="0" fillId="0" borderId="3" xfId="0" applyBorder="1" applyAlignment="1">
      <alignment horizontal="left" vertical="center"/>
    </xf>
    <xf numFmtId="0" fontId="5" fillId="0" borderId="3" xfId="0" applyFont="1" applyBorder="1" applyAlignment="1">
      <alignment horizontal="left" vertical="center"/>
    </xf>
    <xf numFmtId="0" fontId="0" fillId="0" borderId="0" xfId="0" quotePrefix="1" applyAlignment="1">
      <alignment horizontal="left" vertical="center"/>
    </xf>
    <xf numFmtId="0" fontId="4" fillId="5" borderId="1" xfId="0" applyFont="1" applyFill="1" applyBorder="1" applyAlignment="1">
      <alignment horizontal="left" vertical="center"/>
    </xf>
    <xf numFmtId="0" fontId="0" fillId="4" borderId="1" xfId="2" applyFont="1" applyFill="1" applyBorder="1" applyAlignment="1">
      <alignment horizontal="left" vertical="center"/>
    </xf>
    <xf numFmtId="0" fontId="0" fillId="0" borderId="1" xfId="0" applyBorder="1" applyAlignment="1">
      <alignment horizontal="left" vertical="center"/>
    </xf>
    <xf numFmtId="0" fontId="1" fillId="3" borderId="1" xfId="2" applyFont="1" applyBorder="1" applyAlignment="1">
      <alignment horizontal="left" vertical="center"/>
    </xf>
    <xf numFmtId="0" fontId="2" fillId="0" borderId="1" xfId="1" applyFill="1"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wrapText="1"/>
    </xf>
    <xf numFmtId="0" fontId="2" fillId="2" borderId="1" xfId="1" applyBorder="1" applyAlignment="1">
      <alignment horizontal="left" vertical="center"/>
    </xf>
    <xf numFmtId="0" fontId="0" fillId="0" borderId="1" xfId="0" applyBorder="1" applyAlignment="1">
      <alignment vertical="center" wrapText="1"/>
    </xf>
    <xf numFmtId="0" fontId="6" fillId="0" borderId="1" xfId="3" applyFont="1" applyBorder="1" applyAlignment="1">
      <alignment horizontal="left" vertical="center" wrapText="1"/>
    </xf>
    <xf numFmtId="0" fontId="0" fillId="0" borderId="3" xfId="0" applyBorder="1" applyAlignment="1">
      <alignment horizontal="left" vertical="center" wrapText="1"/>
    </xf>
    <xf numFmtId="0" fontId="5" fillId="0" borderId="0" xfId="0" applyFont="1" applyAlignment="1">
      <alignment horizontal="left" vertical="center" wrapText="1"/>
    </xf>
  </cellXfs>
  <cellStyles count="5">
    <cellStyle name="Bad" xfId="2" builtinId="27"/>
    <cellStyle name="Good" xfId="1" builtinId="26"/>
    <cellStyle name="Normal" xfId="0" builtinId="0"/>
    <cellStyle name="Normal 2" xfId="4" xr:uid="{94E8B9B1-DF84-4B39-A502-FFEFE5F1530C}"/>
    <cellStyle name="常规 3 4" xfId="3" xr:uid="{735DC9FA-E8F5-4F27-A3AB-2C2FE423CA66}"/>
  </cellStyles>
  <dxfs count="166">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ill>
        <patternFill>
          <bgColor theme="9" tint="0.79998168889431442"/>
        </patternFill>
      </fill>
    </dxf>
    <dxf>
      <fill>
        <patternFill>
          <bgColor rgb="FFFFFFCC"/>
        </patternFill>
      </fill>
    </dxf>
    <dxf>
      <fill>
        <patternFill>
          <bgColor rgb="FFFFD1D1"/>
        </patternFill>
      </fill>
    </dxf>
    <dxf>
      <font>
        <color theme="0"/>
      </font>
    </dxf>
    <dxf>
      <font>
        <color theme="0"/>
      </font>
    </dxf>
    <dxf>
      <fill>
        <patternFill>
          <bgColor theme="9" tint="0.79998168889431442"/>
        </patternFill>
      </fill>
    </dxf>
    <dxf>
      <fill>
        <patternFill>
          <bgColor rgb="FFFFFFCC"/>
        </patternFill>
      </fill>
    </dxf>
    <dxf>
      <fill>
        <patternFill>
          <bgColor rgb="FFFFD1D1"/>
        </patternFill>
      </fill>
    </dxf>
    <dxf>
      <font>
        <color theme="0"/>
      </font>
    </dxf>
    <dxf>
      <fill>
        <patternFill>
          <bgColor rgb="FFFFD1D1"/>
        </patternFill>
      </fill>
    </dxf>
    <dxf>
      <fill>
        <patternFill>
          <bgColor theme="9" tint="0.79998168889431442"/>
        </patternFill>
      </fill>
    </dxf>
    <dxf>
      <fill>
        <patternFill>
          <bgColor rgb="FFFFFFCC"/>
        </patternFill>
      </fill>
    </dxf>
    <dxf>
      <font>
        <color theme="0"/>
      </font>
    </dxf>
    <dxf>
      <font>
        <color theme="0"/>
      </font>
    </dxf>
    <dxf>
      <fill>
        <patternFill>
          <bgColor theme="9" tint="0.79998168889431442"/>
        </patternFill>
      </fill>
    </dxf>
    <dxf>
      <fill>
        <patternFill>
          <bgColor rgb="FFFFD1D1"/>
        </patternFill>
      </fill>
    </dxf>
    <dxf>
      <fill>
        <patternFill>
          <bgColor rgb="FFFFFFCC"/>
        </patternFill>
      </fill>
    </dxf>
    <dxf>
      <font>
        <color theme="0"/>
      </font>
    </dxf>
    <dxf>
      <fill>
        <patternFill>
          <bgColor theme="9" tint="0.79998168889431442"/>
        </patternFill>
      </fill>
    </dxf>
    <dxf>
      <fill>
        <patternFill>
          <bgColor rgb="FFFFFFCC"/>
        </patternFill>
      </fill>
    </dxf>
    <dxf>
      <fill>
        <patternFill>
          <bgColor rgb="FFFFD1D1"/>
        </patternFill>
      </fill>
    </dxf>
    <dxf>
      <font>
        <color theme="0"/>
      </font>
    </dxf>
    <dxf>
      <font>
        <color theme="0"/>
      </font>
    </dxf>
    <dxf>
      <fill>
        <patternFill>
          <bgColor theme="9" tint="0.79998168889431442"/>
        </patternFill>
      </fill>
    </dxf>
    <dxf>
      <fill>
        <patternFill>
          <bgColor rgb="FFFFFFCC"/>
        </patternFill>
      </fill>
    </dxf>
    <dxf>
      <fill>
        <patternFill>
          <bgColor rgb="FFFFD1D1"/>
        </patternFill>
      </fill>
    </dxf>
    <dxf>
      <font>
        <color theme="0"/>
      </font>
    </dxf>
    <dxf>
      <fill>
        <patternFill>
          <bgColor theme="9" tint="0.79998168889431442"/>
        </patternFill>
      </fill>
    </dxf>
    <dxf>
      <fill>
        <patternFill>
          <bgColor rgb="FFFFFFCC"/>
        </patternFill>
      </fill>
    </dxf>
    <dxf>
      <fill>
        <patternFill>
          <bgColor rgb="FFFFD1D1"/>
        </patternFill>
      </fill>
    </dxf>
    <dxf>
      <font>
        <color theme="0"/>
      </font>
    </dxf>
    <dxf>
      <font>
        <color theme="0"/>
      </font>
    </dxf>
    <dxf>
      <fill>
        <patternFill>
          <bgColor rgb="FFFFFFCC"/>
        </patternFill>
      </fill>
    </dxf>
    <dxf>
      <fill>
        <patternFill>
          <bgColor theme="9" tint="0.79998168889431442"/>
        </patternFill>
      </fill>
    </dxf>
    <dxf>
      <fill>
        <patternFill>
          <bgColor rgb="FFFFD1D1"/>
        </patternFill>
      </fill>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theme="9" tint="0.79998168889431442"/>
        </patternFill>
      </fill>
    </dxf>
    <dxf>
      <fill>
        <patternFill>
          <bgColor rgb="FFFFFFCC"/>
        </patternFill>
      </fill>
    </dxf>
    <dxf>
      <fill>
        <patternFill>
          <bgColor rgb="FFFFD1D1"/>
        </patternFill>
      </fill>
    </dxf>
    <dxf>
      <fill>
        <patternFill patternType="none">
          <bgColor auto="1"/>
        </patternFill>
      </fill>
    </dxf>
    <dxf>
      <font>
        <color theme="0"/>
      </font>
    </dxf>
    <dxf>
      <font>
        <color theme="0"/>
      </font>
    </dxf>
    <dxf>
      <fill>
        <patternFill>
          <bgColor theme="9" tint="0.79998168889431442"/>
        </patternFill>
      </fill>
    </dxf>
    <dxf>
      <fill>
        <patternFill>
          <bgColor rgb="FFFFFFCC"/>
        </patternFill>
      </fill>
    </dxf>
    <dxf>
      <fill>
        <patternFill>
          <bgColor rgb="FFFFD1D1"/>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ill>
        <patternFill patternType="none">
          <bgColor auto="1"/>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theme="9" tint="0.79998168889431442"/>
        </patternFill>
      </fill>
    </dxf>
    <dxf>
      <fill>
        <patternFill>
          <bgColor rgb="FFFFFFCC"/>
        </patternFill>
      </fill>
    </dxf>
    <dxf>
      <fill>
        <patternFill>
          <bgColor rgb="FFFFD1D1"/>
        </patternFill>
      </fill>
    </dxf>
    <dxf>
      <fill>
        <patternFill patternType="none">
          <bgColor auto="1"/>
        </patternFill>
      </fill>
    </dxf>
    <dxf>
      <font>
        <color theme="0"/>
      </font>
    </dxf>
    <dxf>
      <font>
        <color theme="0"/>
      </font>
    </dxf>
    <dxf>
      <fill>
        <patternFill>
          <bgColor theme="9" tint="0.79998168889431442"/>
        </patternFill>
      </fill>
    </dxf>
    <dxf>
      <fill>
        <patternFill>
          <bgColor rgb="FFFFFFCC"/>
        </patternFill>
      </fill>
    </dxf>
    <dxf>
      <fill>
        <patternFill>
          <bgColor rgb="FFFFD1D1"/>
        </patternFill>
      </fill>
    </dxf>
    <dxf>
      <font>
        <color theme="0"/>
      </font>
    </dxf>
    <dxf>
      <fill>
        <patternFill>
          <bgColor rgb="FFEFA9A9"/>
        </patternFill>
      </fill>
    </dxf>
    <dxf>
      <fill>
        <patternFill>
          <bgColor rgb="FF99FF99"/>
        </patternFill>
      </fill>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ill>
        <patternFill>
          <bgColor rgb="FFFFD1D1"/>
        </patternFill>
      </fill>
    </dxf>
    <dxf>
      <fill>
        <patternFill>
          <bgColor rgb="FFFFFFCC"/>
        </patternFill>
      </fill>
    </dxf>
    <dxf>
      <fill>
        <patternFill>
          <bgColor theme="9" tint="0.79998168889431442"/>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
      <fill>
        <patternFill>
          <bgColor rgb="FFFFD1D1"/>
        </patternFill>
      </fill>
    </dxf>
    <dxf>
      <fill>
        <patternFill>
          <bgColor rgb="FFFFFFCC"/>
        </patternFill>
      </fill>
    </dxf>
    <dxf>
      <fill>
        <patternFill>
          <bgColor theme="9" tint="0.79998168889431442"/>
        </patternFill>
      </fill>
    </dxf>
    <dxf>
      <fill>
        <patternFill patternType="none">
          <bgColor auto="1"/>
        </patternFill>
      </fill>
    </dxf>
    <dxf>
      <font>
        <color theme="0"/>
      </font>
    </dxf>
    <dxf>
      <font>
        <color theme="0"/>
      </font>
    </dxf>
    <dxf>
      <fill>
        <patternFill>
          <bgColor rgb="FFFFD1D1"/>
        </patternFill>
      </fill>
    </dxf>
    <dxf>
      <fill>
        <patternFill>
          <bgColor rgb="FFFFFFCC"/>
        </patternFill>
      </fill>
    </dxf>
    <dxf>
      <fill>
        <patternFill>
          <bgColor theme="9" tint="0.79998168889431442"/>
        </patternFill>
      </fill>
    </dxf>
    <dxf>
      <font>
        <color theme="0"/>
      </font>
    </dxf>
  </dxfs>
  <tableStyles count="0" defaultTableStyle="TableStyleMedium2" defaultPivotStyle="PivotStyleLight16"/>
  <colors>
    <mruColors>
      <color rgb="FFFFFFCC"/>
      <color rgb="FFFFD1D1"/>
      <color rgb="FFF6FC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'Lifetime Test'!puffs_1_lifetime</c:f>
              <c:numCache>
                <c:formatCode>General</c:formatCode>
                <c:ptCount val="1"/>
                <c:pt idx="0">
                  <c:v>20</c:v>
                </c:pt>
              </c:numCache>
            </c:numRef>
          </c:xVal>
          <c:yVal>
            <c:numRef>
              <c:f>'Lifetime Test'!TPM_1_lifetime</c:f>
              <c:numCache>
                <c:formatCode>General</c:formatCode>
                <c:ptCount val="1"/>
                <c:pt idx="0">
                  <c:v>#N/A</c:v>
                </c:pt>
              </c:numCache>
            </c:numRef>
          </c:yVal>
          <c:smooth val="0"/>
          <c:extLst>
            <c:ext xmlns:c16="http://schemas.microsoft.com/office/drawing/2014/chart" uri="{C3380CC4-5D6E-409C-BE32-E72D297353CC}">
              <c16:uniqueId val="{00000001-71C9-41EC-AD15-CA601158F2FC}"/>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[0]!puffs_2_lifetime</c:f>
              <c:numCache>
                <c:formatCode>General</c:formatCode>
                <c:ptCount val="1"/>
                <c:pt idx="0">
                  <c:v>20</c:v>
                </c:pt>
              </c:numCache>
            </c:numRef>
          </c:xVal>
          <c:yVal>
            <c:numRef>
              <c:f>[0]!TPM_2_lifetime</c:f>
              <c:numCache>
                <c:formatCode>General</c:formatCode>
                <c:ptCount val="1"/>
                <c:pt idx="0">
                  <c:v>#N/A</c:v>
                </c:pt>
              </c:numCache>
            </c:numRef>
          </c:yVal>
          <c:smooth val="0"/>
          <c:extLst>
            <c:ext xmlns:c16="http://schemas.microsoft.com/office/drawing/2014/chart" uri="{C3380CC4-5D6E-409C-BE32-E72D297353CC}">
              <c16:uniqueId val="{00000002-71C9-41EC-AD15-CA601158F2FC}"/>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'Lifetime Test'!puffs_1_lifetime</c:f>
              <c:numCache>
                <c:formatCode>General</c:formatCode>
                <c:ptCount val="1"/>
                <c:pt idx="0">
                  <c:v>20</c:v>
                </c:pt>
              </c:numCache>
            </c:numRef>
          </c:xVal>
          <c:yVal>
            <c:numRef>
              <c:f>'Lifetime Test'!DP_1_lifetime</c:f>
              <c:numCache>
                <c:formatCode>General</c:formatCode>
                <c:ptCount val="1"/>
              </c:numCache>
            </c:numRef>
          </c:yVal>
          <c:smooth val="0"/>
          <c:extLst>
            <c:ext xmlns:c16="http://schemas.microsoft.com/office/drawing/2014/chart" uri="{C3380CC4-5D6E-409C-BE32-E72D297353CC}">
              <c16:uniqueId val="{00000000-F11A-4979-BBB5-3B57EF335FDB}"/>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[0]!puffs_2_lifetime</c:f>
              <c:numCache>
                <c:formatCode>General</c:formatCode>
                <c:ptCount val="1"/>
                <c:pt idx="0">
                  <c:v>20</c:v>
                </c:pt>
              </c:numCache>
            </c:numRef>
          </c:xVal>
          <c:yVal>
            <c:numRef>
              <c:f>'Lifetime Test'!DP_2_lifetime</c:f>
              <c:numCache>
                <c:formatCode>General</c:formatCode>
                <c:ptCount val="1"/>
              </c:numCache>
            </c:numRef>
          </c:yVal>
          <c:smooth val="0"/>
          <c:extLst>
            <c:ext xmlns:c16="http://schemas.microsoft.com/office/drawing/2014/chart" uri="{C3380CC4-5D6E-409C-BE32-E72D297353CC}">
              <c16:uniqueId val="{00000001-F11A-4979-BBB5-3B57EF335FDB}"/>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'User Test Simulation'!puffs_1_usersim</c:f>
              <c:numCache>
                <c:formatCode>General</c:formatCode>
                <c:ptCount val="1"/>
                <c:pt idx="0">
                  <c:v>20</c:v>
                </c:pt>
              </c:numCache>
            </c:numRef>
          </c:xVal>
          <c:yVal>
            <c:numRef>
              <c:f>'User Test Simulation'!TPM_1_usersim</c:f>
              <c:numCache>
                <c:formatCode>General</c:formatCode>
                <c:ptCount val="1"/>
                <c:pt idx="0">
                  <c:v>#N/A</c:v>
                </c:pt>
              </c:numCache>
            </c:numRef>
          </c:yVal>
          <c:smooth val="0"/>
          <c:extLst>
            <c:ext xmlns:c16="http://schemas.microsoft.com/office/drawing/2014/chart" uri="{C3380CC4-5D6E-409C-BE32-E72D297353CC}">
              <c16:uniqueId val="{00000000-CB5B-4C4D-A737-1C2BA02BB576}"/>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[0]!puffs_2_usersim</c:f>
              <c:numCache>
                <c:formatCode>General</c:formatCode>
                <c:ptCount val="1"/>
                <c:pt idx="0">
                  <c:v>20</c:v>
                </c:pt>
              </c:numCache>
            </c:numRef>
          </c:xVal>
          <c:yVal>
            <c:numRef>
              <c:f>'User Test Simulation'!TPM_2_usersim</c:f>
              <c:numCache>
                <c:formatCode>General</c:formatCode>
                <c:ptCount val="1"/>
                <c:pt idx="0">
                  <c:v>#N/A</c:v>
                </c:pt>
              </c:numCache>
            </c:numRef>
          </c:yVal>
          <c:smooth val="0"/>
          <c:extLst>
            <c:ext xmlns:c16="http://schemas.microsoft.com/office/drawing/2014/chart" uri="{C3380CC4-5D6E-409C-BE32-E72D297353CC}">
              <c16:uniqueId val="{00000001-CB5B-4C4D-A737-1C2BA02BB576}"/>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'User Test Simulation'!puffs_1_usersim</c:f>
              <c:numCache>
                <c:formatCode>General</c:formatCode>
                <c:ptCount val="1"/>
                <c:pt idx="0">
                  <c:v>20</c:v>
                </c:pt>
              </c:numCache>
            </c:numRef>
          </c:xVal>
          <c:yVal>
            <c:numRef>
              <c:f>'User Test Simulation'!DP_1_usersim</c:f>
              <c:numCache>
                <c:formatCode>General</c:formatCode>
                <c:ptCount val="1"/>
              </c:numCache>
            </c:numRef>
          </c:yVal>
          <c:smooth val="0"/>
          <c:extLst>
            <c:ext xmlns:c16="http://schemas.microsoft.com/office/drawing/2014/chart" uri="{C3380CC4-5D6E-409C-BE32-E72D297353CC}">
              <c16:uniqueId val="{00000000-6730-4A41-8458-8DA9E0DC3C4D}"/>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[0]!puffs_2_usersim</c:f>
              <c:numCache>
                <c:formatCode>General</c:formatCode>
                <c:ptCount val="1"/>
                <c:pt idx="0">
                  <c:v>20</c:v>
                </c:pt>
              </c:numCache>
            </c:numRef>
          </c:xVal>
          <c:yVal>
            <c:numRef>
              <c:f>'User Test Simulation'!DP_2_usersim</c:f>
              <c:numCache>
                <c:formatCode>General</c:formatCode>
                <c:ptCount val="1"/>
              </c:numCache>
            </c:numRef>
          </c:yVal>
          <c:smooth val="0"/>
          <c:extLst>
            <c:ext xmlns:c16="http://schemas.microsoft.com/office/drawing/2014/chart" uri="{C3380CC4-5D6E-409C-BE32-E72D297353CC}">
              <c16:uniqueId val="{00000001-6730-4A41-8458-8DA9E0DC3C4D}"/>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'Long Puff Lifetime Test'!puffs_1_longpuff</c:f>
              <c:numCache>
                <c:formatCode>General</c:formatCode>
                <c:ptCount val="1"/>
                <c:pt idx="0">
                  <c:v>2</c:v>
                </c:pt>
              </c:numCache>
            </c:numRef>
          </c:xVal>
          <c:yVal>
            <c:numRef>
              <c:f>'Long Puff Lifetime Test'!TPM_1_longpuff</c:f>
              <c:numCache>
                <c:formatCode>General</c:formatCode>
                <c:ptCount val="1"/>
                <c:pt idx="0">
                  <c:v>#N/A</c:v>
                </c:pt>
              </c:numCache>
            </c:numRef>
          </c:yVal>
          <c:smooth val="0"/>
          <c:extLst>
            <c:ext xmlns:c16="http://schemas.microsoft.com/office/drawing/2014/chart" uri="{C3380CC4-5D6E-409C-BE32-E72D297353CC}">
              <c16:uniqueId val="{00000000-DBA8-4D0A-98B9-E921EE4C507B}"/>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[0]!puffs_2_longpuff</c:f>
              <c:numCache>
                <c:formatCode>General</c:formatCode>
                <c:ptCount val="1"/>
                <c:pt idx="0">
                  <c:v>2</c:v>
                </c:pt>
              </c:numCache>
            </c:numRef>
          </c:xVal>
          <c:yVal>
            <c:numRef>
              <c:f>'Long Puff Lifetime Test'!TPM_2_longpuff</c:f>
              <c:numCache>
                <c:formatCode>General</c:formatCode>
                <c:ptCount val="1"/>
                <c:pt idx="0">
                  <c:v>#N/A</c:v>
                </c:pt>
              </c:numCache>
            </c:numRef>
          </c:yVal>
          <c:smooth val="0"/>
          <c:extLst>
            <c:ext xmlns:c16="http://schemas.microsoft.com/office/drawing/2014/chart" uri="{C3380CC4-5D6E-409C-BE32-E72D297353CC}">
              <c16:uniqueId val="{00000001-DBA8-4D0A-98B9-E921EE4C507B}"/>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'Long Puff Lifetime Test'!puffs_1_longpuff</c:f>
              <c:numCache>
                <c:formatCode>General</c:formatCode>
                <c:ptCount val="1"/>
                <c:pt idx="0">
                  <c:v>2</c:v>
                </c:pt>
              </c:numCache>
            </c:numRef>
          </c:xVal>
          <c:yVal>
            <c:numRef>
              <c:f>'Long Puff Lifetime Test'!DP_1_longpuff</c:f>
              <c:numCache>
                <c:formatCode>General</c:formatCode>
                <c:ptCount val="1"/>
              </c:numCache>
            </c:numRef>
          </c:yVal>
          <c:smooth val="0"/>
          <c:extLst>
            <c:ext xmlns:c16="http://schemas.microsoft.com/office/drawing/2014/chart" uri="{C3380CC4-5D6E-409C-BE32-E72D297353CC}">
              <c16:uniqueId val="{00000000-EC4A-4136-82F5-AF9EBE74AC68}"/>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[0]!puffs_2_longpuff</c:f>
              <c:numCache>
                <c:formatCode>General</c:formatCode>
                <c:ptCount val="1"/>
                <c:pt idx="0">
                  <c:v>2</c:v>
                </c:pt>
              </c:numCache>
            </c:numRef>
          </c:xVal>
          <c:yVal>
            <c:numRef>
              <c:f>'Long Puff Lifetime Test'!DP_2_longpuff</c:f>
              <c:numCache>
                <c:formatCode>General</c:formatCode>
                <c:ptCount val="1"/>
              </c:numCache>
            </c:numRef>
          </c:yVal>
          <c:smooth val="0"/>
          <c:extLst>
            <c:ext xmlns:c16="http://schemas.microsoft.com/office/drawing/2014/chart" uri="{C3380CC4-5D6E-409C-BE32-E72D297353CC}">
              <c16:uniqueId val="{00000001-EC4A-4136-82F5-AF9EBE74AC68}"/>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[0]!puffs_1_rapid</c:f>
              <c:numCache>
                <c:formatCode>General</c:formatCode>
                <c:ptCount val="1"/>
                <c:pt idx="0">
                  <c:v>10</c:v>
                </c:pt>
              </c:numCache>
            </c:numRef>
          </c:xVal>
          <c:yVal>
            <c:numRef>
              <c:f>'Rapid Puff Lifetime Test'!TPM_1_rapidpuff</c:f>
              <c:numCache>
                <c:formatCode>General</c:formatCode>
                <c:ptCount val="1"/>
                <c:pt idx="0">
                  <c:v>#N/A</c:v>
                </c:pt>
              </c:numCache>
            </c:numRef>
          </c:yVal>
          <c:smooth val="0"/>
          <c:extLst>
            <c:ext xmlns:c16="http://schemas.microsoft.com/office/drawing/2014/chart" uri="{C3380CC4-5D6E-409C-BE32-E72D297353CC}">
              <c16:uniqueId val="{00000000-8516-4F29-91F9-72328A840C2B}"/>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[0]!puffs_2_rapid</c:f>
              <c:numCache>
                <c:formatCode>General</c:formatCode>
                <c:ptCount val="1"/>
                <c:pt idx="0">
                  <c:v>10</c:v>
                </c:pt>
              </c:numCache>
            </c:numRef>
          </c:xVal>
          <c:yVal>
            <c:numRef>
              <c:f>'Rapid Puff Lifetime Test'!TPM_2_rapid</c:f>
              <c:numCache>
                <c:formatCode>General</c:formatCode>
                <c:ptCount val="1"/>
                <c:pt idx="0">
                  <c:v>#N/A</c:v>
                </c:pt>
              </c:numCache>
            </c:numRef>
          </c:yVal>
          <c:smooth val="0"/>
          <c:extLst>
            <c:ext xmlns:c16="http://schemas.microsoft.com/office/drawing/2014/chart" uri="{C3380CC4-5D6E-409C-BE32-E72D297353CC}">
              <c16:uniqueId val="{00000001-8516-4F29-91F9-72328A840C2B}"/>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[0]!puffs_1_rapid</c:f>
              <c:numCache>
                <c:formatCode>General</c:formatCode>
                <c:ptCount val="1"/>
                <c:pt idx="0">
                  <c:v>10</c:v>
                </c:pt>
              </c:numCache>
            </c:numRef>
          </c:xVal>
          <c:yVal>
            <c:numRef>
              <c:f>'Rapid Puff Lifetime Test'!DP_1_rapid</c:f>
              <c:numCache>
                <c:formatCode>General</c:formatCode>
                <c:ptCount val="1"/>
              </c:numCache>
            </c:numRef>
          </c:yVal>
          <c:smooth val="0"/>
          <c:extLst>
            <c:ext xmlns:c16="http://schemas.microsoft.com/office/drawing/2014/chart" uri="{C3380CC4-5D6E-409C-BE32-E72D297353CC}">
              <c16:uniqueId val="{00000000-748B-42CF-90FA-639D39C6E131}"/>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[0]!puffs_2_rapid</c:f>
              <c:numCache>
                <c:formatCode>General</c:formatCode>
                <c:ptCount val="1"/>
                <c:pt idx="0">
                  <c:v>10</c:v>
                </c:pt>
              </c:numCache>
            </c:numRef>
          </c:xVal>
          <c:yVal>
            <c:numRef>
              <c:f>'Rapid Puff Lifetime Test'!DP_2_rapid</c:f>
              <c:numCache>
                <c:formatCode>General</c:formatCode>
                <c:ptCount val="1"/>
              </c:numCache>
            </c:numRef>
          </c:yVal>
          <c:smooth val="0"/>
          <c:extLst>
            <c:ext xmlns:c16="http://schemas.microsoft.com/office/drawing/2014/chart" uri="{C3380CC4-5D6E-409C-BE32-E72D297353CC}">
              <c16:uniqueId val="{00000001-748B-42CF-90FA-639D39C6E131}"/>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[0]!puffs_1_intense</c:f>
              <c:numCache>
                <c:formatCode>General</c:formatCode>
                <c:ptCount val="1"/>
                <c:pt idx="0">
                  <c:v>10</c:v>
                </c:pt>
              </c:numCache>
            </c:numRef>
          </c:xVal>
          <c:yVal>
            <c:numRef>
              <c:f>'Intense Test'!TPM_1_intense</c:f>
              <c:numCache>
                <c:formatCode>General</c:formatCode>
                <c:ptCount val="1"/>
                <c:pt idx="0">
                  <c:v>#N/A</c:v>
                </c:pt>
              </c:numCache>
            </c:numRef>
          </c:yVal>
          <c:smooth val="0"/>
          <c:extLst>
            <c:ext xmlns:c16="http://schemas.microsoft.com/office/drawing/2014/chart" uri="{C3380CC4-5D6E-409C-BE32-E72D297353CC}">
              <c16:uniqueId val="{00000000-BAB6-48F4-9BAF-9F6EC9C5C7C6}"/>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[0]!puffs_2_intense</c:f>
              <c:numCache>
                <c:formatCode>General</c:formatCode>
                <c:ptCount val="1"/>
                <c:pt idx="0">
                  <c:v>10</c:v>
                </c:pt>
              </c:numCache>
            </c:numRef>
          </c:xVal>
          <c:yVal>
            <c:numRef>
              <c:f>'Intense Test'!TPM_2_intense</c:f>
              <c:numCache>
                <c:formatCode>General</c:formatCode>
                <c:ptCount val="1"/>
                <c:pt idx="0">
                  <c:v>#N/A</c:v>
                </c:pt>
              </c:numCache>
            </c:numRef>
          </c:yVal>
          <c:smooth val="0"/>
          <c:extLst>
            <c:ext xmlns:c16="http://schemas.microsoft.com/office/drawing/2014/chart" uri="{C3380CC4-5D6E-409C-BE32-E72D297353CC}">
              <c16:uniqueId val="{00000001-BAB6-48F4-9BAF-9F6EC9C5C7C6}"/>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[0]!puffs_1_intense</c:f>
              <c:numCache>
                <c:formatCode>General</c:formatCode>
                <c:ptCount val="1"/>
                <c:pt idx="0">
                  <c:v>10</c:v>
                </c:pt>
              </c:numCache>
            </c:numRef>
          </c:xVal>
          <c:yVal>
            <c:numRef>
              <c:f>'Intense Test'!DP_1_intense</c:f>
              <c:numCache>
                <c:formatCode>General</c:formatCode>
                <c:ptCount val="1"/>
              </c:numCache>
            </c:numRef>
          </c:yVal>
          <c:smooth val="0"/>
          <c:extLst>
            <c:ext xmlns:c16="http://schemas.microsoft.com/office/drawing/2014/chart" uri="{C3380CC4-5D6E-409C-BE32-E72D297353CC}">
              <c16:uniqueId val="{00000000-F953-427D-B466-9809BCFE8B15}"/>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[0]!puffs_2_intense</c:f>
              <c:numCache>
                <c:formatCode>General</c:formatCode>
                <c:ptCount val="1"/>
                <c:pt idx="0">
                  <c:v>10</c:v>
                </c:pt>
              </c:numCache>
            </c:numRef>
          </c:xVal>
          <c:yVal>
            <c:numRef>
              <c:f>'Intense Test'!DP_2_intense</c:f>
              <c:numCache>
                <c:formatCode>General</c:formatCode>
                <c:ptCount val="1"/>
              </c:numCache>
            </c:numRef>
          </c:yVal>
          <c:smooth val="0"/>
          <c:extLst>
            <c:ext xmlns:c16="http://schemas.microsoft.com/office/drawing/2014/chart" uri="{C3380CC4-5D6E-409C-BE32-E72D297353CC}">
              <c16:uniqueId val="{00000001-F953-427D-B466-9809BCFE8B15}"/>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'Big Headspace Serial Test'!puffs_1_bighead</c:f>
              <c:numCache>
                <c:formatCode>General</c:formatCode>
                <c:ptCount val="1"/>
                <c:pt idx="0">
                  <c:v>1</c:v>
                </c:pt>
              </c:numCache>
            </c:numRef>
          </c:xVal>
          <c:yVal>
            <c:numRef>
              <c:f>'Big Headspace Serial Test'!TPM_1_bighead</c:f>
              <c:numCache>
                <c:formatCode>General</c:formatCode>
                <c:ptCount val="1"/>
                <c:pt idx="0">
                  <c:v>#N/A</c:v>
                </c:pt>
              </c:numCache>
            </c:numRef>
          </c:yVal>
          <c:smooth val="0"/>
          <c:extLst>
            <c:ext xmlns:c16="http://schemas.microsoft.com/office/drawing/2014/chart" uri="{C3380CC4-5D6E-409C-BE32-E72D297353CC}">
              <c16:uniqueId val="{00000000-263D-4555-9D20-9A9E27ECC762}"/>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'Big Headspace Serial Test'!puffs_2_bighead</c:f>
              <c:numCache>
                <c:formatCode>General</c:formatCode>
                <c:ptCount val="1"/>
                <c:pt idx="0">
                  <c:v>1</c:v>
                </c:pt>
              </c:numCache>
            </c:numRef>
          </c:xVal>
          <c:yVal>
            <c:numRef>
              <c:f>'Big Headspace Serial Test'!TPM_2_bighead</c:f>
              <c:numCache>
                <c:formatCode>General</c:formatCode>
                <c:ptCount val="1"/>
                <c:pt idx="0">
                  <c:v>#N/A</c:v>
                </c:pt>
              </c:numCache>
            </c:numRef>
          </c:yVal>
          <c:smooth val="0"/>
          <c:extLst>
            <c:ext xmlns:c16="http://schemas.microsoft.com/office/drawing/2014/chart" uri="{C3380CC4-5D6E-409C-BE32-E72D297353CC}">
              <c16:uniqueId val="{00000001-263D-4555-9D20-9A9E27ECC762}"/>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'Big Headspace Serial Test'!puffs_1_bighead</c:f>
              <c:numCache>
                <c:formatCode>General</c:formatCode>
                <c:ptCount val="1"/>
                <c:pt idx="0">
                  <c:v>1</c:v>
                </c:pt>
              </c:numCache>
            </c:numRef>
          </c:xVal>
          <c:yVal>
            <c:numRef>
              <c:f>'Big Headspace Serial Test'!DP_1_bighead</c:f>
              <c:numCache>
                <c:formatCode>General</c:formatCode>
                <c:ptCount val="1"/>
              </c:numCache>
            </c:numRef>
          </c:yVal>
          <c:smooth val="0"/>
          <c:extLst>
            <c:ext xmlns:c16="http://schemas.microsoft.com/office/drawing/2014/chart" uri="{C3380CC4-5D6E-409C-BE32-E72D297353CC}">
              <c16:uniqueId val="{00000000-AC19-4FA6-A69F-F137E0933096}"/>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'Big Headspace Serial Test'!puffs_2_bighead</c:f>
              <c:numCache>
                <c:formatCode>General</c:formatCode>
                <c:ptCount val="1"/>
                <c:pt idx="0">
                  <c:v>1</c:v>
                </c:pt>
              </c:numCache>
            </c:numRef>
          </c:xVal>
          <c:yVal>
            <c:numRef>
              <c:f>'Big Headspace Serial Test'!DP_2_bighead</c:f>
              <c:numCache>
                <c:formatCode>General</c:formatCode>
                <c:ptCount val="1"/>
              </c:numCache>
            </c:numRef>
          </c:yVal>
          <c:smooth val="0"/>
          <c:extLst>
            <c:ext xmlns:c16="http://schemas.microsoft.com/office/drawing/2014/chart" uri="{C3380CC4-5D6E-409C-BE32-E72D297353CC}">
              <c16:uniqueId val="{00000001-AC19-4FA6-A69F-F137E0933096}"/>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'Temperature Cycling Test #2'!puffs_1_temp_cycling</c:f>
              <c:numCache>
                <c:formatCode>General</c:formatCode>
                <c:ptCount val="1"/>
                <c:pt idx="0">
                  <c:v>5</c:v>
                </c:pt>
              </c:numCache>
            </c:numRef>
          </c:xVal>
          <c:yVal>
            <c:numRef>
              <c:f>'Temperature Cycling Test #2'!TPM_1_temp_cycling</c:f>
              <c:numCache>
                <c:formatCode>General</c:formatCode>
                <c:ptCount val="1"/>
                <c:pt idx="0">
                  <c:v>#N/A</c:v>
                </c:pt>
              </c:numCache>
            </c:numRef>
          </c:yVal>
          <c:smooth val="0"/>
          <c:extLst>
            <c:ext xmlns:c16="http://schemas.microsoft.com/office/drawing/2014/chart" uri="{C3380CC4-5D6E-409C-BE32-E72D297353CC}">
              <c16:uniqueId val="{00000000-3772-4E74-B895-750C5A8FED77}"/>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'Temperature Cycling Test #2'!puffs_2_temp_cycling</c:f>
              <c:numCache>
                <c:formatCode>General</c:formatCode>
                <c:ptCount val="1"/>
                <c:pt idx="0">
                  <c:v>5</c:v>
                </c:pt>
              </c:numCache>
            </c:numRef>
          </c:xVal>
          <c:yVal>
            <c:numRef>
              <c:f>'Temperature Cycling Test #2'!TPM_2_temp_cycling</c:f>
              <c:numCache>
                <c:formatCode>General</c:formatCode>
                <c:ptCount val="1"/>
                <c:pt idx="0">
                  <c:v>#N/A</c:v>
                </c:pt>
              </c:numCache>
            </c:numRef>
          </c:yVal>
          <c:smooth val="0"/>
          <c:extLst>
            <c:ext xmlns:c16="http://schemas.microsoft.com/office/drawing/2014/chart" uri="{C3380CC4-5D6E-409C-BE32-E72D297353CC}">
              <c16:uniqueId val="{00000001-3772-4E74-B895-750C5A8FED77}"/>
            </c:ext>
          </c:extLst>
        </c:ser>
        <c:ser>
          <c:idx val="2"/>
          <c:order val="2"/>
          <c:tx>
            <c:v>Sample 3</c:v>
          </c:tx>
          <c:spPr>
            <a:ln w="25400" cap="rnd">
              <a:noFill/>
              <a:round/>
            </a:ln>
            <a:effectLst/>
          </c:spPr>
          <c:marker>
            <c:symbol val="circle"/>
            <c:size val="5"/>
            <c:spPr>
              <a:solidFill>
                <a:schemeClr val="accent3"/>
              </a:solidFill>
              <a:ln w="9525">
                <a:solidFill>
                  <a:schemeClr val="accent3"/>
                </a:solidFill>
              </a:ln>
              <a:effectLst/>
            </c:spPr>
          </c:marker>
          <c:xVal>
            <c:numRef>
              <c:f>'Temperature Cycling Test #2'!puffs_3_temp_cycling</c:f>
              <c:numCache>
                <c:formatCode>General</c:formatCode>
                <c:ptCount val="1"/>
                <c:pt idx="0">
                  <c:v>5</c:v>
                </c:pt>
              </c:numCache>
            </c:numRef>
          </c:xVal>
          <c:yVal>
            <c:numRef>
              <c:f>'Temperature Cycling Test #2'!TPM_3_temp_cycling</c:f>
              <c:numCache>
                <c:formatCode>General</c:formatCode>
                <c:ptCount val="1"/>
                <c:pt idx="0">
                  <c:v>#N/A</c:v>
                </c:pt>
              </c:numCache>
            </c:numRef>
          </c:yVal>
          <c:smooth val="0"/>
          <c:extLst>
            <c:ext xmlns:c16="http://schemas.microsoft.com/office/drawing/2014/chart" uri="{C3380CC4-5D6E-409C-BE32-E72D297353CC}">
              <c16:uniqueId val="{00000000-C61D-447B-BDB5-07DA6C441AFC}"/>
            </c:ext>
          </c:extLst>
        </c:ser>
        <c:ser>
          <c:idx val="3"/>
          <c:order val="3"/>
          <c:tx>
            <c:v>Sample 4</c:v>
          </c:tx>
          <c:spPr>
            <a:ln w="25400" cap="rnd">
              <a:noFill/>
              <a:round/>
            </a:ln>
            <a:effectLst/>
          </c:spPr>
          <c:marker>
            <c:symbol val="circle"/>
            <c:size val="5"/>
            <c:spPr>
              <a:solidFill>
                <a:schemeClr val="accent4"/>
              </a:solidFill>
              <a:ln w="9525">
                <a:solidFill>
                  <a:schemeClr val="accent4"/>
                </a:solidFill>
              </a:ln>
              <a:effectLst/>
            </c:spPr>
          </c:marker>
          <c:xVal>
            <c:numRef>
              <c:f>'Temperature Cycling Test #2'!puffs_4_temp_cycling</c:f>
              <c:numCache>
                <c:formatCode>General</c:formatCode>
                <c:ptCount val="1"/>
                <c:pt idx="0">
                  <c:v>5</c:v>
                </c:pt>
              </c:numCache>
            </c:numRef>
          </c:xVal>
          <c:yVal>
            <c:numRef>
              <c:f>'Temperature Cycling Test #2'!TPM_4_temp_cycling</c:f>
              <c:numCache>
                <c:formatCode>General</c:formatCode>
                <c:ptCount val="1"/>
                <c:pt idx="0">
                  <c:v>#N/A</c:v>
                </c:pt>
              </c:numCache>
            </c:numRef>
          </c:yVal>
          <c:smooth val="0"/>
          <c:extLst>
            <c:ext xmlns:c16="http://schemas.microsoft.com/office/drawing/2014/chart" uri="{C3380CC4-5D6E-409C-BE32-E72D297353CC}">
              <c16:uniqueId val="{00000001-C61D-447B-BDB5-07DA6C441AFC}"/>
            </c:ext>
          </c:extLst>
        </c:ser>
        <c:ser>
          <c:idx val="4"/>
          <c:order val="4"/>
          <c:tx>
            <c:v>Sample 5</c:v>
          </c:tx>
          <c:spPr>
            <a:ln w="25400" cap="rnd">
              <a:noFill/>
              <a:round/>
            </a:ln>
            <a:effectLst/>
          </c:spPr>
          <c:marker>
            <c:symbol val="circle"/>
            <c:size val="5"/>
            <c:spPr>
              <a:solidFill>
                <a:schemeClr val="accent5"/>
              </a:solidFill>
              <a:ln w="9525">
                <a:solidFill>
                  <a:schemeClr val="accent5"/>
                </a:solidFill>
              </a:ln>
              <a:effectLst/>
            </c:spPr>
          </c:marker>
          <c:xVal>
            <c:numRef>
              <c:f>'Temperature Cycling Test #2'!puffs_5_temp_cycling</c:f>
              <c:numCache>
                <c:formatCode>General</c:formatCode>
                <c:ptCount val="1"/>
                <c:pt idx="0">
                  <c:v>5</c:v>
                </c:pt>
              </c:numCache>
            </c:numRef>
          </c:xVal>
          <c:yVal>
            <c:numRef>
              <c:f>'Temperature Cycling Test #2'!TPM_5_temp_cycling</c:f>
              <c:numCache>
                <c:formatCode>General</c:formatCode>
                <c:ptCount val="1"/>
                <c:pt idx="0">
                  <c:v>#N/A</c:v>
                </c:pt>
              </c:numCache>
            </c:numRef>
          </c:yVal>
          <c:smooth val="0"/>
          <c:extLst>
            <c:ext xmlns:c16="http://schemas.microsoft.com/office/drawing/2014/chart" uri="{C3380CC4-5D6E-409C-BE32-E72D297353CC}">
              <c16:uniqueId val="{00000002-C61D-447B-BDB5-07DA6C441AFC}"/>
            </c:ext>
          </c:extLst>
        </c:ser>
        <c:ser>
          <c:idx val="5"/>
          <c:order val="5"/>
          <c:tx>
            <c:v>Sample 6</c:v>
          </c:tx>
          <c:spPr>
            <a:ln w="25400" cap="rnd">
              <a:noFill/>
              <a:round/>
            </a:ln>
            <a:effectLst/>
          </c:spPr>
          <c:marker>
            <c:symbol val="circle"/>
            <c:size val="5"/>
            <c:spPr>
              <a:solidFill>
                <a:schemeClr val="accent6"/>
              </a:solidFill>
              <a:ln w="9525">
                <a:solidFill>
                  <a:schemeClr val="accent6"/>
                </a:solidFill>
              </a:ln>
              <a:effectLst/>
            </c:spPr>
          </c:marker>
          <c:xVal>
            <c:numRef>
              <c:f>'Temperature Cycling Test #2'!puffs_6_temp_cycling</c:f>
              <c:numCache>
                <c:formatCode>General</c:formatCode>
                <c:ptCount val="1"/>
                <c:pt idx="0">
                  <c:v>5</c:v>
                </c:pt>
              </c:numCache>
            </c:numRef>
          </c:xVal>
          <c:yVal>
            <c:numRef>
              <c:f>'Temperature Cycling Test #2'!TPM_6_temp_cycling</c:f>
              <c:numCache>
                <c:formatCode>General</c:formatCode>
                <c:ptCount val="1"/>
                <c:pt idx="0">
                  <c:v>#N/A</c:v>
                </c:pt>
              </c:numCache>
            </c:numRef>
          </c:yVal>
          <c:smooth val="0"/>
          <c:extLst>
            <c:ext xmlns:c16="http://schemas.microsoft.com/office/drawing/2014/chart" uri="{C3380CC4-5D6E-409C-BE32-E72D297353CC}">
              <c16:uniqueId val="{00000003-C61D-447B-BDB5-07DA6C441AFC}"/>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'Temperature Cycling Test #2'!puffs_1_temp_cycling</c:f>
              <c:numCache>
                <c:formatCode>General</c:formatCode>
                <c:ptCount val="1"/>
                <c:pt idx="0">
                  <c:v>5</c:v>
                </c:pt>
              </c:numCache>
            </c:numRef>
          </c:xVal>
          <c:yVal>
            <c:numRef>
              <c:f>'Temperature Cycling Test #2'!DP_1_temp_cycling</c:f>
              <c:numCache>
                <c:formatCode>General</c:formatCode>
                <c:ptCount val="1"/>
              </c:numCache>
            </c:numRef>
          </c:yVal>
          <c:smooth val="0"/>
          <c:extLst>
            <c:ext xmlns:c16="http://schemas.microsoft.com/office/drawing/2014/chart" uri="{C3380CC4-5D6E-409C-BE32-E72D297353CC}">
              <c16:uniqueId val="{00000000-2B38-4ECB-8E56-CEBA8C2EBB0E}"/>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'Temperature Cycling Test #2'!puffs_2_temp_cycling</c:f>
              <c:numCache>
                <c:formatCode>General</c:formatCode>
                <c:ptCount val="1"/>
                <c:pt idx="0">
                  <c:v>5</c:v>
                </c:pt>
              </c:numCache>
            </c:numRef>
          </c:xVal>
          <c:yVal>
            <c:numRef>
              <c:f>'Temperature Cycling Test #2'!DP_2_temp_cycling</c:f>
              <c:numCache>
                <c:formatCode>General</c:formatCode>
                <c:ptCount val="1"/>
              </c:numCache>
            </c:numRef>
          </c:yVal>
          <c:smooth val="0"/>
          <c:extLst>
            <c:ext xmlns:c16="http://schemas.microsoft.com/office/drawing/2014/chart" uri="{C3380CC4-5D6E-409C-BE32-E72D297353CC}">
              <c16:uniqueId val="{00000001-2B38-4ECB-8E56-CEBA8C2EBB0E}"/>
            </c:ext>
          </c:extLst>
        </c:ser>
        <c:ser>
          <c:idx val="2"/>
          <c:order val="2"/>
          <c:tx>
            <c:v>Sample 3</c:v>
          </c:tx>
          <c:spPr>
            <a:ln w="25400" cap="rnd">
              <a:noFill/>
              <a:round/>
            </a:ln>
            <a:effectLst/>
          </c:spPr>
          <c:marker>
            <c:symbol val="circle"/>
            <c:size val="5"/>
            <c:spPr>
              <a:solidFill>
                <a:schemeClr val="accent3"/>
              </a:solidFill>
              <a:ln w="9525">
                <a:solidFill>
                  <a:schemeClr val="accent3"/>
                </a:solidFill>
              </a:ln>
              <a:effectLst/>
            </c:spPr>
          </c:marker>
          <c:xVal>
            <c:numRef>
              <c:f>'Temperature Cycling Test #2'!puffs_3_temp_cycling</c:f>
              <c:numCache>
                <c:formatCode>General</c:formatCode>
                <c:ptCount val="1"/>
                <c:pt idx="0">
                  <c:v>5</c:v>
                </c:pt>
              </c:numCache>
            </c:numRef>
          </c:xVal>
          <c:yVal>
            <c:numRef>
              <c:f>'Temperature Cycling Test #2'!DP_3_temp_cycling</c:f>
              <c:numCache>
                <c:formatCode>General</c:formatCode>
                <c:ptCount val="1"/>
              </c:numCache>
            </c:numRef>
          </c:yVal>
          <c:smooth val="0"/>
          <c:extLst>
            <c:ext xmlns:c16="http://schemas.microsoft.com/office/drawing/2014/chart" uri="{C3380CC4-5D6E-409C-BE32-E72D297353CC}">
              <c16:uniqueId val="{00000000-AB0F-4B7D-A9BD-AE96D2FDB0FD}"/>
            </c:ext>
          </c:extLst>
        </c:ser>
        <c:ser>
          <c:idx val="3"/>
          <c:order val="3"/>
          <c:tx>
            <c:v>Sample 4</c:v>
          </c:tx>
          <c:spPr>
            <a:ln w="25400" cap="rnd">
              <a:noFill/>
              <a:round/>
            </a:ln>
            <a:effectLst/>
          </c:spPr>
          <c:marker>
            <c:symbol val="circle"/>
            <c:size val="5"/>
            <c:spPr>
              <a:solidFill>
                <a:schemeClr val="accent4"/>
              </a:solidFill>
              <a:ln w="9525">
                <a:solidFill>
                  <a:schemeClr val="accent4"/>
                </a:solidFill>
              </a:ln>
              <a:effectLst/>
            </c:spPr>
          </c:marker>
          <c:xVal>
            <c:numRef>
              <c:f>'Temperature Cycling Test #2'!puffs_4_temp_cycling</c:f>
              <c:numCache>
                <c:formatCode>General</c:formatCode>
                <c:ptCount val="1"/>
                <c:pt idx="0">
                  <c:v>5</c:v>
                </c:pt>
              </c:numCache>
            </c:numRef>
          </c:xVal>
          <c:yVal>
            <c:numRef>
              <c:f>'Temperature Cycling Test #2'!DP_4_temp_cycling</c:f>
              <c:numCache>
                <c:formatCode>General</c:formatCode>
                <c:ptCount val="1"/>
              </c:numCache>
            </c:numRef>
          </c:yVal>
          <c:smooth val="0"/>
          <c:extLst>
            <c:ext xmlns:c16="http://schemas.microsoft.com/office/drawing/2014/chart" uri="{C3380CC4-5D6E-409C-BE32-E72D297353CC}">
              <c16:uniqueId val="{00000001-AB0F-4B7D-A9BD-AE96D2FDB0FD}"/>
            </c:ext>
          </c:extLst>
        </c:ser>
        <c:ser>
          <c:idx val="4"/>
          <c:order val="4"/>
          <c:tx>
            <c:v>Sample 5</c:v>
          </c:tx>
          <c:spPr>
            <a:ln w="25400" cap="rnd">
              <a:noFill/>
              <a:round/>
            </a:ln>
            <a:effectLst/>
          </c:spPr>
          <c:marker>
            <c:symbol val="circle"/>
            <c:size val="5"/>
            <c:spPr>
              <a:solidFill>
                <a:schemeClr val="accent5"/>
              </a:solidFill>
              <a:ln w="9525">
                <a:solidFill>
                  <a:schemeClr val="accent5"/>
                </a:solidFill>
              </a:ln>
              <a:effectLst/>
            </c:spPr>
          </c:marker>
          <c:xVal>
            <c:numRef>
              <c:f>'Temperature Cycling Test #2'!puffs_5_temp_cycling</c:f>
              <c:numCache>
                <c:formatCode>General</c:formatCode>
                <c:ptCount val="1"/>
                <c:pt idx="0">
                  <c:v>5</c:v>
                </c:pt>
              </c:numCache>
            </c:numRef>
          </c:xVal>
          <c:yVal>
            <c:numRef>
              <c:f>'Temperature Cycling Test #2'!DP_5_temp_cycling</c:f>
              <c:numCache>
                <c:formatCode>General</c:formatCode>
                <c:ptCount val="1"/>
              </c:numCache>
            </c:numRef>
          </c:yVal>
          <c:smooth val="0"/>
          <c:extLst>
            <c:ext xmlns:c16="http://schemas.microsoft.com/office/drawing/2014/chart" uri="{C3380CC4-5D6E-409C-BE32-E72D297353CC}">
              <c16:uniqueId val="{00000002-AB0F-4B7D-A9BD-AE96D2FDB0FD}"/>
            </c:ext>
          </c:extLst>
        </c:ser>
        <c:ser>
          <c:idx val="5"/>
          <c:order val="5"/>
          <c:tx>
            <c:v>Sample 6</c:v>
          </c:tx>
          <c:spPr>
            <a:ln w="25400" cap="rnd">
              <a:noFill/>
              <a:round/>
            </a:ln>
            <a:effectLst/>
          </c:spPr>
          <c:marker>
            <c:symbol val="circle"/>
            <c:size val="5"/>
            <c:spPr>
              <a:solidFill>
                <a:schemeClr val="accent6"/>
              </a:solidFill>
              <a:ln w="9525">
                <a:solidFill>
                  <a:schemeClr val="accent6"/>
                </a:solidFill>
              </a:ln>
              <a:effectLst/>
            </c:spPr>
          </c:marker>
          <c:xVal>
            <c:numRef>
              <c:f>'Temperature Cycling Test #2'!puffs_6_temp_cycling</c:f>
              <c:numCache>
                <c:formatCode>General</c:formatCode>
                <c:ptCount val="1"/>
                <c:pt idx="0">
                  <c:v>5</c:v>
                </c:pt>
              </c:numCache>
            </c:numRef>
          </c:xVal>
          <c:yVal>
            <c:numRef>
              <c:f>'Temperature Cycling Test #2'!DP_6_temp_cycling</c:f>
              <c:numCache>
                <c:formatCode>General</c:formatCode>
                <c:ptCount val="1"/>
              </c:numCache>
            </c:numRef>
          </c:yVal>
          <c:smooth val="0"/>
          <c:extLst>
            <c:ext xmlns:c16="http://schemas.microsoft.com/office/drawing/2014/chart" uri="{C3380CC4-5D6E-409C-BE32-E72D297353CC}">
              <c16:uniqueId val="{00000003-AB0F-4B7D-A9BD-AE96D2FDB0FD}"/>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[0]!puffs_1_vacuum</c:f>
              <c:numCache>
                <c:formatCode>General</c:formatCode>
                <c:ptCount val="1"/>
                <c:pt idx="0">
                  <c:v>10</c:v>
                </c:pt>
              </c:numCache>
            </c:numRef>
          </c:xVal>
          <c:yVal>
            <c:numRef>
              <c:f>'Negative Pressure Test'!TPM_1_vacuum</c:f>
              <c:numCache>
                <c:formatCode>General</c:formatCode>
                <c:ptCount val="1"/>
                <c:pt idx="0">
                  <c:v>#N/A</c:v>
                </c:pt>
              </c:numCache>
            </c:numRef>
          </c:yVal>
          <c:smooth val="0"/>
          <c:extLst>
            <c:ext xmlns:c16="http://schemas.microsoft.com/office/drawing/2014/chart" uri="{C3380CC4-5D6E-409C-BE32-E72D297353CC}">
              <c16:uniqueId val="{00000000-982A-4C25-9026-16D11E1837B3}"/>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[0]!puffs_2_vacuum</c:f>
              <c:numCache>
                <c:formatCode>General</c:formatCode>
                <c:ptCount val="1"/>
                <c:pt idx="0">
                  <c:v>10</c:v>
                </c:pt>
              </c:numCache>
            </c:numRef>
          </c:xVal>
          <c:yVal>
            <c:numRef>
              <c:f>'Negative Pressure Test'!TPM_2_vacuum</c:f>
              <c:numCache>
                <c:formatCode>General</c:formatCode>
                <c:ptCount val="1"/>
                <c:pt idx="0">
                  <c:v>#N/A</c:v>
                </c:pt>
              </c:numCache>
            </c:numRef>
          </c:yVal>
          <c:smooth val="0"/>
          <c:extLst>
            <c:ext xmlns:c16="http://schemas.microsoft.com/office/drawing/2014/chart" uri="{C3380CC4-5D6E-409C-BE32-E72D297353CC}">
              <c16:uniqueId val="{00000001-982A-4C25-9026-16D11E1837B3}"/>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[0]!puffs_1_vacuum</c:f>
              <c:numCache>
                <c:formatCode>General</c:formatCode>
                <c:ptCount val="1"/>
                <c:pt idx="0">
                  <c:v>10</c:v>
                </c:pt>
              </c:numCache>
            </c:numRef>
          </c:xVal>
          <c:yVal>
            <c:numRef>
              <c:f>'Negative Pressure Test'!DP_1_vacuum</c:f>
              <c:numCache>
                <c:formatCode>General</c:formatCode>
                <c:ptCount val="1"/>
              </c:numCache>
            </c:numRef>
          </c:yVal>
          <c:smooth val="0"/>
          <c:extLst>
            <c:ext xmlns:c16="http://schemas.microsoft.com/office/drawing/2014/chart" uri="{C3380CC4-5D6E-409C-BE32-E72D297353CC}">
              <c16:uniqueId val="{00000000-6075-4B74-8644-4C66DE1A8950}"/>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[0]!puffs_2_vacuum</c:f>
              <c:numCache>
                <c:formatCode>General</c:formatCode>
                <c:ptCount val="1"/>
                <c:pt idx="0">
                  <c:v>10</c:v>
                </c:pt>
              </c:numCache>
            </c:numRef>
          </c:xVal>
          <c:yVal>
            <c:numRef>
              <c:f>'Negative Pressure Test'!DP_2_vacuum</c:f>
              <c:numCache>
                <c:formatCode>General</c:formatCode>
                <c:ptCount val="1"/>
              </c:numCache>
            </c:numRef>
          </c:yVal>
          <c:smooth val="0"/>
          <c:extLst>
            <c:ext xmlns:c16="http://schemas.microsoft.com/office/drawing/2014/chart" uri="{C3380CC4-5D6E-409C-BE32-E72D297353CC}">
              <c16:uniqueId val="{00000001-6075-4B74-8644-4C66DE1A8950}"/>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'Viscosity Compatibility'!puffs_1_viscosity</c:f>
              <c:numCache>
                <c:formatCode>General</c:formatCode>
                <c:ptCount val="1"/>
                <c:pt idx="0">
                  <c:v>20</c:v>
                </c:pt>
              </c:numCache>
            </c:numRef>
          </c:xVal>
          <c:yVal>
            <c:numRef>
              <c:f>'Viscosity Compatibility'!TPM_1_viscosity</c:f>
              <c:numCache>
                <c:formatCode>General</c:formatCode>
                <c:ptCount val="1"/>
                <c:pt idx="0">
                  <c:v>#N/A</c:v>
                </c:pt>
              </c:numCache>
            </c:numRef>
          </c:yVal>
          <c:smooth val="0"/>
          <c:extLst>
            <c:ext xmlns:c16="http://schemas.microsoft.com/office/drawing/2014/chart" uri="{C3380CC4-5D6E-409C-BE32-E72D297353CC}">
              <c16:uniqueId val="{00000000-7A10-4995-A912-EE62CCF7C716}"/>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'Viscosity Compatibility'!puffs_2_viscosity</c:f>
              <c:numCache>
                <c:formatCode>General</c:formatCode>
                <c:ptCount val="1"/>
                <c:pt idx="0">
                  <c:v>20</c:v>
                </c:pt>
              </c:numCache>
            </c:numRef>
          </c:xVal>
          <c:yVal>
            <c:numRef>
              <c:f>'Viscosity Compatibility'!TPM_2_viscosity</c:f>
              <c:numCache>
                <c:formatCode>General</c:formatCode>
                <c:ptCount val="1"/>
                <c:pt idx="0">
                  <c:v>#N/A</c:v>
                </c:pt>
              </c:numCache>
            </c:numRef>
          </c:yVal>
          <c:smooth val="0"/>
          <c:extLst>
            <c:ext xmlns:c16="http://schemas.microsoft.com/office/drawing/2014/chart" uri="{C3380CC4-5D6E-409C-BE32-E72D297353CC}">
              <c16:uniqueId val="{00000001-7A10-4995-A912-EE62CCF7C716}"/>
            </c:ext>
          </c:extLst>
        </c:ser>
        <c:ser>
          <c:idx val="2"/>
          <c:order val="2"/>
          <c:tx>
            <c:v>Sample 3</c:v>
          </c:tx>
          <c:spPr>
            <a:ln w="25400" cap="rnd">
              <a:noFill/>
              <a:round/>
            </a:ln>
            <a:effectLst/>
          </c:spPr>
          <c:marker>
            <c:symbol val="circle"/>
            <c:size val="5"/>
            <c:spPr>
              <a:solidFill>
                <a:schemeClr val="accent3"/>
              </a:solidFill>
              <a:ln w="9525">
                <a:solidFill>
                  <a:schemeClr val="accent3"/>
                </a:solidFill>
              </a:ln>
              <a:effectLst/>
            </c:spPr>
          </c:marker>
          <c:xVal>
            <c:numRef>
              <c:f>'Viscosity Compatibility'!puffs_3_viscosity</c:f>
              <c:numCache>
                <c:formatCode>General</c:formatCode>
                <c:ptCount val="1"/>
                <c:pt idx="0">
                  <c:v>20</c:v>
                </c:pt>
              </c:numCache>
            </c:numRef>
          </c:xVal>
          <c:yVal>
            <c:numRef>
              <c:f>'Viscosity Compatibility'!TPM_3_viscosity</c:f>
              <c:numCache>
                <c:formatCode>General</c:formatCode>
                <c:ptCount val="1"/>
                <c:pt idx="0">
                  <c:v>#N/A</c:v>
                </c:pt>
              </c:numCache>
            </c:numRef>
          </c:yVal>
          <c:smooth val="0"/>
          <c:extLst>
            <c:ext xmlns:c16="http://schemas.microsoft.com/office/drawing/2014/chart" uri="{C3380CC4-5D6E-409C-BE32-E72D297353CC}">
              <c16:uniqueId val="{00000001-8F55-46CA-88BC-8ABBEB6C4AAE}"/>
            </c:ext>
          </c:extLst>
        </c:ser>
        <c:ser>
          <c:idx val="3"/>
          <c:order val="3"/>
          <c:tx>
            <c:v>Sample 4</c:v>
          </c:tx>
          <c:spPr>
            <a:ln w="25400" cap="rnd">
              <a:noFill/>
              <a:round/>
            </a:ln>
            <a:effectLst/>
          </c:spPr>
          <c:marker>
            <c:symbol val="circle"/>
            <c:size val="5"/>
            <c:spPr>
              <a:solidFill>
                <a:schemeClr val="accent4"/>
              </a:solidFill>
              <a:ln w="9525">
                <a:solidFill>
                  <a:schemeClr val="accent4"/>
                </a:solidFill>
              </a:ln>
              <a:effectLst/>
            </c:spPr>
          </c:marker>
          <c:xVal>
            <c:numRef>
              <c:f>'Viscosity Compatibility'!puffs_4_viscosity</c:f>
              <c:numCache>
                <c:formatCode>General</c:formatCode>
                <c:ptCount val="1"/>
                <c:pt idx="0">
                  <c:v>20</c:v>
                </c:pt>
              </c:numCache>
            </c:numRef>
          </c:xVal>
          <c:yVal>
            <c:numRef>
              <c:f>'Viscosity Compatibility'!TPM_4_viscosity</c:f>
              <c:numCache>
                <c:formatCode>General</c:formatCode>
                <c:ptCount val="1"/>
                <c:pt idx="0">
                  <c:v>#N/A</c:v>
                </c:pt>
              </c:numCache>
            </c:numRef>
          </c:yVal>
          <c:smooth val="0"/>
          <c:extLst>
            <c:ext xmlns:c16="http://schemas.microsoft.com/office/drawing/2014/chart" uri="{C3380CC4-5D6E-409C-BE32-E72D297353CC}">
              <c16:uniqueId val="{00000002-8F55-46CA-88BC-8ABBEB6C4AAE}"/>
            </c:ext>
          </c:extLst>
        </c:ser>
        <c:ser>
          <c:idx val="4"/>
          <c:order val="4"/>
          <c:tx>
            <c:v>Sample 5</c:v>
          </c:tx>
          <c:spPr>
            <a:ln w="25400" cap="rnd">
              <a:noFill/>
              <a:round/>
            </a:ln>
            <a:effectLst/>
          </c:spPr>
          <c:marker>
            <c:symbol val="circle"/>
            <c:size val="5"/>
            <c:spPr>
              <a:solidFill>
                <a:schemeClr val="accent5"/>
              </a:solidFill>
              <a:ln w="9525">
                <a:solidFill>
                  <a:schemeClr val="accent5"/>
                </a:solidFill>
              </a:ln>
              <a:effectLst/>
            </c:spPr>
          </c:marker>
          <c:xVal>
            <c:numRef>
              <c:f>'Viscosity Compatibility'!puffs_5_viscosity</c:f>
              <c:numCache>
                <c:formatCode>General</c:formatCode>
                <c:ptCount val="1"/>
                <c:pt idx="0">
                  <c:v>20</c:v>
                </c:pt>
              </c:numCache>
            </c:numRef>
          </c:xVal>
          <c:yVal>
            <c:numRef>
              <c:f>'Viscosity Compatibility'!TPM_5_viscosity</c:f>
              <c:numCache>
                <c:formatCode>General</c:formatCode>
                <c:ptCount val="1"/>
                <c:pt idx="0">
                  <c:v>#N/A</c:v>
                </c:pt>
              </c:numCache>
            </c:numRef>
          </c:yVal>
          <c:smooth val="0"/>
          <c:extLst>
            <c:ext xmlns:c16="http://schemas.microsoft.com/office/drawing/2014/chart" uri="{C3380CC4-5D6E-409C-BE32-E72D297353CC}">
              <c16:uniqueId val="{00000003-8F55-46CA-88BC-8ABBEB6C4AAE}"/>
            </c:ext>
          </c:extLst>
        </c:ser>
        <c:ser>
          <c:idx val="5"/>
          <c:order val="5"/>
          <c:tx>
            <c:v>Sample 6</c:v>
          </c:tx>
          <c:spPr>
            <a:ln w="25400" cap="rnd">
              <a:noFill/>
              <a:round/>
            </a:ln>
            <a:effectLst/>
          </c:spPr>
          <c:marker>
            <c:symbol val="circle"/>
            <c:size val="5"/>
            <c:spPr>
              <a:solidFill>
                <a:schemeClr val="accent6"/>
              </a:solidFill>
              <a:ln w="9525">
                <a:solidFill>
                  <a:schemeClr val="accent6"/>
                </a:solidFill>
              </a:ln>
              <a:effectLst/>
            </c:spPr>
          </c:marker>
          <c:xVal>
            <c:numRef>
              <c:f>'Viscosity Compatibility'!puffs_6_viscosity</c:f>
              <c:numCache>
                <c:formatCode>General</c:formatCode>
                <c:ptCount val="1"/>
                <c:pt idx="0">
                  <c:v>20</c:v>
                </c:pt>
              </c:numCache>
            </c:numRef>
          </c:xVal>
          <c:yVal>
            <c:numRef>
              <c:f>'Viscosity Compatibility'!TPM_6_viscosity</c:f>
              <c:numCache>
                <c:formatCode>General</c:formatCode>
                <c:ptCount val="1"/>
                <c:pt idx="0">
                  <c:v>#N/A</c:v>
                </c:pt>
              </c:numCache>
            </c:numRef>
          </c:yVal>
          <c:smooth val="0"/>
          <c:extLst>
            <c:ext xmlns:c16="http://schemas.microsoft.com/office/drawing/2014/chart" uri="{C3380CC4-5D6E-409C-BE32-E72D297353CC}">
              <c16:uniqueId val="{00000004-8F55-46CA-88BC-8ABBEB6C4AAE}"/>
            </c:ext>
          </c:extLst>
        </c:ser>
        <c:ser>
          <c:idx val="6"/>
          <c:order val="6"/>
          <c:tx>
            <c:v>Sample 7</c:v>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'Viscosity Compatibility'!puffs_7_viscosity</c:f>
              <c:numCache>
                <c:formatCode>General</c:formatCode>
                <c:ptCount val="1"/>
                <c:pt idx="0">
                  <c:v>20</c:v>
                </c:pt>
              </c:numCache>
            </c:numRef>
          </c:xVal>
          <c:yVal>
            <c:numRef>
              <c:f>'Viscosity Compatibility'!TPM_7_viscosity</c:f>
              <c:numCache>
                <c:formatCode>General</c:formatCode>
                <c:ptCount val="1"/>
                <c:pt idx="0">
                  <c:v>#N/A</c:v>
                </c:pt>
              </c:numCache>
            </c:numRef>
          </c:yVal>
          <c:smooth val="0"/>
          <c:extLst>
            <c:ext xmlns:c16="http://schemas.microsoft.com/office/drawing/2014/chart" uri="{C3380CC4-5D6E-409C-BE32-E72D297353CC}">
              <c16:uniqueId val="{00000005-8F55-46CA-88BC-8ABBEB6C4AAE}"/>
            </c:ext>
          </c:extLst>
        </c:ser>
        <c:ser>
          <c:idx val="7"/>
          <c:order val="7"/>
          <c:tx>
            <c:v>Sample 8</c:v>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'Viscosity Compatibility'!puffs_8_viscosity</c:f>
              <c:numCache>
                <c:formatCode>General</c:formatCode>
                <c:ptCount val="1"/>
                <c:pt idx="0">
                  <c:v>20</c:v>
                </c:pt>
              </c:numCache>
            </c:numRef>
          </c:xVal>
          <c:yVal>
            <c:numRef>
              <c:f>'Viscosity Compatibility'!TPM_8_viscosity</c:f>
              <c:numCache>
                <c:formatCode>General</c:formatCode>
                <c:ptCount val="1"/>
                <c:pt idx="0">
                  <c:v>#N/A</c:v>
                </c:pt>
              </c:numCache>
            </c:numRef>
          </c:yVal>
          <c:smooth val="0"/>
          <c:extLst>
            <c:ext xmlns:c16="http://schemas.microsoft.com/office/drawing/2014/chart" uri="{C3380CC4-5D6E-409C-BE32-E72D297353CC}">
              <c16:uniqueId val="{00000006-8F55-46CA-88BC-8ABBEB6C4AAE}"/>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'Viscosity Compatibility'!puffs_1_viscosity</c:f>
              <c:numCache>
                <c:formatCode>General</c:formatCode>
                <c:ptCount val="1"/>
                <c:pt idx="0">
                  <c:v>20</c:v>
                </c:pt>
              </c:numCache>
            </c:numRef>
          </c:xVal>
          <c:yVal>
            <c:numRef>
              <c:f>'Viscosity Compatibility'!DP_1_viscosity</c:f>
              <c:numCache>
                <c:formatCode>General</c:formatCode>
                <c:ptCount val="1"/>
              </c:numCache>
            </c:numRef>
          </c:yVal>
          <c:smooth val="0"/>
          <c:extLst>
            <c:ext xmlns:c16="http://schemas.microsoft.com/office/drawing/2014/chart" uri="{C3380CC4-5D6E-409C-BE32-E72D297353CC}">
              <c16:uniqueId val="{00000000-6A21-44C2-A962-C2F341BB205C}"/>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'Viscosity Compatibility'!puffs_2_viscosity</c:f>
              <c:numCache>
                <c:formatCode>General</c:formatCode>
                <c:ptCount val="1"/>
                <c:pt idx="0">
                  <c:v>20</c:v>
                </c:pt>
              </c:numCache>
            </c:numRef>
          </c:xVal>
          <c:yVal>
            <c:numRef>
              <c:f>'Viscosity Compatibility'!DP_2_viscosity</c:f>
              <c:numCache>
                <c:formatCode>General</c:formatCode>
                <c:ptCount val="1"/>
              </c:numCache>
            </c:numRef>
          </c:yVal>
          <c:smooth val="0"/>
          <c:extLst>
            <c:ext xmlns:c16="http://schemas.microsoft.com/office/drawing/2014/chart" uri="{C3380CC4-5D6E-409C-BE32-E72D297353CC}">
              <c16:uniqueId val="{00000001-6A21-44C2-A962-C2F341BB205C}"/>
            </c:ext>
          </c:extLst>
        </c:ser>
        <c:ser>
          <c:idx val="2"/>
          <c:order val="2"/>
          <c:tx>
            <c:v>Sample 3</c:v>
          </c:tx>
          <c:spPr>
            <a:ln w="25400" cap="rnd">
              <a:noFill/>
              <a:round/>
            </a:ln>
            <a:effectLst/>
          </c:spPr>
          <c:marker>
            <c:symbol val="circle"/>
            <c:size val="5"/>
            <c:spPr>
              <a:solidFill>
                <a:schemeClr val="accent3"/>
              </a:solidFill>
              <a:ln w="9525">
                <a:solidFill>
                  <a:schemeClr val="accent3"/>
                </a:solidFill>
              </a:ln>
              <a:effectLst/>
            </c:spPr>
          </c:marker>
          <c:xVal>
            <c:numRef>
              <c:f>'Viscosity Compatibility'!puffs_3_viscosity</c:f>
              <c:numCache>
                <c:formatCode>General</c:formatCode>
                <c:ptCount val="1"/>
                <c:pt idx="0">
                  <c:v>20</c:v>
                </c:pt>
              </c:numCache>
            </c:numRef>
          </c:xVal>
          <c:yVal>
            <c:numRef>
              <c:f>'Viscosity Compatibility'!DP_3_viscosity</c:f>
              <c:numCache>
                <c:formatCode>General</c:formatCode>
                <c:ptCount val="1"/>
              </c:numCache>
            </c:numRef>
          </c:yVal>
          <c:smooth val="0"/>
          <c:extLst>
            <c:ext xmlns:c16="http://schemas.microsoft.com/office/drawing/2014/chart" uri="{C3380CC4-5D6E-409C-BE32-E72D297353CC}">
              <c16:uniqueId val="{00000000-887E-490B-9730-D9EC2D529941}"/>
            </c:ext>
          </c:extLst>
        </c:ser>
        <c:ser>
          <c:idx val="3"/>
          <c:order val="3"/>
          <c:tx>
            <c:v>Sample 4</c:v>
          </c:tx>
          <c:spPr>
            <a:ln w="25400" cap="rnd">
              <a:noFill/>
              <a:round/>
            </a:ln>
            <a:effectLst/>
          </c:spPr>
          <c:marker>
            <c:symbol val="circle"/>
            <c:size val="5"/>
            <c:spPr>
              <a:solidFill>
                <a:schemeClr val="accent4"/>
              </a:solidFill>
              <a:ln w="9525">
                <a:solidFill>
                  <a:schemeClr val="accent4"/>
                </a:solidFill>
              </a:ln>
              <a:effectLst/>
            </c:spPr>
          </c:marker>
          <c:xVal>
            <c:numRef>
              <c:f>'Viscosity Compatibility'!puffs_4_viscosity</c:f>
              <c:numCache>
                <c:formatCode>General</c:formatCode>
                <c:ptCount val="1"/>
                <c:pt idx="0">
                  <c:v>20</c:v>
                </c:pt>
              </c:numCache>
            </c:numRef>
          </c:xVal>
          <c:yVal>
            <c:numRef>
              <c:f>'Viscosity Compatibility'!DP_4_viscosity</c:f>
              <c:numCache>
                <c:formatCode>General</c:formatCode>
                <c:ptCount val="1"/>
              </c:numCache>
            </c:numRef>
          </c:yVal>
          <c:smooth val="0"/>
          <c:extLst>
            <c:ext xmlns:c16="http://schemas.microsoft.com/office/drawing/2014/chart" uri="{C3380CC4-5D6E-409C-BE32-E72D297353CC}">
              <c16:uniqueId val="{00000001-887E-490B-9730-D9EC2D529941}"/>
            </c:ext>
          </c:extLst>
        </c:ser>
        <c:ser>
          <c:idx val="4"/>
          <c:order val="4"/>
          <c:tx>
            <c:v>Sample 5</c:v>
          </c:tx>
          <c:spPr>
            <a:ln w="25400" cap="rnd">
              <a:noFill/>
              <a:round/>
            </a:ln>
            <a:effectLst/>
          </c:spPr>
          <c:marker>
            <c:symbol val="circle"/>
            <c:size val="5"/>
            <c:spPr>
              <a:solidFill>
                <a:schemeClr val="accent5"/>
              </a:solidFill>
              <a:ln w="9525">
                <a:solidFill>
                  <a:schemeClr val="accent5"/>
                </a:solidFill>
              </a:ln>
              <a:effectLst/>
            </c:spPr>
          </c:marker>
          <c:xVal>
            <c:numRef>
              <c:f>'Viscosity Compatibility'!puffs_5_viscosity</c:f>
              <c:numCache>
                <c:formatCode>General</c:formatCode>
                <c:ptCount val="1"/>
                <c:pt idx="0">
                  <c:v>20</c:v>
                </c:pt>
              </c:numCache>
            </c:numRef>
          </c:xVal>
          <c:yVal>
            <c:numRef>
              <c:f>'Viscosity Compatibility'!DP_5_viscosity</c:f>
              <c:numCache>
                <c:formatCode>General</c:formatCode>
                <c:ptCount val="1"/>
              </c:numCache>
            </c:numRef>
          </c:yVal>
          <c:smooth val="0"/>
          <c:extLst>
            <c:ext xmlns:c16="http://schemas.microsoft.com/office/drawing/2014/chart" uri="{C3380CC4-5D6E-409C-BE32-E72D297353CC}">
              <c16:uniqueId val="{00000002-887E-490B-9730-D9EC2D529941}"/>
            </c:ext>
          </c:extLst>
        </c:ser>
        <c:ser>
          <c:idx val="5"/>
          <c:order val="5"/>
          <c:tx>
            <c:v>Sample 6</c:v>
          </c:tx>
          <c:spPr>
            <a:ln w="25400" cap="rnd">
              <a:noFill/>
              <a:round/>
            </a:ln>
            <a:effectLst/>
          </c:spPr>
          <c:marker>
            <c:symbol val="circle"/>
            <c:size val="5"/>
            <c:spPr>
              <a:solidFill>
                <a:schemeClr val="accent6"/>
              </a:solidFill>
              <a:ln w="9525">
                <a:solidFill>
                  <a:schemeClr val="accent6"/>
                </a:solidFill>
              </a:ln>
              <a:effectLst/>
            </c:spPr>
          </c:marker>
          <c:xVal>
            <c:numRef>
              <c:f>'Viscosity Compatibility'!puffs_6_viscosity</c:f>
              <c:numCache>
                <c:formatCode>General</c:formatCode>
                <c:ptCount val="1"/>
                <c:pt idx="0">
                  <c:v>20</c:v>
                </c:pt>
              </c:numCache>
            </c:numRef>
          </c:xVal>
          <c:yVal>
            <c:numRef>
              <c:f>'Viscosity Compatibility'!DP_6_viscosity</c:f>
              <c:numCache>
                <c:formatCode>General</c:formatCode>
                <c:ptCount val="1"/>
              </c:numCache>
            </c:numRef>
          </c:yVal>
          <c:smooth val="0"/>
          <c:extLst>
            <c:ext xmlns:c16="http://schemas.microsoft.com/office/drawing/2014/chart" uri="{C3380CC4-5D6E-409C-BE32-E72D297353CC}">
              <c16:uniqueId val="{00000003-887E-490B-9730-D9EC2D529941}"/>
            </c:ext>
          </c:extLst>
        </c:ser>
        <c:ser>
          <c:idx val="6"/>
          <c:order val="6"/>
          <c:tx>
            <c:v>Sample 7</c:v>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'Viscosity Compatibility'!puffs_7_viscosity</c:f>
              <c:numCache>
                <c:formatCode>General</c:formatCode>
                <c:ptCount val="1"/>
                <c:pt idx="0">
                  <c:v>20</c:v>
                </c:pt>
              </c:numCache>
            </c:numRef>
          </c:xVal>
          <c:yVal>
            <c:numRef>
              <c:f>'Viscosity Compatibility'!DP_7_viscosity</c:f>
              <c:numCache>
                <c:formatCode>General</c:formatCode>
                <c:ptCount val="1"/>
              </c:numCache>
            </c:numRef>
          </c:yVal>
          <c:smooth val="0"/>
          <c:extLst>
            <c:ext xmlns:c16="http://schemas.microsoft.com/office/drawing/2014/chart" uri="{C3380CC4-5D6E-409C-BE32-E72D297353CC}">
              <c16:uniqueId val="{00000004-887E-490B-9730-D9EC2D529941}"/>
            </c:ext>
          </c:extLst>
        </c:ser>
        <c:ser>
          <c:idx val="7"/>
          <c:order val="7"/>
          <c:tx>
            <c:v>Sample 8</c:v>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'Viscosity Compatibility'!puffs_8_viscosity</c:f>
              <c:numCache>
                <c:formatCode>General</c:formatCode>
                <c:ptCount val="1"/>
                <c:pt idx="0">
                  <c:v>20</c:v>
                </c:pt>
              </c:numCache>
            </c:numRef>
          </c:xVal>
          <c:yVal>
            <c:numRef>
              <c:f>'Viscosity Compatibility'!DP_8_viscosity</c:f>
              <c:numCache>
                <c:formatCode>General</c:formatCode>
                <c:ptCount val="1"/>
              </c:numCache>
            </c:numRef>
          </c:yVal>
          <c:smooth val="0"/>
          <c:extLst>
            <c:ext xmlns:c16="http://schemas.microsoft.com/office/drawing/2014/chart" uri="{C3380CC4-5D6E-409C-BE32-E72D297353CC}">
              <c16:uniqueId val="{00000005-887E-490B-9730-D9EC2D529941}"/>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'Various Oil Compatibility'!puffs_1_various_oil</c:f>
              <c:numCache>
                <c:formatCode>General</c:formatCode>
                <c:ptCount val="1"/>
                <c:pt idx="0">
                  <c:v>10</c:v>
                </c:pt>
              </c:numCache>
            </c:numRef>
          </c:xVal>
          <c:yVal>
            <c:numRef>
              <c:f>'Various Oil Compatibility'!TPM_1_various_oil</c:f>
              <c:numCache>
                <c:formatCode>General</c:formatCode>
                <c:ptCount val="1"/>
                <c:pt idx="0">
                  <c:v>#N/A</c:v>
                </c:pt>
              </c:numCache>
            </c:numRef>
          </c:yVal>
          <c:smooth val="0"/>
          <c:extLst>
            <c:ext xmlns:c16="http://schemas.microsoft.com/office/drawing/2014/chart" uri="{C3380CC4-5D6E-409C-BE32-E72D297353CC}">
              <c16:uniqueId val="{00000000-D5CE-480F-8066-BD39E3249589}"/>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'Various Oil Compatibility'!puffs_2_various_oil</c:f>
              <c:numCache>
                <c:formatCode>General</c:formatCode>
                <c:ptCount val="1"/>
                <c:pt idx="0">
                  <c:v>10</c:v>
                </c:pt>
              </c:numCache>
            </c:numRef>
          </c:xVal>
          <c:yVal>
            <c:numRef>
              <c:f>'Various Oil Compatibility'!TPM_2_various_oil</c:f>
              <c:numCache>
                <c:formatCode>General</c:formatCode>
                <c:ptCount val="1"/>
                <c:pt idx="0">
                  <c:v>#N/A</c:v>
                </c:pt>
              </c:numCache>
            </c:numRef>
          </c:yVal>
          <c:smooth val="0"/>
          <c:extLst>
            <c:ext xmlns:c16="http://schemas.microsoft.com/office/drawing/2014/chart" uri="{C3380CC4-5D6E-409C-BE32-E72D297353CC}">
              <c16:uniqueId val="{00000001-D5CE-480F-8066-BD39E3249589}"/>
            </c:ext>
          </c:extLst>
        </c:ser>
        <c:ser>
          <c:idx val="2"/>
          <c:order val="2"/>
          <c:tx>
            <c:v>Sample 3</c:v>
          </c:tx>
          <c:spPr>
            <a:ln w="25400" cap="rnd">
              <a:noFill/>
              <a:round/>
            </a:ln>
            <a:effectLst/>
          </c:spPr>
          <c:marker>
            <c:symbol val="circle"/>
            <c:size val="5"/>
            <c:spPr>
              <a:solidFill>
                <a:schemeClr val="accent3"/>
              </a:solidFill>
              <a:ln w="9525">
                <a:solidFill>
                  <a:schemeClr val="accent3"/>
                </a:solidFill>
              </a:ln>
              <a:effectLst/>
            </c:spPr>
          </c:marker>
          <c:xVal>
            <c:numRef>
              <c:f>'Various Oil Compatibility'!puffs_3_various_oil</c:f>
              <c:numCache>
                <c:formatCode>General</c:formatCode>
                <c:ptCount val="1"/>
                <c:pt idx="0">
                  <c:v>10</c:v>
                </c:pt>
              </c:numCache>
            </c:numRef>
          </c:xVal>
          <c:yVal>
            <c:numRef>
              <c:f>'Various Oil Compatibility'!TPM_3_various_oil</c:f>
              <c:numCache>
                <c:formatCode>General</c:formatCode>
                <c:ptCount val="1"/>
                <c:pt idx="0">
                  <c:v>#N/A</c:v>
                </c:pt>
              </c:numCache>
            </c:numRef>
          </c:yVal>
          <c:smooth val="0"/>
          <c:extLst>
            <c:ext xmlns:c16="http://schemas.microsoft.com/office/drawing/2014/chart" uri="{C3380CC4-5D6E-409C-BE32-E72D297353CC}">
              <c16:uniqueId val="{00000000-0D57-4D01-AA34-55664588FAE8}"/>
            </c:ext>
          </c:extLst>
        </c:ser>
        <c:ser>
          <c:idx val="3"/>
          <c:order val="3"/>
          <c:tx>
            <c:v>Sample 4</c:v>
          </c:tx>
          <c:spPr>
            <a:ln w="25400" cap="rnd">
              <a:noFill/>
              <a:round/>
            </a:ln>
            <a:effectLst/>
          </c:spPr>
          <c:marker>
            <c:symbol val="circle"/>
            <c:size val="5"/>
            <c:spPr>
              <a:solidFill>
                <a:schemeClr val="accent4"/>
              </a:solidFill>
              <a:ln w="9525">
                <a:solidFill>
                  <a:schemeClr val="accent4"/>
                </a:solidFill>
              </a:ln>
              <a:effectLst/>
            </c:spPr>
          </c:marker>
          <c:xVal>
            <c:numRef>
              <c:f>'Various Oil Compatibility'!puffs_4_various_oil</c:f>
              <c:numCache>
                <c:formatCode>General</c:formatCode>
                <c:ptCount val="1"/>
                <c:pt idx="0">
                  <c:v>10</c:v>
                </c:pt>
              </c:numCache>
            </c:numRef>
          </c:xVal>
          <c:yVal>
            <c:numRef>
              <c:f>'Various Oil Compatibility'!TPM_4_various_oil</c:f>
              <c:numCache>
                <c:formatCode>General</c:formatCode>
                <c:ptCount val="1"/>
                <c:pt idx="0">
                  <c:v>#N/A</c:v>
                </c:pt>
              </c:numCache>
            </c:numRef>
          </c:yVal>
          <c:smooth val="0"/>
          <c:extLst>
            <c:ext xmlns:c16="http://schemas.microsoft.com/office/drawing/2014/chart" uri="{C3380CC4-5D6E-409C-BE32-E72D297353CC}">
              <c16:uniqueId val="{00000001-0D57-4D01-AA34-55664588FAE8}"/>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TPM (mg/puff)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 Pressure vs</a:t>
            </a:r>
            <a:r>
              <a:rPr lang="en-US" baseline="0"/>
              <a:t> Puffs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Sample 1</c:v>
          </c:tx>
          <c:spPr>
            <a:ln w="25400" cap="rnd">
              <a:noFill/>
              <a:round/>
            </a:ln>
            <a:effectLst/>
          </c:spPr>
          <c:marker>
            <c:symbol val="circle"/>
            <c:size val="5"/>
            <c:spPr>
              <a:solidFill>
                <a:schemeClr val="accent1"/>
              </a:solidFill>
              <a:ln w="9525">
                <a:solidFill>
                  <a:schemeClr val="accent1"/>
                </a:solidFill>
              </a:ln>
              <a:effectLst/>
            </c:spPr>
          </c:marker>
          <c:xVal>
            <c:numRef>
              <c:f>'Various Oil Compatibility'!puffs_1_various_oil</c:f>
              <c:numCache>
                <c:formatCode>General</c:formatCode>
                <c:ptCount val="1"/>
                <c:pt idx="0">
                  <c:v>10</c:v>
                </c:pt>
              </c:numCache>
            </c:numRef>
          </c:xVal>
          <c:yVal>
            <c:numRef>
              <c:f>'Various Oil Compatibility'!DP_1_various_oil</c:f>
              <c:numCache>
                <c:formatCode>General</c:formatCode>
                <c:ptCount val="1"/>
              </c:numCache>
            </c:numRef>
          </c:yVal>
          <c:smooth val="0"/>
          <c:extLst>
            <c:ext xmlns:c16="http://schemas.microsoft.com/office/drawing/2014/chart" uri="{C3380CC4-5D6E-409C-BE32-E72D297353CC}">
              <c16:uniqueId val="{00000000-66AA-4B4C-8186-DB24A0BDA721}"/>
            </c:ext>
          </c:extLst>
        </c:ser>
        <c:ser>
          <c:idx val="1"/>
          <c:order val="1"/>
          <c:tx>
            <c:v>Sample 2</c:v>
          </c:tx>
          <c:spPr>
            <a:ln w="25400" cap="rnd">
              <a:noFill/>
              <a:round/>
            </a:ln>
            <a:effectLst/>
          </c:spPr>
          <c:marker>
            <c:symbol val="circle"/>
            <c:size val="5"/>
            <c:spPr>
              <a:solidFill>
                <a:schemeClr val="accent2"/>
              </a:solidFill>
              <a:ln w="9525">
                <a:solidFill>
                  <a:schemeClr val="accent2"/>
                </a:solidFill>
              </a:ln>
              <a:effectLst/>
            </c:spPr>
          </c:marker>
          <c:xVal>
            <c:numRef>
              <c:f>'Various Oil Compatibility'!puffs_2_various_oil</c:f>
              <c:numCache>
                <c:formatCode>General</c:formatCode>
                <c:ptCount val="1"/>
                <c:pt idx="0">
                  <c:v>10</c:v>
                </c:pt>
              </c:numCache>
            </c:numRef>
          </c:xVal>
          <c:yVal>
            <c:numRef>
              <c:f>'Various Oil Compatibility'!DP_2_various_oil</c:f>
              <c:numCache>
                <c:formatCode>General</c:formatCode>
                <c:ptCount val="1"/>
              </c:numCache>
            </c:numRef>
          </c:yVal>
          <c:smooth val="0"/>
          <c:extLst>
            <c:ext xmlns:c16="http://schemas.microsoft.com/office/drawing/2014/chart" uri="{C3380CC4-5D6E-409C-BE32-E72D297353CC}">
              <c16:uniqueId val="{00000001-66AA-4B4C-8186-DB24A0BDA721}"/>
            </c:ext>
          </c:extLst>
        </c:ser>
        <c:ser>
          <c:idx val="2"/>
          <c:order val="2"/>
          <c:tx>
            <c:v>Sample 3</c:v>
          </c:tx>
          <c:spPr>
            <a:ln w="25400" cap="rnd">
              <a:noFill/>
              <a:round/>
            </a:ln>
            <a:effectLst/>
          </c:spPr>
          <c:marker>
            <c:symbol val="circle"/>
            <c:size val="5"/>
            <c:spPr>
              <a:solidFill>
                <a:schemeClr val="accent3"/>
              </a:solidFill>
              <a:ln w="9525">
                <a:solidFill>
                  <a:schemeClr val="accent3"/>
                </a:solidFill>
              </a:ln>
              <a:effectLst/>
            </c:spPr>
          </c:marker>
          <c:xVal>
            <c:numRef>
              <c:f>'Various Oil Compatibility'!puffs_3_various_oil</c:f>
              <c:numCache>
                <c:formatCode>General</c:formatCode>
                <c:ptCount val="1"/>
                <c:pt idx="0">
                  <c:v>10</c:v>
                </c:pt>
              </c:numCache>
            </c:numRef>
          </c:xVal>
          <c:yVal>
            <c:numRef>
              <c:f>'Various Oil Compatibility'!DP_3_various_oil</c:f>
              <c:numCache>
                <c:formatCode>General</c:formatCode>
                <c:ptCount val="1"/>
              </c:numCache>
            </c:numRef>
          </c:yVal>
          <c:smooth val="0"/>
          <c:extLst>
            <c:ext xmlns:c16="http://schemas.microsoft.com/office/drawing/2014/chart" uri="{C3380CC4-5D6E-409C-BE32-E72D297353CC}">
              <c16:uniqueId val="{00000000-FCA8-4E28-ACEA-D6094337D483}"/>
            </c:ext>
          </c:extLst>
        </c:ser>
        <c:ser>
          <c:idx val="3"/>
          <c:order val="3"/>
          <c:tx>
            <c:v>Sample 4</c:v>
          </c:tx>
          <c:spPr>
            <a:ln w="25400" cap="rnd">
              <a:noFill/>
              <a:round/>
            </a:ln>
            <a:effectLst/>
          </c:spPr>
          <c:marker>
            <c:symbol val="circle"/>
            <c:size val="5"/>
            <c:spPr>
              <a:solidFill>
                <a:schemeClr val="accent4"/>
              </a:solidFill>
              <a:ln w="9525">
                <a:solidFill>
                  <a:schemeClr val="accent4"/>
                </a:solidFill>
              </a:ln>
              <a:effectLst/>
            </c:spPr>
          </c:marker>
          <c:xVal>
            <c:numRef>
              <c:f>'Various Oil Compatibility'!puffs_4_various_oil</c:f>
              <c:numCache>
                <c:formatCode>General</c:formatCode>
                <c:ptCount val="1"/>
                <c:pt idx="0">
                  <c:v>10</c:v>
                </c:pt>
              </c:numCache>
            </c:numRef>
          </c:xVal>
          <c:yVal>
            <c:numRef>
              <c:f>'Various Oil Compatibility'!DP_4_various_oil</c:f>
              <c:numCache>
                <c:formatCode>General</c:formatCode>
                <c:ptCount val="1"/>
              </c:numCache>
            </c:numRef>
          </c:yVal>
          <c:smooth val="0"/>
          <c:extLst>
            <c:ext xmlns:c16="http://schemas.microsoft.com/office/drawing/2014/chart" uri="{C3380CC4-5D6E-409C-BE32-E72D297353CC}">
              <c16:uniqueId val="{00000001-FCA8-4E28-ACEA-D6094337D483}"/>
            </c:ext>
          </c:extLst>
        </c:ser>
        <c:dLbls>
          <c:showLegendKey val="0"/>
          <c:showVal val="0"/>
          <c:showCatName val="0"/>
          <c:showSerName val="0"/>
          <c:showPercent val="0"/>
          <c:showBubbleSize val="0"/>
        </c:dLbls>
        <c:axId val="147194352"/>
        <c:axId val="147192432"/>
      </c:scatterChart>
      <c:valAx>
        <c:axId val="147194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Puffs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432"/>
        <c:crosses val="autoZero"/>
        <c:crossBetween val="midCat"/>
      </c:valAx>
      <c:valAx>
        <c:axId val="14719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Draw</a:t>
                </a:r>
                <a:r>
                  <a:rPr lang="en-US" baseline="0"/>
                  <a:t> Pressure (kPa)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4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7</xdr:col>
      <xdr:colOff>724930</xdr:colOff>
      <xdr:row>23</xdr:row>
      <xdr:rowOff>46179</xdr:rowOff>
    </xdr:to>
    <xdr:pic>
      <xdr:nvPicPr>
        <xdr:cNvPr id="2" name="Picture 1">
          <a:extLst>
            <a:ext uri="{FF2B5EF4-FFF2-40B4-BE49-F238E27FC236}">
              <a16:creationId xmlns:a16="http://schemas.microsoft.com/office/drawing/2014/main" id="{BBFDB34F-77DB-4984-99DD-E606AF800981}"/>
            </a:ext>
          </a:extLst>
        </xdr:cNvPr>
        <xdr:cNvPicPr>
          <a:picLocks noChangeAspect="1"/>
        </xdr:cNvPicPr>
      </xdr:nvPicPr>
      <xdr:blipFill>
        <a:blip xmlns:r="http://schemas.openxmlformats.org/officeDocument/2006/relationships" r:embed="rId1"/>
        <a:stretch>
          <a:fillRect/>
        </a:stretch>
      </xdr:blipFill>
      <xdr:spPr>
        <a:xfrm>
          <a:off x="12458700" y="13464540"/>
          <a:ext cx="7392430" cy="32846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24</xdr:col>
      <xdr:colOff>411078</xdr:colOff>
      <xdr:row>0</xdr:row>
      <xdr:rowOff>292767</xdr:rowOff>
    </xdr:from>
    <xdr:to>
      <xdr:col>33</xdr:col>
      <xdr:colOff>150393</xdr:colOff>
      <xdr:row>14</xdr:row>
      <xdr:rowOff>178467</xdr:rowOff>
    </xdr:to>
    <xdr:graphicFrame macro="">
      <xdr:nvGraphicFramePr>
        <xdr:cNvPr id="2" name="Chart 1">
          <a:extLst>
            <a:ext uri="{FF2B5EF4-FFF2-40B4-BE49-F238E27FC236}">
              <a16:creationId xmlns:a16="http://schemas.microsoft.com/office/drawing/2014/main" id="{39281590-0E20-BD4F-F2D6-E768C40BD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450273</xdr:colOff>
      <xdr:row>19</xdr:row>
      <xdr:rowOff>51955</xdr:rowOff>
    </xdr:from>
    <xdr:to>
      <xdr:col>33</xdr:col>
      <xdr:colOff>195774</xdr:colOff>
      <xdr:row>33</xdr:row>
      <xdr:rowOff>128155</xdr:rowOff>
    </xdr:to>
    <xdr:graphicFrame macro="">
      <xdr:nvGraphicFramePr>
        <xdr:cNvPr id="4" name="Chart 3">
          <a:extLst>
            <a:ext uri="{FF2B5EF4-FFF2-40B4-BE49-F238E27FC236}">
              <a16:creationId xmlns:a16="http://schemas.microsoft.com/office/drawing/2014/main" id="{8D65D45D-AC45-49C2-A751-35AEF6671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0</xdr:colOff>
      <xdr:row>3</xdr:row>
      <xdr:rowOff>0</xdr:rowOff>
    </xdr:from>
    <xdr:to>
      <xdr:col>33</xdr:col>
      <xdr:colOff>353601</xdr:colOff>
      <xdr:row>17</xdr:row>
      <xdr:rowOff>76200</xdr:rowOff>
    </xdr:to>
    <xdr:graphicFrame macro="">
      <xdr:nvGraphicFramePr>
        <xdr:cNvPr id="2" name="Chart 1">
          <a:extLst>
            <a:ext uri="{FF2B5EF4-FFF2-40B4-BE49-F238E27FC236}">
              <a16:creationId xmlns:a16="http://schemas.microsoft.com/office/drawing/2014/main" id="{959482FD-1CBB-4C6A-A923-DCCDCB637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20</xdr:row>
      <xdr:rowOff>0</xdr:rowOff>
    </xdr:from>
    <xdr:to>
      <xdr:col>33</xdr:col>
      <xdr:colOff>359787</xdr:colOff>
      <xdr:row>34</xdr:row>
      <xdr:rowOff>76200</xdr:rowOff>
    </xdr:to>
    <xdr:graphicFrame macro="">
      <xdr:nvGraphicFramePr>
        <xdr:cNvPr id="3" name="Chart 2">
          <a:extLst>
            <a:ext uri="{FF2B5EF4-FFF2-40B4-BE49-F238E27FC236}">
              <a16:creationId xmlns:a16="http://schemas.microsoft.com/office/drawing/2014/main" id="{2DF2100C-DE16-45A5-99C9-8970D2ABE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25</xdr:col>
      <xdr:colOff>0</xdr:colOff>
      <xdr:row>4</xdr:row>
      <xdr:rowOff>0</xdr:rowOff>
    </xdr:from>
    <xdr:to>
      <xdr:col>33</xdr:col>
      <xdr:colOff>353601</xdr:colOff>
      <xdr:row>18</xdr:row>
      <xdr:rowOff>76200</xdr:rowOff>
    </xdr:to>
    <xdr:graphicFrame macro="">
      <xdr:nvGraphicFramePr>
        <xdr:cNvPr id="2" name="Chart 1">
          <a:extLst>
            <a:ext uri="{FF2B5EF4-FFF2-40B4-BE49-F238E27FC236}">
              <a16:creationId xmlns:a16="http://schemas.microsoft.com/office/drawing/2014/main" id="{74C01DAC-5174-431D-BFE4-0F67FE97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20</xdr:row>
      <xdr:rowOff>0</xdr:rowOff>
    </xdr:from>
    <xdr:to>
      <xdr:col>33</xdr:col>
      <xdr:colOff>359787</xdr:colOff>
      <xdr:row>34</xdr:row>
      <xdr:rowOff>76200</xdr:rowOff>
    </xdr:to>
    <xdr:graphicFrame macro="">
      <xdr:nvGraphicFramePr>
        <xdr:cNvPr id="3" name="Chart 2">
          <a:extLst>
            <a:ext uri="{FF2B5EF4-FFF2-40B4-BE49-F238E27FC236}">
              <a16:creationId xmlns:a16="http://schemas.microsoft.com/office/drawing/2014/main" id="{AEDFD308-2A82-4C46-A62C-FE78CB290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25</xdr:col>
      <xdr:colOff>0</xdr:colOff>
      <xdr:row>4</xdr:row>
      <xdr:rowOff>0</xdr:rowOff>
    </xdr:from>
    <xdr:to>
      <xdr:col>33</xdr:col>
      <xdr:colOff>317742</xdr:colOff>
      <xdr:row>18</xdr:row>
      <xdr:rowOff>76200</xdr:rowOff>
    </xdr:to>
    <xdr:graphicFrame macro="">
      <xdr:nvGraphicFramePr>
        <xdr:cNvPr id="2" name="Chart 1">
          <a:extLst>
            <a:ext uri="{FF2B5EF4-FFF2-40B4-BE49-F238E27FC236}">
              <a16:creationId xmlns:a16="http://schemas.microsoft.com/office/drawing/2014/main" id="{72E5ACA8-7302-4B8B-AEC4-D3A11D640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20</xdr:row>
      <xdr:rowOff>0</xdr:rowOff>
    </xdr:from>
    <xdr:to>
      <xdr:col>33</xdr:col>
      <xdr:colOff>323928</xdr:colOff>
      <xdr:row>34</xdr:row>
      <xdr:rowOff>76200</xdr:rowOff>
    </xdr:to>
    <xdr:graphicFrame macro="">
      <xdr:nvGraphicFramePr>
        <xdr:cNvPr id="3" name="Chart 2">
          <a:extLst>
            <a:ext uri="{FF2B5EF4-FFF2-40B4-BE49-F238E27FC236}">
              <a16:creationId xmlns:a16="http://schemas.microsoft.com/office/drawing/2014/main" id="{55638DD6-CAAB-4D20-AD3E-2A604B1A3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25</xdr:col>
      <xdr:colOff>0</xdr:colOff>
      <xdr:row>4</xdr:row>
      <xdr:rowOff>0</xdr:rowOff>
    </xdr:from>
    <xdr:to>
      <xdr:col>33</xdr:col>
      <xdr:colOff>295971</xdr:colOff>
      <xdr:row>18</xdr:row>
      <xdr:rowOff>76200</xdr:rowOff>
    </xdr:to>
    <xdr:graphicFrame macro="">
      <xdr:nvGraphicFramePr>
        <xdr:cNvPr id="2" name="Chart 1">
          <a:extLst>
            <a:ext uri="{FF2B5EF4-FFF2-40B4-BE49-F238E27FC236}">
              <a16:creationId xmlns:a16="http://schemas.microsoft.com/office/drawing/2014/main" id="{03A34017-E341-478D-89F4-A8B645024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20</xdr:row>
      <xdr:rowOff>0</xdr:rowOff>
    </xdr:from>
    <xdr:to>
      <xdr:col>33</xdr:col>
      <xdr:colOff>302157</xdr:colOff>
      <xdr:row>34</xdr:row>
      <xdr:rowOff>76200</xdr:rowOff>
    </xdr:to>
    <xdr:graphicFrame macro="">
      <xdr:nvGraphicFramePr>
        <xdr:cNvPr id="3" name="Chart 2">
          <a:extLst>
            <a:ext uri="{FF2B5EF4-FFF2-40B4-BE49-F238E27FC236}">
              <a16:creationId xmlns:a16="http://schemas.microsoft.com/office/drawing/2014/main" id="{15D8E36D-96B4-4B18-B3C9-809574891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25</xdr:col>
      <xdr:colOff>0</xdr:colOff>
      <xdr:row>5</xdr:row>
      <xdr:rowOff>0</xdr:rowOff>
    </xdr:from>
    <xdr:to>
      <xdr:col>33</xdr:col>
      <xdr:colOff>286745</xdr:colOff>
      <xdr:row>19</xdr:row>
      <xdr:rowOff>30997</xdr:rowOff>
    </xdr:to>
    <xdr:graphicFrame macro="">
      <xdr:nvGraphicFramePr>
        <xdr:cNvPr id="2" name="Chart 1">
          <a:extLst>
            <a:ext uri="{FF2B5EF4-FFF2-40B4-BE49-F238E27FC236}">
              <a16:creationId xmlns:a16="http://schemas.microsoft.com/office/drawing/2014/main" id="{9F35A2D9-A811-45C0-84C4-0194FE8B3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22</xdr:row>
      <xdr:rowOff>0</xdr:rowOff>
    </xdr:from>
    <xdr:to>
      <xdr:col>33</xdr:col>
      <xdr:colOff>292931</xdr:colOff>
      <xdr:row>36</xdr:row>
      <xdr:rowOff>30997</xdr:rowOff>
    </xdr:to>
    <xdr:graphicFrame macro="">
      <xdr:nvGraphicFramePr>
        <xdr:cNvPr id="3" name="Chart 2">
          <a:extLst>
            <a:ext uri="{FF2B5EF4-FFF2-40B4-BE49-F238E27FC236}">
              <a16:creationId xmlns:a16="http://schemas.microsoft.com/office/drawing/2014/main" id="{B6B35EA5-DAD6-4A7F-988A-921FE10D3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73</xdr:col>
      <xdr:colOff>172953</xdr:colOff>
      <xdr:row>1</xdr:row>
      <xdr:rowOff>173705</xdr:rowOff>
    </xdr:from>
    <xdr:to>
      <xdr:col>81</xdr:col>
      <xdr:colOff>531393</xdr:colOff>
      <xdr:row>16</xdr:row>
      <xdr:rowOff>59405</xdr:rowOff>
    </xdr:to>
    <xdr:graphicFrame macro="">
      <xdr:nvGraphicFramePr>
        <xdr:cNvPr id="2" name="Chart 1">
          <a:extLst>
            <a:ext uri="{FF2B5EF4-FFF2-40B4-BE49-F238E27FC236}">
              <a16:creationId xmlns:a16="http://schemas.microsoft.com/office/drawing/2014/main" id="{D804E721-863E-46AC-A1F2-54BA8A830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73</xdr:col>
      <xdr:colOff>190500</xdr:colOff>
      <xdr:row>18</xdr:row>
      <xdr:rowOff>0</xdr:rowOff>
    </xdr:from>
    <xdr:to>
      <xdr:col>81</xdr:col>
      <xdr:colOff>514428</xdr:colOff>
      <xdr:row>32</xdr:row>
      <xdr:rowOff>76200</xdr:rowOff>
    </xdr:to>
    <xdr:graphicFrame macro="">
      <xdr:nvGraphicFramePr>
        <xdr:cNvPr id="3" name="Chart 2">
          <a:extLst>
            <a:ext uri="{FF2B5EF4-FFF2-40B4-BE49-F238E27FC236}">
              <a16:creationId xmlns:a16="http://schemas.microsoft.com/office/drawing/2014/main" id="{1843718F-DC13-44E6-A46C-CD7B7A25C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25</xdr:col>
      <xdr:colOff>0</xdr:colOff>
      <xdr:row>5</xdr:row>
      <xdr:rowOff>0</xdr:rowOff>
    </xdr:from>
    <xdr:to>
      <xdr:col>33</xdr:col>
      <xdr:colOff>353601</xdr:colOff>
      <xdr:row>19</xdr:row>
      <xdr:rowOff>76200</xdr:rowOff>
    </xdr:to>
    <xdr:graphicFrame macro="">
      <xdr:nvGraphicFramePr>
        <xdr:cNvPr id="2" name="Chart 1">
          <a:extLst>
            <a:ext uri="{FF2B5EF4-FFF2-40B4-BE49-F238E27FC236}">
              <a16:creationId xmlns:a16="http://schemas.microsoft.com/office/drawing/2014/main" id="{47172A07-CE3D-4B0C-9E74-DCDD498B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21</xdr:row>
      <xdr:rowOff>0</xdr:rowOff>
    </xdr:from>
    <xdr:to>
      <xdr:col>33</xdr:col>
      <xdr:colOff>359787</xdr:colOff>
      <xdr:row>35</xdr:row>
      <xdr:rowOff>76200</xdr:rowOff>
    </xdr:to>
    <xdr:graphicFrame macro="">
      <xdr:nvGraphicFramePr>
        <xdr:cNvPr id="3" name="Chart 2">
          <a:extLst>
            <a:ext uri="{FF2B5EF4-FFF2-40B4-BE49-F238E27FC236}">
              <a16:creationId xmlns:a16="http://schemas.microsoft.com/office/drawing/2014/main" id="{BEA31E31-7097-43D8-9F41-DBB450E8F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96</xdr:col>
      <xdr:colOff>428627</xdr:colOff>
      <xdr:row>0</xdr:row>
      <xdr:rowOff>95251</xdr:rowOff>
    </xdr:from>
    <xdr:to>
      <xdr:col>105</xdr:col>
      <xdr:colOff>65155</xdr:colOff>
      <xdr:row>13</xdr:row>
      <xdr:rowOff>122062</xdr:rowOff>
    </xdr:to>
    <xdr:graphicFrame macro="">
      <xdr:nvGraphicFramePr>
        <xdr:cNvPr id="2" name="Chart 1">
          <a:extLst>
            <a:ext uri="{FF2B5EF4-FFF2-40B4-BE49-F238E27FC236}">
              <a16:creationId xmlns:a16="http://schemas.microsoft.com/office/drawing/2014/main" id="{3ECC63CB-1B13-4AA3-89D6-1DFD15742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96</xdr:col>
      <xdr:colOff>476250</xdr:colOff>
      <xdr:row>15</xdr:row>
      <xdr:rowOff>0</xdr:rowOff>
    </xdr:from>
    <xdr:to>
      <xdr:col>105</xdr:col>
      <xdr:colOff>104853</xdr:colOff>
      <xdr:row>29</xdr:row>
      <xdr:rowOff>76200</xdr:rowOff>
    </xdr:to>
    <xdr:graphicFrame macro="">
      <xdr:nvGraphicFramePr>
        <xdr:cNvPr id="3" name="Chart 2">
          <a:extLst>
            <a:ext uri="{FF2B5EF4-FFF2-40B4-BE49-F238E27FC236}">
              <a16:creationId xmlns:a16="http://schemas.microsoft.com/office/drawing/2014/main" id="{A14B679C-34E2-48B2-8E17-BBD48594A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48</xdr:col>
      <xdr:colOff>524740</xdr:colOff>
      <xdr:row>0</xdr:row>
      <xdr:rowOff>213013</xdr:rowOff>
    </xdr:from>
    <xdr:to>
      <xdr:col>57</xdr:col>
      <xdr:colOff>232882</xdr:colOff>
      <xdr:row>14</xdr:row>
      <xdr:rowOff>98713</xdr:rowOff>
    </xdr:to>
    <xdr:graphicFrame macro="">
      <xdr:nvGraphicFramePr>
        <xdr:cNvPr id="2" name="Chart 1">
          <a:extLst>
            <a:ext uri="{FF2B5EF4-FFF2-40B4-BE49-F238E27FC236}">
              <a16:creationId xmlns:a16="http://schemas.microsoft.com/office/drawing/2014/main" id="{94056993-D97F-4EB8-973B-27E279F8F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xdr:col>
      <xdr:colOff>523875</xdr:colOff>
      <xdr:row>16</xdr:row>
      <xdr:rowOff>0</xdr:rowOff>
    </xdr:from>
    <xdr:to>
      <xdr:col>57</xdr:col>
      <xdr:colOff>228678</xdr:colOff>
      <xdr:row>30</xdr:row>
      <xdr:rowOff>76200</xdr:rowOff>
    </xdr:to>
    <xdr:graphicFrame macro="">
      <xdr:nvGraphicFramePr>
        <xdr:cNvPr id="3" name="Chart 2">
          <a:extLst>
            <a:ext uri="{FF2B5EF4-FFF2-40B4-BE49-F238E27FC236}">
              <a16:creationId xmlns:a16="http://schemas.microsoft.com/office/drawing/2014/main" id="{E39FABDC-48CA-4B47-8339-2AE3D1AED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E8FDC-1B62-45C8-A63C-BDC437878E78}">
  <dimension ref="A1:I33"/>
  <sheetViews>
    <sheetView workbookViewId="0">
      <selection activeCell="B2" sqref="B2"/>
    </sheetView>
  </sheetViews>
  <sheetFormatPr defaultRowHeight="15" x14ac:dyDescent="0.25"/>
  <cols>
    <col min="1" max="1" width="33.42578125" style="18" bestFit="1" customWidth="1"/>
    <col min="2" max="3" width="76.7109375" style="18" customWidth="1"/>
    <col min="4" max="4" width="35.7109375" style="18" bestFit="1" customWidth="1"/>
    <col min="5" max="5" width="31.7109375" style="18" bestFit="1" customWidth="1"/>
    <col min="6" max="6" width="8.7109375" style="18" bestFit="1" customWidth="1"/>
    <col min="7" max="8" width="23.85546875" style="18" bestFit="1" customWidth="1"/>
    <col min="9" max="9" width="21.7109375" style="18" bestFit="1" customWidth="1"/>
    <col min="10" max="16384" width="9.140625" style="18"/>
  </cols>
  <sheetData>
    <row r="1" spans="1:9" x14ac:dyDescent="0.25">
      <c r="A1" s="18" t="s">
        <v>65</v>
      </c>
      <c r="B1" s="18" t="s">
        <v>66</v>
      </c>
      <c r="C1" s="18" t="s">
        <v>67</v>
      </c>
      <c r="D1" s="18" t="s">
        <v>68</v>
      </c>
      <c r="E1" s="18" t="s">
        <v>69</v>
      </c>
      <c r="F1" s="18" t="s">
        <v>70</v>
      </c>
      <c r="G1" s="18" t="s">
        <v>71</v>
      </c>
      <c r="H1" s="18" t="s">
        <v>72</v>
      </c>
      <c r="I1" s="18" t="s">
        <v>73</v>
      </c>
    </row>
    <row r="2" spans="1:9" ht="255" x14ac:dyDescent="0.25">
      <c r="A2" s="18" t="s">
        <v>38</v>
      </c>
      <c r="B2" s="18" t="s">
        <v>74</v>
      </c>
      <c r="C2" s="18" t="s">
        <v>75</v>
      </c>
      <c r="D2" s="18" t="s">
        <v>76</v>
      </c>
      <c r="E2" s="18" t="s">
        <v>77</v>
      </c>
      <c r="F2" s="18">
        <v>2</v>
      </c>
      <c r="G2" s="18" t="s">
        <v>78</v>
      </c>
      <c r="H2" s="18" t="s">
        <v>79</v>
      </c>
    </row>
    <row r="3" spans="1:9" ht="267.75" x14ac:dyDescent="0.25">
      <c r="A3" s="18" t="s">
        <v>35</v>
      </c>
      <c r="B3" s="19" t="s">
        <v>80</v>
      </c>
      <c r="C3" s="19" t="s">
        <v>81</v>
      </c>
      <c r="D3" s="18" t="s">
        <v>82</v>
      </c>
      <c r="E3" s="18" t="s">
        <v>83</v>
      </c>
      <c r="F3" s="18" t="s">
        <v>84</v>
      </c>
      <c r="G3" s="18" t="s">
        <v>78</v>
      </c>
      <c r="H3" s="18" t="s">
        <v>79</v>
      </c>
    </row>
    <row r="4" spans="1:9" ht="267.75" x14ac:dyDescent="0.25">
      <c r="A4" s="18" t="s">
        <v>85</v>
      </c>
      <c r="B4" s="19" t="s">
        <v>86</v>
      </c>
      <c r="C4" s="19" t="s">
        <v>87</v>
      </c>
      <c r="D4" s="18" t="s">
        <v>88</v>
      </c>
      <c r="E4" s="18" t="s">
        <v>83</v>
      </c>
      <c r="F4" s="18" t="s">
        <v>89</v>
      </c>
      <c r="G4" s="18" t="s">
        <v>78</v>
      </c>
      <c r="H4" s="18" t="s">
        <v>90</v>
      </c>
      <c r="I4" s="18" t="s">
        <v>91</v>
      </c>
    </row>
    <row r="5" spans="1:9" ht="240" x14ac:dyDescent="0.25">
      <c r="A5" s="18" t="s">
        <v>51</v>
      </c>
      <c r="B5" s="18" t="s">
        <v>92</v>
      </c>
      <c r="C5" s="18" t="s">
        <v>93</v>
      </c>
      <c r="D5" s="18" t="s">
        <v>94</v>
      </c>
      <c r="E5" s="18" t="s">
        <v>95</v>
      </c>
      <c r="F5" s="18">
        <v>2</v>
      </c>
      <c r="G5" s="18" t="s">
        <v>96</v>
      </c>
      <c r="H5" s="18" t="s">
        <v>96</v>
      </c>
      <c r="I5" s="18" t="s">
        <v>97</v>
      </c>
    </row>
    <row r="6" spans="1:9" ht="240" x14ac:dyDescent="0.25">
      <c r="A6" s="18" t="s">
        <v>98</v>
      </c>
      <c r="B6" s="18" t="s">
        <v>99</v>
      </c>
      <c r="C6" s="18" t="s">
        <v>93</v>
      </c>
      <c r="D6" s="18" t="s">
        <v>94</v>
      </c>
      <c r="E6" s="18" t="s">
        <v>95</v>
      </c>
      <c r="F6" s="18">
        <v>2</v>
      </c>
      <c r="G6" s="18" t="s">
        <v>100</v>
      </c>
      <c r="H6" s="18" t="s">
        <v>100</v>
      </c>
      <c r="I6" s="18" t="s">
        <v>97</v>
      </c>
    </row>
    <row r="7" spans="1:9" ht="270" x14ac:dyDescent="0.25">
      <c r="A7" s="18" t="s">
        <v>47</v>
      </c>
      <c r="B7" s="18" t="s">
        <v>101</v>
      </c>
      <c r="C7" s="18" t="s">
        <v>102</v>
      </c>
      <c r="D7" s="18" t="s">
        <v>103</v>
      </c>
      <c r="E7" s="18" t="s">
        <v>104</v>
      </c>
      <c r="F7" s="18">
        <v>2</v>
      </c>
      <c r="G7" s="18" t="s">
        <v>105</v>
      </c>
      <c r="H7" s="18" t="s">
        <v>105</v>
      </c>
    </row>
    <row r="8" spans="1:9" ht="225" x14ac:dyDescent="0.25">
      <c r="A8" s="18" t="s">
        <v>40</v>
      </c>
      <c r="B8" s="18" t="s">
        <v>106</v>
      </c>
      <c r="C8" s="18" t="s">
        <v>107</v>
      </c>
      <c r="D8" s="18" t="s">
        <v>103</v>
      </c>
      <c r="E8" s="18" t="s">
        <v>108</v>
      </c>
      <c r="F8" s="18">
        <v>6</v>
      </c>
      <c r="G8" s="18" t="s">
        <v>78</v>
      </c>
      <c r="H8" s="18" t="s">
        <v>78</v>
      </c>
    </row>
    <row r="9" spans="1:9" ht="270" x14ac:dyDescent="0.25">
      <c r="A9" s="18" t="s">
        <v>56</v>
      </c>
      <c r="B9" s="18" t="s">
        <v>109</v>
      </c>
      <c r="C9" s="18" t="s">
        <v>110</v>
      </c>
      <c r="D9" s="18" t="s">
        <v>111</v>
      </c>
      <c r="E9" s="18" t="s">
        <v>83</v>
      </c>
      <c r="F9" s="18">
        <v>2</v>
      </c>
      <c r="G9" s="18" t="s">
        <v>78</v>
      </c>
      <c r="H9" s="18" t="s">
        <v>79</v>
      </c>
    </row>
    <row r="10" spans="1:9" ht="255" x14ac:dyDescent="0.25">
      <c r="A10" s="18" t="s">
        <v>49</v>
      </c>
      <c r="B10" s="18" t="s">
        <v>112</v>
      </c>
      <c r="C10" s="18" t="s">
        <v>113</v>
      </c>
      <c r="D10" s="18" t="s">
        <v>111</v>
      </c>
      <c r="E10" s="18" t="s">
        <v>77</v>
      </c>
      <c r="F10" s="18">
        <v>2</v>
      </c>
      <c r="G10" s="18" t="s">
        <v>78</v>
      </c>
      <c r="H10" s="18" t="s">
        <v>79</v>
      </c>
    </row>
    <row r="11" spans="1:9" ht="60" x14ac:dyDescent="0.25">
      <c r="A11" s="18" t="s">
        <v>114</v>
      </c>
      <c r="B11" s="18" t="s">
        <v>115</v>
      </c>
      <c r="C11" s="18" t="s">
        <v>116</v>
      </c>
      <c r="D11" s="18" t="s">
        <v>117</v>
      </c>
      <c r="E11" s="18" t="s">
        <v>118</v>
      </c>
      <c r="F11" s="18">
        <v>2</v>
      </c>
      <c r="G11" s="18" t="s">
        <v>119</v>
      </c>
      <c r="H11" s="18" t="s">
        <v>120</v>
      </c>
    </row>
    <row r="12" spans="1:9" ht="270" x14ac:dyDescent="0.25">
      <c r="A12" s="18" t="s">
        <v>39</v>
      </c>
      <c r="B12" s="18" t="s">
        <v>121</v>
      </c>
      <c r="C12" s="18" t="s">
        <v>122</v>
      </c>
      <c r="D12" s="18" t="s">
        <v>111</v>
      </c>
      <c r="E12" s="18" t="s">
        <v>77</v>
      </c>
      <c r="F12" s="18">
        <v>2</v>
      </c>
      <c r="G12" s="18" t="s">
        <v>78</v>
      </c>
      <c r="H12" s="18" t="s">
        <v>79</v>
      </c>
    </row>
    <row r="17" s="18" customFormat="1" x14ac:dyDescent="0.25"/>
    <row r="18" s="18" customFormat="1" x14ac:dyDescent="0.25"/>
    <row r="19" s="18" customFormat="1" x14ac:dyDescent="0.25"/>
    <row r="20" s="18" customFormat="1" x14ac:dyDescent="0.25"/>
    <row r="21" s="18" customFormat="1" x14ac:dyDescent="0.25"/>
    <row r="22" s="18" customFormat="1" x14ac:dyDescent="0.25"/>
    <row r="23" s="18" customFormat="1" x14ac:dyDescent="0.25"/>
    <row r="24" s="18" customFormat="1" x14ac:dyDescent="0.25"/>
    <row r="25" s="18" customFormat="1" x14ac:dyDescent="0.25"/>
    <row r="26" s="18" customFormat="1" x14ac:dyDescent="0.25"/>
    <row r="27" s="18" customFormat="1" x14ac:dyDescent="0.25"/>
    <row r="28" s="18" customFormat="1" x14ac:dyDescent="0.25"/>
    <row r="29" s="18" customFormat="1" x14ac:dyDescent="0.25"/>
    <row r="30" s="18" customFormat="1" x14ac:dyDescent="0.25"/>
    <row r="31" s="18" customFormat="1" x14ac:dyDescent="0.25"/>
    <row r="32" s="18" customFormat="1" x14ac:dyDescent="0.25"/>
    <row r="33" s="18"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CE20-AEB6-4526-89B9-7808E630E17A}">
  <dimension ref="A1:X115"/>
  <sheetViews>
    <sheetView tabSelected="1" zoomScaleNormal="100" workbookViewId="0">
      <selection activeCell="D17" sqref="D17"/>
    </sheetView>
  </sheetViews>
  <sheetFormatPr defaultRowHeight="15" x14ac:dyDescent="0.25"/>
  <cols>
    <col min="1" max="1" width="11.710937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1.71093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16384" width="9.140625" style="1"/>
  </cols>
  <sheetData>
    <row r="1" spans="1:24" s="2" customFormat="1" ht="45" x14ac:dyDescent="0.25">
      <c r="A1" s="3" t="s">
        <v>38</v>
      </c>
      <c r="C1" s="4" t="s">
        <v>6</v>
      </c>
      <c r="E1" s="4" t="s">
        <v>43</v>
      </c>
      <c r="G1" s="4" t="s">
        <v>54</v>
      </c>
      <c r="H1" s="2" t="s">
        <v>53</v>
      </c>
      <c r="J1" s="4" t="s">
        <v>7</v>
      </c>
      <c r="L1" s="6" t="s">
        <v>20</v>
      </c>
      <c r="M1" s="3" t="s">
        <v>38</v>
      </c>
      <c r="O1" s="4" t="s">
        <v>6</v>
      </c>
      <c r="Q1" s="4" t="s">
        <v>43</v>
      </c>
      <c r="S1" s="4" t="s">
        <v>54</v>
      </c>
      <c r="T1" s="2" t="s">
        <v>53</v>
      </c>
      <c r="V1" s="4" t="s">
        <v>7</v>
      </c>
      <c r="X1" s="6" t="s">
        <v>20</v>
      </c>
    </row>
    <row r="2" spans="1:24"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21</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21</v>
      </c>
      <c r="U2" s="4" t="s">
        <v>9</v>
      </c>
      <c r="V2" s="4" t="s">
        <v>10</v>
      </c>
      <c r="X2" s="20" t="e">
        <f>IF(U5="","",AVERAGEIFS(U5:U115,U5:U115,"&lt;&gt;0",U5:U115,"&lt;&gt;"))</f>
        <v>#N/A</v>
      </c>
    </row>
    <row r="3" spans="1:24" s="2" customFormat="1" ht="30" x14ac:dyDescent="0.25">
      <c r="A3" s="4" t="s">
        <v>11</v>
      </c>
      <c r="C3" s="4" t="s">
        <v>0</v>
      </c>
      <c r="E3" s="4" t="s">
        <v>3</v>
      </c>
      <c r="G3" s="4" t="s">
        <v>12</v>
      </c>
      <c r="H3" s="2">
        <v>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row>
    <row r="4" spans="1:24"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row>
    <row r="5" spans="1:24" x14ac:dyDescent="0.25">
      <c r="A5" s="1">
        <v>20</v>
      </c>
      <c r="I5" s="1" t="e">
        <f>IF(C5="", NA(), (B5-C5)*1000/A5)</f>
        <v>#N/A</v>
      </c>
      <c r="J5" s="1" t="e">
        <f>IF(I5="","",I5/F$2/2.5)</f>
        <v>#N/A</v>
      </c>
      <c r="L5" s="8" t="e">
        <f>IF(I5="","", IFERROR(((IF(I$5&lt;&gt;"", I$5*A$5, 0))/1000)/H$3, ""))</f>
        <v>#N/A</v>
      </c>
      <c r="M5" s="1">
        <v>20</v>
      </c>
      <c r="U5" s="1" t="e">
        <f>IF(O5="", NA(), (N5-O5)*1000/M5)</f>
        <v>#N/A</v>
      </c>
      <c r="V5" s="1" t="e">
        <f>IF(U5="","",U5/R$2/2.5)</f>
        <v>#N/A</v>
      </c>
      <c r="X5" s="8" t="e">
        <f>IF(U5="","", IFERROR(((IF(U$5&lt;&gt;"", U$5*M$5, 0))/1000)/T$3, ""))</f>
        <v>#N/A</v>
      </c>
    </row>
    <row r="6" spans="1:24" x14ac:dyDescent="0.25">
      <c r="A6" s="1">
        <f>A5+20</f>
        <v>40</v>
      </c>
      <c r="B6" s="1">
        <f t="shared" ref="B6:B10" si="0">C5</f>
        <v>0</v>
      </c>
      <c r="I6" s="1" t="e">
        <f>IF(C6="", NA(), (B6-C6)*1000/(A6-A5))</f>
        <v>#N/A</v>
      </c>
      <c r="J6" s="1" t="e">
        <f t="shared" ref="J6:J69" si="1">IF(I6="","",I6/F$2/2.5)</f>
        <v>#N/A</v>
      </c>
      <c r="K6" s="1" t="e">
        <f>IF(I6="","", 100*_xlfn.STDEV.P(I5:I6)/AVERAGE(I5:I6))</f>
        <v>#N/A</v>
      </c>
      <c r="L6" s="8" t="e" cm="1">
        <f t="array" ref="L6">IF(I6="","", IFERROR(((IF(I$5&lt;&gt;"", I$5*A$5, 0) + SUMPRODUCT(--(I$6:I6&lt;&gt;""), I$6:I6, (A$6:A6-A$5:A5)))/1000)/H$3, ""))</f>
        <v>#N/A</v>
      </c>
      <c r="M6" s="1">
        <f>M5+20</f>
        <v>40</v>
      </c>
      <c r="N6" s="1">
        <f>O5</f>
        <v>0</v>
      </c>
      <c r="U6" s="1" t="e">
        <f>IF(O6="", NA(), (N6-O6)*1000/(M6-M5))</f>
        <v>#N/A</v>
      </c>
      <c r="V6" s="1" t="e">
        <f t="shared" ref="V6:V69" si="2">IF(U6="","",U6/R$2/2.5)</f>
        <v>#N/A</v>
      </c>
      <c r="W6" s="1" t="e">
        <f>IF(U6="","", 100*_xlfn.STDEV.P(U5:U6)/AVERAGE(U5:U6))</f>
        <v>#N/A</v>
      </c>
      <c r="X6" s="8" t="e" cm="1">
        <f t="array" ref="X6">IF(U6="","", IFERROR(((IF(U$5&lt;&gt;"", U$5*M$5, 0) + SUMPRODUCT(--(U$6:U6&lt;&gt;""), U$6:U6, (M$6:M6-M$5:M5)))/1000)/T$3, ""))</f>
        <v>#N/A</v>
      </c>
    </row>
    <row r="7" spans="1:24" x14ac:dyDescent="0.25">
      <c r="A7" s="1">
        <f t="shared" ref="A7:A70" si="3">A6+20</f>
        <v>60</v>
      </c>
      <c r="B7" s="1">
        <f t="shared" si="0"/>
        <v>0</v>
      </c>
      <c r="I7" s="1" t="e">
        <f t="shared" ref="I7:I70" si="4">IF(C7="", NA(), (B7-C7)*1000/(A7-A6))</f>
        <v>#N/A</v>
      </c>
      <c r="J7" s="1" t="e">
        <f t="shared" si="1"/>
        <v>#N/A</v>
      </c>
      <c r="K7" s="1" t="e">
        <f t="shared" ref="K7:K70" si="5">IF(I7="","", 100*_xlfn.STDEV.P(I6:I7)/AVERAGE(I6:I7))</f>
        <v>#N/A</v>
      </c>
      <c r="L7" s="8" t="e" cm="1">
        <f t="array" ref="L7">IF(I7="","", IFERROR(((IF(I$5&lt;&gt;"", I$5*A$5, 0) + SUMPRODUCT(--(I$6:I7&lt;&gt;""), I$6:I7, (A$6:A7-A$5:A6)))/1000)/H$3, ""))</f>
        <v>#N/A</v>
      </c>
      <c r="M7" s="1">
        <f t="shared" ref="M7:M70" si="6">M6+20</f>
        <v>60</v>
      </c>
      <c r="N7" s="1">
        <f t="shared" ref="N7:N70" si="7">O6</f>
        <v>0</v>
      </c>
      <c r="U7" s="1" t="e">
        <f t="shared" ref="U7:U70" si="8">IF(O7="", NA(), (N7-O7)*1000/(M7-M6))</f>
        <v>#N/A</v>
      </c>
      <c r="V7" s="1" t="e">
        <f t="shared" si="2"/>
        <v>#N/A</v>
      </c>
      <c r="W7" s="1" t="e">
        <f t="shared" ref="W7:W70" si="9">IF(U7="","", 100*_xlfn.STDEV.P(U6:U7)/AVERAGE(U6:U7))</f>
        <v>#N/A</v>
      </c>
      <c r="X7" s="8" t="e" cm="1">
        <f t="array" ref="X7">IF(U7="","", IFERROR(((IF(U$5&lt;&gt;"", U$5*M$5, 0) + SUMPRODUCT(--(U$6:U7&lt;&gt;""), U$6:U7, (M$6:M7-M$5:M6)))/1000)/T$3, ""))</f>
        <v>#N/A</v>
      </c>
    </row>
    <row r="8" spans="1:24" x14ac:dyDescent="0.25">
      <c r="A8" s="1">
        <f t="shared" si="3"/>
        <v>80</v>
      </c>
      <c r="B8" s="1">
        <f t="shared" si="0"/>
        <v>0</v>
      </c>
      <c r="I8" s="1" t="e">
        <f t="shared" si="4"/>
        <v>#N/A</v>
      </c>
      <c r="J8" s="1" t="e">
        <f t="shared" si="1"/>
        <v>#N/A</v>
      </c>
      <c r="K8" s="1" t="e">
        <f t="shared" si="5"/>
        <v>#N/A</v>
      </c>
      <c r="L8" s="8" t="e" cm="1">
        <f t="array" ref="L8">IF(I8="","", IFERROR(((IF(I$5&lt;&gt;"", I$5*A$5, 0) + SUMPRODUCT(--(I$6:I8&lt;&gt;""), I$6:I8, (A$6:A8-A$5:A7)))/1000)/H$3, ""))</f>
        <v>#N/A</v>
      </c>
      <c r="M8" s="1">
        <f t="shared" si="6"/>
        <v>80</v>
      </c>
      <c r="N8" s="1">
        <f t="shared" si="7"/>
        <v>0</v>
      </c>
      <c r="U8" s="1" t="e">
        <f t="shared" si="8"/>
        <v>#N/A</v>
      </c>
      <c r="V8" s="1" t="e">
        <f t="shared" si="2"/>
        <v>#N/A</v>
      </c>
      <c r="W8" s="1" t="e">
        <f t="shared" si="9"/>
        <v>#N/A</v>
      </c>
      <c r="X8" s="8" t="e" cm="1">
        <f t="array" ref="X8">IF(U8="","", IFERROR(((IF(U$5&lt;&gt;"", U$5*M$5, 0) + SUMPRODUCT(--(U$6:U8&lt;&gt;""), U$6:U8, (M$6:M8-M$5:M7)))/1000)/T$3, ""))</f>
        <v>#N/A</v>
      </c>
    </row>
    <row r="9" spans="1:24" x14ac:dyDescent="0.25">
      <c r="A9" s="1">
        <f t="shared" si="3"/>
        <v>100</v>
      </c>
      <c r="B9" s="1">
        <f t="shared" si="0"/>
        <v>0</v>
      </c>
      <c r="I9" s="1" t="e">
        <f t="shared" si="4"/>
        <v>#N/A</v>
      </c>
      <c r="J9" s="1" t="e">
        <f t="shared" si="1"/>
        <v>#N/A</v>
      </c>
      <c r="K9" s="1" t="e">
        <f t="shared" si="5"/>
        <v>#N/A</v>
      </c>
      <c r="L9" s="8" t="e" cm="1">
        <f t="array" ref="L9">IF(I9="","", IFERROR(((IF(I$5&lt;&gt;"", I$5*A$5, 0) + SUMPRODUCT(--(I$6:I9&lt;&gt;""), I$6:I9, (A$6:A9-A$5:A8)))/1000)/H$3, ""))</f>
        <v>#N/A</v>
      </c>
      <c r="M9" s="1">
        <f t="shared" si="6"/>
        <v>100</v>
      </c>
      <c r="N9" s="1">
        <f t="shared" si="7"/>
        <v>0</v>
      </c>
      <c r="U9" s="1" t="e">
        <f t="shared" si="8"/>
        <v>#N/A</v>
      </c>
      <c r="V9" s="1" t="e">
        <f t="shared" si="2"/>
        <v>#N/A</v>
      </c>
      <c r="W9" s="1" t="e">
        <f t="shared" si="9"/>
        <v>#N/A</v>
      </c>
      <c r="X9" s="8" t="e" cm="1">
        <f t="array" ref="X9">IF(U9="","", IFERROR(((IF(U$5&lt;&gt;"", U$5*M$5, 0) + SUMPRODUCT(--(U$6:U9&lt;&gt;""), U$6:U9, (M$6:M9-M$5:M8)))/1000)/T$3, ""))</f>
        <v>#N/A</v>
      </c>
    </row>
    <row r="10" spans="1:24" x14ac:dyDescent="0.25">
      <c r="A10" s="1">
        <f t="shared" si="3"/>
        <v>120</v>
      </c>
      <c r="B10" s="1">
        <f t="shared" si="0"/>
        <v>0</v>
      </c>
      <c r="I10" s="1" t="e">
        <f t="shared" si="4"/>
        <v>#N/A</v>
      </c>
      <c r="J10" s="1" t="e">
        <f t="shared" si="1"/>
        <v>#N/A</v>
      </c>
      <c r="K10" s="1" t="e">
        <f t="shared" si="5"/>
        <v>#N/A</v>
      </c>
      <c r="L10" s="8" t="e" cm="1">
        <f t="array" ref="L10">IF(I10="","", IFERROR(((IF(I$5&lt;&gt;"", I$5*A$5, 0) + SUMPRODUCT(--(I$6:I10&lt;&gt;""), I$6:I10, (A$6:A10-A$5:A9)))/1000)/H$3, ""))</f>
        <v>#N/A</v>
      </c>
      <c r="M10" s="1">
        <f t="shared" si="6"/>
        <v>120</v>
      </c>
      <c r="N10" s="1">
        <f t="shared" si="7"/>
        <v>0</v>
      </c>
      <c r="U10" s="1" t="e">
        <f t="shared" si="8"/>
        <v>#N/A</v>
      </c>
      <c r="V10" s="1" t="e">
        <f t="shared" si="2"/>
        <v>#N/A</v>
      </c>
      <c r="W10" s="1" t="e">
        <f t="shared" si="9"/>
        <v>#N/A</v>
      </c>
      <c r="X10" s="8" t="e" cm="1">
        <f t="array" ref="X10">IF(U10="","", IFERROR(((IF(U$5&lt;&gt;"", U$5*M$5, 0) + SUMPRODUCT(--(U$6:U10&lt;&gt;""), U$6:U10, (M$6:M10-M$5:M9)))/1000)/T$3, ""))</f>
        <v>#N/A</v>
      </c>
    </row>
    <row r="11" spans="1:24" x14ac:dyDescent="0.25">
      <c r="A11" s="1">
        <f t="shared" si="3"/>
        <v>140</v>
      </c>
      <c r="B11" s="1">
        <f t="shared" ref="B11:B70" si="10">C10</f>
        <v>0</v>
      </c>
      <c r="I11" s="1" t="e">
        <f t="shared" si="4"/>
        <v>#N/A</v>
      </c>
      <c r="J11" s="1" t="e">
        <f t="shared" si="1"/>
        <v>#N/A</v>
      </c>
      <c r="K11" s="1" t="e">
        <f t="shared" si="5"/>
        <v>#N/A</v>
      </c>
      <c r="L11" s="8" t="e" cm="1">
        <f t="array" ref="L11">IF(I11="","", IFERROR(((IF(I$5&lt;&gt;"", I$5*A$5, 0) + SUMPRODUCT(--(I$6:I11&lt;&gt;""), I$6:I11, (A$6:A11-A$5:A10)))/1000)/H$3, ""))</f>
        <v>#N/A</v>
      </c>
      <c r="M11" s="1">
        <f t="shared" si="6"/>
        <v>140</v>
      </c>
      <c r="N11" s="1">
        <f t="shared" si="7"/>
        <v>0</v>
      </c>
      <c r="U11" s="1" t="e">
        <f t="shared" si="8"/>
        <v>#N/A</v>
      </c>
      <c r="V11" s="1" t="e">
        <f t="shared" si="2"/>
        <v>#N/A</v>
      </c>
      <c r="W11" s="1" t="e">
        <f t="shared" si="9"/>
        <v>#N/A</v>
      </c>
      <c r="X11" s="8" t="e" cm="1">
        <f t="array" ref="X11">IF(U11="","", IFERROR(((IF(U$5&lt;&gt;"", U$5*M$5, 0) + SUMPRODUCT(--(U$6:U11&lt;&gt;""), U$6:U11, (M$6:M11-M$5:M10)))/1000)/T$3, ""))</f>
        <v>#N/A</v>
      </c>
    </row>
    <row r="12" spans="1:24" x14ac:dyDescent="0.25">
      <c r="A12" s="1">
        <f t="shared" si="3"/>
        <v>160</v>
      </c>
      <c r="B12" s="1">
        <f t="shared" si="10"/>
        <v>0</v>
      </c>
      <c r="I12" s="1" t="e">
        <f t="shared" si="4"/>
        <v>#N/A</v>
      </c>
      <c r="J12" s="1" t="e">
        <f t="shared" si="1"/>
        <v>#N/A</v>
      </c>
      <c r="K12" s="1" t="e">
        <f t="shared" si="5"/>
        <v>#N/A</v>
      </c>
      <c r="L12" s="8" t="e" cm="1">
        <f t="array" ref="L12">IF(I12="","", IFERROR(((IF(I$5&lt;&gt;"", I$5*A$5, 0) + SUMPRODUCT(--(I$6:I12&lt;&gt;""), I$6:I12, (A$6:A12-A$5:A11)))/1000)/H$3, ""))</f>
        <v>#N/A</v>
      </c>
      <c r="M12" s="1">
        <f t="shared" si="6"/>
        <v>160</v>
      </c>
      <c r="N12" s="1">
        <f t="shared" si="7"/>
        <v>0</v>
      </c>
      <c r="U12" s="1" t="e">
        <f t="shared" si="8"/>
        <v>#N/A</v>
      </c>
      <c r="V12" s="1" t="e">
        <f t="shared" si="2"/>
        <v>#N/A</v>
      </c>
      <c r="W12" s="1" t="e">
        <f t="shared" si="9"/>
        <v>#N/A</v>
      </c>
      <c r="X12" s="8" t="e" cm="1">
        <f t="array" ref="X12">IF(U12="","", IFERROR(((IF(U$5&lt;&gt;"", U$5*M$5, 0) + SUMPRODUCT(--(U$6:U12&lt;&gt;""), U$6:U12, (M$6:M12-M$5:M11)))/1000)/T$3, ""))</f>
        <v>#N/A</v>
      </c>
    </row>
    <row r="13" spans="1:24" x14ac:dyDescent="0.25">
      <c r="A13" s="1">
        <f t="shared" si="3"/>
        <v>180</v>
      </c>
      <c r="B13" s="1">
        <f t="shared" si="10"/>
        <v>0</v>
      </c>
      <c r="I13" s="1" t="e">
        <f t="shared" si="4"/>
        <v>#N/A</v>
      </c>
      <c r="J13" s="1" t="e">
        <f t="shared" si="1"/>
        <v>#N/A</v>
      </c>
      <c r="K13" s="1" t="e">
        <f t="shared" si="5"/>
        <v>#N/A</v>
      </c>
      <c r="L13" s="8" t="e" cm="1">
        <f t="array" ref="L13">IF(I13="","", IFERROR(((IF(I$5&lt;&gt;"", I$5*A$5, 0) + SUMPRODUCT(--(I$6:I13&lt;&gt;""), I$6:I13, (A$6:A13-A$5:A12)))/1000)/H$3, ""))</f>
        <v>#N/A</v>
      </c>
      <c r="M13" s="1">
        <f t="shared" si="6"/>
        <v>180</v>
      </c>
      <c r="N13" s="1">
        <f t="shared" si="7"/>
        <v>0</v>
      </c>
      <c r="U13" s="1" t="e">
        <f t="shared" si="8"/>
        <v>#N/A</v>
      </c>
      <c r="V13" s="1" t="e">
        <f t="shared" si="2"/>
        <v>#N/A</v>
      </c>
      <c r="W13" s="1" t="e">
        <f t="shared" si="9"/>
        <v>#N/A</v>
      </c>
      <c r="X13" s="8" t="e" cm="1">
        <f t="array" ref="X13">IF(U13="","", IFERROR(((IF(U$5&lt;&gt;"", U$5*M$5, 0) + SUMPRODUCT(--(U$6:U13&lt;&gt;""), U$6:U13, (M$6:M13-M$5:M12)))/1000)/T$3, ""))</f>
        <v>#N/A</v>
      </c>
    </row>
    <row r="14" spans="1:24" x14ac:dyDescent="0.25">
      <c r="A14" s="1">
        <f t="shared" si="3"/>
        <v>200</v>
      </c>
      <c r="B14" s="1">
        <f t="shared" si="10"/>
        <v>0</v>
      </c>
      <c r="I14" s="1" t="e">
        <f t="shared" si="4"/>
        <v>#N/A</v>
      </c>
      <c r="J14" s="1" t="e">
        <f t="shared" si="1"/>
        <v>#N/A</v>
      </c>
      <c r="K14" s="1" t="e">
        <f t="shared" si="5"/>
        <v>#N/A</v>
      </c>
      <c r="L14" s="8" t="e" cm="1">
        <f t="array" ref="L14">IF(I14="","", IFERROR(((IF(I$5&lt;&gt;"", I$5*A$5, 0) + SUMPRODUCT(--(I$6:I14&lt;&gt;""), I$6:I14, (A$6:A14-A$5:A13)))/1000)/H$3, ""))</f>
        <v>#N/A</v>
      </c>
      <c r="M14" s="1">
        <f t="shared" si="6"/>
        <v>200</v>
      </c>
      <c r="N14" s="1">
        <f t="shared" si="7"/>
        <v>0</v>
      </c>
      <c r="U14" s="1" t="e">
        <f t="shared" si="8"/>
        <v>#N/A</v>
      </c>
      <c r="V14" s="1" t="e">
        <f t="shared" si="2"/>
        <v>#N/A</v>
      </c>
      <c r="W14" s="1" t="e">
        <f t="shared" si="9"/>
        <v>#N/A</v>
      </c>
      <c r="X14" s="8" t="e" cm="1">
        <f t="array" ref="X14">IF(U14="","", IFERROR(((IF(U$5&lt;&gt;"", U$5*M$5, 0) + SUMPRODUCT(--(U$6:U14&lt;&gt;""), U$6:U14, (M$6:M14-M$5:M13)))/1000)/T$3, ""))</f>
        <v>#N/A</v>
      </c>
    </row>
    <row r="15" spans="1:24" x14ac:dyDescent="0.25">
      <c r="A15" s="1">
        <f t="shared" si="3"/>
        <v>220</v>
      </c>
      <c r="B15" s="1">
        <f t="shared" si="10"/>
        <v>0</v>
      </c>
      <c r="I15" s="1" t="e">
        <f t="shared" si="4"/>
        <v>#N/A</v>
      </c>
      <c r="J15" s="1" t="e">
        <f t="shared" si="1"/>
        <v>#N/A</v>
      </c>
      <c r="K15" s="1" t="e">
        <f t="shared" si="5"/>
        <v>#N/A</v>
      </c>
      <c r="L15" s="8" t="e" cm="1">
        <f t="array" ref="L15">IF(I15="","", IFERROR(((IF(I$5&lt;&gt;"", I$5*A$5, 0) + SUMPRODUCT(--(I$6:I15&lt;&gt;""), I$6:I15, (A$6:A15-A$5:A14)))/1000)/H$3, ""))</f>
        <v>#N/A</v>
      </c>
      <c r="M15" s="1">
        <f t="shared" si="6"/>
        <v>220</v>
      </c>
      <c r="N15" s="1">
        <f t="shared" si="7"/>
        <v>0</v>
      </c>
      <c r="U15" s="1" t="e">
        <f t="shared" si="8"/>
        <v>#N/A</v>
      </c>
      <c r="V15" s="1" t="e">
        <f t="shared" si="2"/>
        <v>#N/A</v>
      </c>
      <c r="W15" s="1" t="e">
        <f t="shared" si="9"/>
        <v>#N/A</v>
      </c>
      <c r="X15" s="8" t="e" cm="1">
        <f t="array" ref="X15">IF(U15="","", IFERROR(((IF(U$5&lt;&gt;"", U$5*M$5, 0) + SUMPRODUCT(--(U$6:U15&lt;&gt;""), U$6:U15, (M$6:M15-M$5:M14)))/1000)/T$3, ""))</f>
        <v>#N/A</v>
      </c>
    </row>
    <row r="16" spans="1:24" x14ac:dyDescent="0.25">
      <c r="A16" s="1">
        <f t="shared" si="3"/>
        <v>240</v>
      </c>
      <c r="B16" s="1">
        <f t="shared" si="10"/>
        <v>0</v>
      </c>
      <c r="I16" s="1" t="e">
        <f t="shared" si="4"/>
        <v>#N/A</v>
      </c>
      <c r="J16" s="1" t="e">
        <f t="shared" si="1"/>
        <v>#N/A</v>
      </c>
      <c r="K16" s="1" t="e">
        <f t="shared" si="5"/>
        <v>#N/A</v>
      </c>
      <c r="L16" s="8" t="e" cm="1">
        <f t="array" ref="L16">IF(I16="","", IFERROR(((IF(I$5&lt;&gt;"", I$5*A$5, 0) + SUMPRODUCT(--(I$6:I16&lt;&gt;""), I$6:I16, (A$6:A16-A$5:A15)))/1000)/H$3, ""))</f>
        <v>#N/A</v>
      </c>
      <c r="M16" s="1">
        <f t="shared" si="6"/>
        <v>240</v>
      </c>
      <c r="N16" s="1">
        <f t="shared" si="7"/>
        <v>0</v>
      </c>
      <c r="U16" s="1" t="e">
        <f t="shared" si="8"/>
        <v>#N/A</v>
      </c>
      <c r="V16" s="1" t="e">
        <f t="shared" si="2"/>
        <v>#N/A</v>
      </c>
      <c r="W16" s="1" t="e">
        <f t="shared" si="9"/>
        <v>#N/A</v>
      </c>
      <c r="X16" s="8" t="e" cm="1">
        <f t="array" ref="X16">IF(U16="","", IFERROR(((IF(U$5&lt;&gt;"", U$5*M$5, 0) + SUMPRODUCT(--(U$6:U16&lt;&gt;""), U$6:U16, (M$6:M16-M$5:M15)))/1000)/T$3, ""))</f>
        <v>#N/A</v>
      </c>
    </row>
    <row r="17" spans="1:24" x14ac:dyDescent="0.25">
      <c r="A17" s="1">
        <f t="shared" si="3"/>
        <v>260</v>
      </c>
      <c r="B17" s="1">
        <f t="shared" si="10"/>
        <v>0</v>
      </c>
      <c r="I17" s="1" t="e">
        <f t="shared" si="4"/>
        <v>#N/A</v>
      </c>
      <c r="J17" s="1" t="e">
        <f t="shared" si="1"/>
        <v>#N/A</v>
      </c>
      <c r="K17" s="1" t="e">
        <f t="shared" si="5"/>
        <v>#N/A</v>
      </c>
      <c r="L17" s="8" t="e" cm="1">
        <f t="array" ref="L17">IF(I17="","", IFERROR(((IF(I$5&lt;&gt;"", I$5*A$5, 0) + SUMPRODUCT(--(I$6:I17&lt;&gt;""), I$6:I17, (A$6:A17-A$5:A16)))/1000)/H$3, ""))</f>
        <v>#N/A</v>
      </c>
      <c r="M17" s="1">
        <f t="shared" si="6"/>
        <v>260</v>
      </c>
      <c r="N17" s="1">
        <f t="shared" si="7"/>
        <v>0</v>
      </c>
      <c r="U17" s="1" t="e">
        <f t="shared" si="8"/>
        <v>#N/A</v>
      </c>
      <c r="V17" s="1" t="e">
        <f t="shared" si="2"/>
        <v>#N/A</v>
      </c>
      <c r="W17" s="1" t="e">
        <f t="shared" si="9"/>
        <v>#N/A</v>
      </c>
      <c r="X17" s="8" t="e" cm="1">
        <f t="array" ref="X17">IF(U17="","", IFERROR(((IF(U$5&lt;&gt;"", U$5*M$5, 0) + SUMPRODUCT(--(U$6:U17&lt;&gt;""), U$6:U17, (M$6:M17-M$5:M16)))/1000)/T$3, ""))</f>
        <v>#N/A</v>
      </c>
    </row>
    <row r="18" spans="1:24" x14ac:dyDescent="0.25">
      <c r="A18" s="1">
        <f t="shared" si="3"/>
        <v>280</v>
      </c>
      <c r="B18" s="1">
        <f t="shared" si="10"/>
        <v>0</v>
      </c>
      <c r="I18" s="1" t="e">
        <f t="shared" si="4"/>
        <v>#N/A</v>
      </c>
      <c r="J18" s="1" t="e">
        <f t="shared" si="1"/>
        <v>#N/A</v>
      </c>
      <c r="K18" s="1" t="e">
        <f t="shared" si="5"/>
        <v>#N/A</v>
      </c>
      <c r="L18" s="8" t="e" cm="1">
        <f t="array" ref="L18">IF(I18="","", IFERROR(((IF(I$5&lt;&gt;"", I$5*A$5, 0) + SUMPRODUCT(--(I$6:I18&lt;&gt;""), I$6:I18, (A$6:A18-A$5:A17)))/1000)/H$3, ""))</f>
        <v>#N/A</v>
      </c>
      <c r="M18" s="1">
        <f t="shared" si="6"/>
        <v>280</v>
      </c>
      <c r="N18" s="1">
        <f t="shared" si="7"/>
        <v>0</v>
      </c>
      <c r="U18" s="1" t="e">
        <f t="shared" si="8"/>
        <v>#N/A</v>
      </c>
      <c r="V18" s="1" t="e">
        <f t="shared" si="2"/>
        <v>#N/A</v>
      </c>
      <c r="W18" s="1" t="e">
        <f t="shared" si="9"/>
        <v>#N/A</v>
      </c>
      <c r="X18" s="8" t="e" cm="1">
        <f t="array" ref="X18">IF(U18="","", IFERROR(((IF(U$5&lt;&gt;"", U$5*M$5, 0) + SUMPRODUCT(--(U$6:U18&lt;&gt;""), U$6:U18, (M$6:M18-M$5:M17)))/1000)/T$3, ""))</f>
        <v>#N/A</v>
      </c>
    </row>
    <row r="19" spans="1:24" x14ac:dyDescent="0.25">
      <c r="A19" s="1">
        <f t="shared" si="3"/>
        <v>300</v>
      </c>
      <c r="B19" s="1">
        <f t="shared" si="10"/>
        <v>0</v>
      </c>
      <c r="I19" s="1" t="e">
        <f t="shared" si="4"/>
        <v>#N/A</v>
      </c>
      <c r="J19" s="1" t="e">
        <f t="shared" si="1"/>
        <v>#N/A</v>
      </c>
      <c r="K19" s="1" t="e">
        <f t="shared" si="5"/>
        <v>#N/A</v>
      </c>
      <c r="L19" s="8" t="e" cm="1">
        <f t="array" ref="L19">IF(I19="","", IFERROR(((IF(I$5&lt;&gt;"", I$5*A$5, 0) + SUMPRODUCT(--(I$6:I19&lt;&gt;""), I$6:I19, (A$6:A19-A$5:A18)))/1000)/H$3, ""))</f>
        <v>#N/A</v>
      </c>
      <c r="M19" s="1">
        <f t="shared" si="6"/>
        <v>300</v>
      </c>
      <c r="N19" s="1">
        <f t="shared" si="7"/>
        <v>0</v>
      </c>
      <c r="U19" s="1" t="e">
        <f t="shared" si="8"/>
        <v>#N/A</v>
      </c>
      <c r="V19" s="1" t="e">
        <f t="shared" si="2"/>
        <v>#N/A</v>
      </c>
      <c r="W19" s="1" t="e">
        <f t="shared" si="9"/>
        <v>#N/A</v>
      </c>
      <c r="X19" s="8" t="e" cm="1">
        <f t="array" ref="X19">IF(U19="","", IFERROR(((IF(U$5&lt;&gt;"", U$5*M$5, 0) + SUMPRODUCT(--(U$6:U19&lt;&gt;""), U$6:U19, (M$6:M19-M$5:M18)))/1000)/T$3, ""))</f>
        <v>#N/A</v>
      </c>
    </row>
    <row r="20" spans="1:24" x14ac:dyDescent="0.25">
      <c r="A20" s="1">
        <f t="shared" si="3"/>
        <v>320</v>
      </c>
      <c r="B20" s="1">
        <f t="shared" si="10"/>
        <v>0</v>
      </c>
      <c r="I20" s="1" t="e">
        <f t="shared" si="4"/>
        <v>#N/A</v>
      </c>
      <c r="J20" s="1" t="e">
        <f t="shared" si="1"/>
        <v>#N/A</v>
      </c>
      <c r="K20" s="1" t="e">
        <f t="shared" si="5"/>
        <v>#N/A</v>
      </c>
      <c r="L20" s="8" t="e" cm="1">
        <f t="array" ref="L20">IF(I20="","", IFERROR(((IF(I$5&lt;&gt;"", I$5*A$5, 0) + SUMPRODUCT(--(I$6:I20&lt;&gt;""), I$6:I20, (A$6:A20-A$5:A19)))/1000)/H$3, ""))</f>
        <v>#N/A</v>
      </c>
      <c r="M20" s="1">
        <f t="shared" si="6"/>
        <v>320</v>
      </c>
      <c r="N20" s="1">
        <f t="shared" si="7"/>
        <v>0</v>
      </c>
      <c r="U20" s="1" t="e">
        <f t="shared" si="8"/>
        <v>#N/A</v>
      </c>
      <c r="V20" s="1" t="e">
        <f t="shared" si="2"/>
        <v>#N/A</v>
      </c>
      <c r="W20" s="1" t="e">
        <f t="shared" si="9"/>
        <v>#N/A</v>
      </c>
      <c r="X20" s="8" t="e" cm="1">
        <f t="array" ref="X20">IF(U20="","", IFERROR(((IF(U$5&lt;&gt;"", U$5*M$5, 0) + SUMPRODUCT(--(U$6:U20&lt;&gt;""), U$6:U20, (M$6:M20-M$5:M19)))/1000)/T$3, ""))</f>
        <v>#N/A</v>
      </c>
    </row>
    <row r="21" spans="1:24" x14ac:dyDescent="0.25">
      <c r="A21" s="1">
        <f t="shared" si="3"/>
        <v>340</v>
      </c>
      <c r="B21" s="1">
        <f t="shared" si="10"/>
        <v>0</v>
      </c>
      <c r="I21" s="1" t="e">
        <f t="shared" si="4"/>
        <v>#N/A</v>
      </c>
      <c r="J21" s="1" t="e">
        <f t="shared" si="1"/>
        <v>#N/A</v>
      </c>
      <c r="K21" s="1" t="e">
        <f t="shared" si="5"/>
        <v>#N/A</v>
      </c>
      <c r="L21" s="8" t="e" cm="1">
        <f t="array" ref="L21">IF(I21="","", IFERROR(((IF(I$5&lt;&gt;"", I$5*A$5, 0) + SUMPRODUCT(--(I$6:I21&lt;&gt;""), I$6:I21, (A$6:A21-A$5:A20)))/1000)/H$3, ""))</f>
        <v>#N/A</v>
      </c>
      <c r="M21" s="1">
        <f t="shared" si="6"/>
        <v>340</v>
      </c>
      <c r="N21" s="1">
        <f t="shared" si="7"/>
        <v>0</v>
      </c>
      <c r="U21" s="1" t="e">
        <f t="shared" si="8"/>
        <v>#N/A</v>
      </c>
      <c r="V21" s="1" t="e">
        <f t="shared" si="2"/>
        <v>#N/A</v>
      </c>
      <c r="W21" s="1" t="e">
        <f t="shared" si="9"/>
        <v>#N/A</v>
      </c>
      <c r="X21" s="8" t="e" cm="1">
        <f t="array" ref="X21">IF(U21="","", IFERROR(((IF(U$5&lt;&gt;"", U$5*M$5, 0) + SUMPRODUCT(--(U$6:U21&lt;&gt;""), U$6:U21, (M$6:M21-M$5:M20)))/1000)/T$3, ""))</f>
        <v>#N/A</v>
      </c>
    </row>
    <row r="22" spans="1:24" x14ac:dyDescent="0.25">
      <c r="A22" s="1">
        <f t="shared" si="3"/>
        <v>360</v>
      </c>
      <c r="B22" s="1">
        <f t="shared" si="10"/>
        <v>0</v>
      </c>
      <c r="I22" s="1" t="e">
        <f t="shared" si="4"/>
        <v>#N/A</v>
      </c>
      <c r="J22" s="1" t="e">
        <f t="shared" si="1"/>
        <v>#N/A</v>
      </c>
      <c r="K22" s="1" t="e">
        <f t="shared" si="5"/>
        <v>#N/A</v>
      </c>
      <c r="L22" s="8" t="e" cm="1">
        <f t="array" ref="L22">IF(I22="","", IFERROR(((IF(I$5&lt;&gt;"", I$5*A$5, 0) + SUMPRODUCT(--(I$6:I22&lt;&gt;""), I$6:I22, (A$6:A22-A$5:A21)))/1000)/H$3, ""))</f>
        <v>#N/A</v>
      </c>
      <c r="M22" s="1">
        <f t="shared" si="6"/>
        <v>360</v>
      </c>
      <c r="N22" s="1">
        <f t="shared" si="7"/>
        <v>0</v>
      </c>
      <c r="U22" s="1" t="e">
        <f t="shared" si="8"/>
        <v>#N/A</v>
      </c>
      <c r="V22" s="1" t="e">
        <f t="shared" si="2"/>
        <v>#N/A</v>
      </c>
      <c r="W22" s="1" t="e">
        <f t="shared" si="9"/>
        <v>#N/A</v>
      </c>
      <c r="X22" s="8" t="e" cm="1">
        <f t="array" ref="X22">IF(U22="","", IFERROR(((IF(U$5&lt;&gt;"", U$5*M$5, 0) + SUMPRODUCT(--(U$6:U22&lt;&gt;""), U$6:U22, (M$6:M22-M$5:M21)))/1000)/T$3, ""))</f>
        <v>#N/A</v>
      </c>
    </row>
    <row r="23" spans="1:24" x14ac:dyDescent="0.25">
      <c r="A23" s="1">
        <f t="shared" si="3"/>
        <v>380</v>
      </c>
      <c r="B23" s="1">
        <f t="shared" si="10"/>
        <v>0</v>
      </c>
      <c r="I23" s="1" t="e">
        <f t="shared" si="4"/>
        <v>#N/A</v>
      </c>
      <c r="J23" s="1" t="e">
        <f t="shared" si="1"/>
        <v>#N/A</v>
      </c>
      <c r="K23" s="1" t="e">
        <f t="shared" si="5"/>
        <v>#N/A</v>
      </c>
      <c r="L23" s="8" t="e" cm="1">
        <f t="array" ref="L23">IF(I23="","", IFERROR(((IF(I$5&lt;&gt;"", I$5*A$5, 0) + SUMPRODUCT(--(I$6:I23&lt;&gt;""), I$6:I23, (A$6:A23-A$5:A22)))/1000)/H$3, ""))</f>
        <v>#N/A</v>
      </c>
      <c r="M23" s="1">
        <f t="shared" si="6"/>
        <v>380</v>
      </c>
      <c r="N23" s="1">
        <f t="shared" si="7"/>
        <v>0</v>
      </c>
      <c r="U23" s="1" t="e">
        <f t="shared" si="8"/>
        <v>#N/A</v>
      </c>
      <c r="V23" s="1" t="e">
        <f t="shared" si="2"/>
        <v>#N/A</v>
      </c>
      <c r="W23" s="1" t="e">
        <f t="shared" si="9"/>
        <v>#N/A</v>
      </c>
      <c r="X23" s="8" t="e" cm="1">
        <f t="array" ref="X23">IF(U23="","", IFERROR(((IF(U$5&lt;&gt;"", U$5*M$5, 0) + SUMPRODUCT(--(U$6:U23&lt;&gt;""), U$6:U23, (M$6:M23-M$5:M22)))/1000)/T$3, ""))</f>
        <v>#N/A</v>
      </c>
    </row>
    <row r="24" spans="1:24" x14ac:dyDescent="0.25">
      <c r="A24" s="1">
        <f t="shared" si="3"/>
        <v>400</v>
      </c>
      <c r="B24" s="1">
        <f t="shared" si="10"/>
        <v>0</v>
      </c>
      <c r="I24" s="1" t="e">
        <f t="shared" si="4"/>
        <v>#N/A</v>
      </c>
      <c r="J24" s="1" t="e">
        <f t="shared" si="1"/>
        <v>#N/A</v>
      </c>
      <c r="K24" s="1" t="e">
        <f t="shared" si="5"/>
        <v>#N/A</v>
      </c>
      <c r="L24" s="8" t="e" cm="1">
        <f t="array" ref="L24">IF(I24="","", IFERROR(((IF(I$5&lt;&gt;"", I$5*A$5, 0) + SUMPRODUCT(--(I$6:I24&lt;&gt;""), I$6:I24, (A$6:A24-A$5:A23)))/1000)/H$3, ""))</f>
        <v>#N/A</v>
      </c>
      <c r="M24" s="1">
        <f t="shared" si="6"/>
        <v>400</v>
      </c>
      <c r="N24" s="1">
        <f t="shared" si="7"/>
        <v>0</v>
      </c>
      <c r="U24" s="1" t="e">
        <f t="shared" si="8"/>
        <v>#N/A</v>
      </c>
      <c r="V24" s="1" t="e">
        <f t="shared" si="2"/>
        <v>#N/A</v>
      </c>
      <c r="W24" s="1" t="e">
        <f t="shared" si="9"/>
        <v>#N/A</v>
      </c>
      <c r="X24" s="8" t="e" cm="1">
        <f t="array" ref="X24">IF(U24="","", IFERROR(((IF(U$5&lt;&gt;"", U$5*M$5, 0) + SUMPRODUCT(--(U$6:U24&lt;&gt;""), U$6:U24, (M$6:M24-M$5:M23)))/1000)/T$3, ""))</f>
        <v>#N/A</v>
      </c>
    </row>
    <row r="25" spans="1:24" x14ac:dyDescent="0.25">
      <c r="A25" s="1">
        <f t="shared" si="3"/>
        <v>420</v>
      </c>
      <c r="B25" s="1">
        <f t="shared" si="10"/>
        <v>0</v>
      </c>
      <c r="I25" s="1" t="e">
        <f t="shared" si="4"/>
        <v>#N/A</v>
      </c>
      <c r="J25" s="1" t="e">
        <f t="shared" si="1"/>
        <v>#N/A</v>
      </c>
      <c r="K25" s="1" t="e">
        <f t="shared" si="5"/>
        <v>#N/A</v>
      </c>
      <c r="L25" s="8" t="e" cm="1">
        <f t="array" ref="L25">IF(I25="","", IFERROR(((IF(I$5&lt;&gt;"", I$5*A$5, 0) + SUMPRODUCT(--(I$6:I25&lt;&gt;""), I$6:I25, (A$6:A25-A$5:A24)))/1000)/H$3, ""))</f>
        <v>#N/A</v>
      </c>
      <c r="M25" s="1">
        <f t="shared" si="6"/>
        <v>420</v>
      </c>
      <c r="N25" s="1">
        <f t="shared" si="7"/>
        <v>0</v>
      </c>
      <c r="U25" s="1" t="e">
        <f t="shared" si="8"/>
        <v>#N/A</v>
      </c>
      <c r="V25" s="1" t="e">
        <f t="shared" si="2"/>
        <v>#N/A</v>
      </c>
      <c r="W25" s="1" t="e">
        <f t="shared" si="9"/>
        <v>#N/A</v>
      </c>
      <c r="X25" s="8" t="e" cm="1">
        <f t="array" ref="X25">IF(U25="","", IFERROR(((IF(U$5&lt;&gt;"", U$5*M$5, 0) + SUMPRODUCT(--(U$6:U25&lt;&gt;""), U$6:U25, (M$6:M25-M$5:M24)))/1000)/T$3, ""))</f>
        <v>#N/A</v>
      </c>
    </row>
    <row r="26" spans="1:24" x14ac:dyDescent="0.25">
      <c r="A26" s="1">
        <f t="shared" si="3"/>
        <v>440</v>
      </c>
      <c r="B26" s="1">
        <f t="shared" si="10"/>
        <v>0</v>
      </c>
      <c r="I26" s="1" t="e">
        <f t="shared" si="4"/>
        <v>#N/A</v>
      </c>
      <c r="J26" s="1" t="e">
        <f t="shared" si="1"/>
        <v>#N/A</v>
      </c>
      <c r="K26" s="1" t="e">
        <f t="shared" si="5"/>
        <v>#N/A</v>
      </c>
      <c r="L26" s="8" t="e" cm="1">
        <f t="array" ref="L26">IF(I26="","", IFERROR(((IF(I$5&lt;&gt;"", I$5*A$5, 0) + SUMPRODUCT(--(I$6:I26&lt;&gt;""), I$6:I26, (A$6:A26-A$5:A25)))/1000)/H$3, ""))</f>
        <v>#N/A</v>
      </c>
      <c r="M26" s="1">
        <f t="shared" si="6"/>
        <v>440</v>
      </c>
      <c r="N26" s="1">
        <f t="shared" si="7"/>
        <v>0</v>
      </c>
      <c r="U26" s="1" t="e">
        <f t="shared" si="8"/>
        <v>#N/A</v>
      </c>
      <c r="V26" s="1" t="e">
        <f t="shared" si="2"/>
        <v>#N/A</v>
      </c>
      <c r="W26" s="1" t="e">
        <f t="shared" si="9"/>
        <v>#N/A</v>
      </c>
      <c r="X26" s="8" t="e" cm="1">
        <f t="array" ref="X26">IF(U26="","", IFERROR(((IF(U$5&lt;&gt;"", U$5*M$5, 0) + SUMPRODUCT(--(U$6:U26&lt;&gt;""), U$6:U26, (M$6:M26-M$5:M25)))/1000)/T$3, ""))</f>
        <v>#N/A</v>
      </c>
    </row>
    <row r="27" spans="1:24" x14ac:dyDescent="0.25">
      <c r="A27" s="1">
        <f t="shared" si="3"/>
        <v>460</v>
      </c>
      <c r="B27" s="1">
        <f t="shared" si="10"/>
        <v>0</v>
      </c>
      <c r="I27" s="1" t="e">
        <f t="shared" si="4"/>
        <v>#N/A</v>
      </c>
      <c r="J27" s="1" t="e">
        <f t="shared" si="1"/>
        <v>#N/A</v>
      </c>
      <c r="K27" s="1" t="e">
        <f t="shared" si="5"/>
        <v>#N/A</v>
      </c>
      <c r="L27" s="8" t="e" cm="1">
        <f t="array" ref="L27">IF(I27="","", IFERROR(((IF(I$5&lt;&gt;"", I$5*A$5, 0) + SUMPRODUCT(--(I$6:I27&lt;&gt;""), I$6:I27, (A$6:A27-A$5:A26)))/1000)/H$3, ""))</f>
        <v>#N/A</v>
      </c>
      <c r="M27" s="1">
        <f t="shared" si="6"/>
        <v>460</v>
      </c>
      <c r="N27" s="1">
        <f t="shared" si="7"/>
        <v>0</v>
      </c>
      <c r="U27" s="1" t="e">
        <f t="shared" si="8"/>
        <v>#N/A</v>
      </c>
      <c r="V27" s="1" t="e">
        <f t="shared" si="2"/>
        <v>#N/A</v>
      </c>
      <c r="W27" s="1" t="e">
        <f t="shared" si="9"/>
        <v>#N/A</v>
      </c>
      <c r="X27" s="8" t="e" cm="1">
        <f t="array" ref="X27">IF(U27="","", IFERROR(((IF(U$5&lt;&gt;"", U$5*M$5, 0) + SUMPRODUCT(--(U$6:U27&lt;&gt;""), U$6:U27, (M$6:M27-M$5:M26)))/1000)/T$3, ""))</f>
        <v>#N/A</v>
      </c>
    </row>
    <row r="28" spans="1:24" x14ac:dyDescent="0.25">
      <c r="A28" s="1">
        <f t="shared" si="3"/>
        <v>480</v>
      </c>
      <c r="B28" s="1">
        <f t="shared" si="10"/>
        <v>0</v>
      </c>
      <c r="I28" s="1" t="e">
        <f t="shared" si="4"/>
        <v>#N/A</v>
      </c>
      <c r="J28" s="1" t="e">
        <f t="shared" si="1"/>
        <v>#N/A</v>
      </c>
      <c r="K28" s="1" t="e">
        <f t="shared" si="5"/>
        <v>#N/A</v>
      </c>
      <c r="L28" s="8" t="e" cm="1">
        <f t="array" ref="L28">IF(I28="","", IFERROR(((IF(I$5&lt;&gt;"", I$5*A$5, 0) + SUMPRODUCT(--(I$6:I28&lt;&gt;""), I$6:I28, (A$6:A28-A$5:A27)))/1000)/H$3, ""))</f>
        <v>#N/A</v>
      </c>
      <c r="M28" s="1">
        <f t="shared" si="6"/>
        <v>480</v>
      </c>
      <c r="N28" s="1">
        <f t="shared" si="7"/>
        <v>0</v>
      </c>
      <c r="U28" s="1" t="e">
        <f t="shared" si="8"/>
        <v>#N/A</v>
      </c>
      <c r="V28" s="1" t="e">
        <f t="shared" si="2"/>
        <v>#N/A</v>
      </c>
      <c r="W28" s="1" t="e">
        <f t="shared" si="9"/>
        <v>#N/A</v>
      </c>
      <c r="X28" s="8" t="e" cm="1">
        <f t="array" ref="X28">IF(U28="","", IFERROR(((IF(U$5&lt;&gt;"", U$5*M$5, 0) + SUMPRODUCT(--(U$6:U28&lt;&gt;""), U$6:U28, (M$6:M28-M$5:M27)))/1000)/T$3, ""))</f>
        <v>#N/A</v>
      </c>
    </row>
    <row r="29" spans="1:24" x14ac:dyDescent="0.25">
      <c r="A29" s="1">
        <f t="shared" si="3"/>
        <v>500</v>
      </c>
      <c r="B29" s="1">
        <f t="shared" si="10"/>
        <v>0</v>
      </c>
      <c r="F29" s="9"/>
      <c r="G29" s="9"/>
      <c r="H29" s="9"/>
      <c r="I29" s="1" t="e">
        <f t="shared" si="4"/>
        <v>#N/A</v>
      </c>
      <c r="J29" s="1" t="e">
        <f t="shared" si="1"/>
        <v>#N/A</v>
      </c>
      <c r="K29" s="1" t="e">
        <f t="shared" si="5"/>
        <v>#N/A</v>
      </c>
      <c r="L29" s="8" t="e" cm="1">
        <f t="array" ref="L29">IF(I29="","", IFERROR(((IF(I$5&lt;&gt;"", I$5*A$5, 0) + SUMPRODUCT(--(I$6:I29&lt;&gt;""), I$6:I29, (A$6:A29-A$5:A28)))/1000)/H$3, ""))</f>
        <v>#N/A</v>
      </c>
      <c r="M29" s="1">
        <f t="shared" si="6"/>
        <v>500</v>
      </c>
      <c r="N29" s="1">
        <f t="shared" si="7"/>
        <v>0</v>
      </c>
      <c r="R29" s="9"/>
      <c r="S29" s="9"/>
      <c r="T29" s="9"/>
      <c r="U29" s="1" t="e">
        <f t="shared" si="8"/>
        <v>#N/A</v>
      </c>
      <c r="V29" s="1" t="e">
        <f t="shared" si="2"/>
        <v>#N/A</v>
      </c>
      <c r="W29" s="1" t="e">
        <f t="shared" si="9"/>
        <v>#N/A</v>
      </c>
      <c r="X29" s="8" t="e" cm="1">
        <f t="array" ref="X29">IF(U29="","", IFERROR(((IF(U$5&lt;&gt;"", U$5*M$5, 0) + SUMPRODUCT(--(U$6:U29&lt;&gt;""), U$6:U29, (M$6:M29-M$5:M28)))/1000)/T$3, ""))</f>
        <v>#N/A</v>
      </c>
    </row>
    <row r="30" spans="1:24" x14ac:dyDescent="0.25">
      <c r="A30" s="1">
        <f t="shared" si="3"/>
        <v>520</v>
      </c>
      <c r="B30" s="1">
        <f t="shared" si="10"/>
        <v>0</v>
      </c>
      <c r="I30" s="1" t="e">
        <f t="shared" si="4"/>
        <v>#N/A</v>
      </c>
      <c r="J30" s="1" t="e">
        <f t="shared" si="1"/>
        <v>#N/A</v>
      </c>
      <c r="K30" s="1" t="e">
        <f t="shared" si="5"/>
        <v>#N/A</v>
      </c>
      <c r="L30" s="8" t="e" cm="1">
        <f t="array" ref="L30">IF(I30="","", IFERROR(((IF(I$5&lt;&gt;"", I$5*A$5, 0) + SUMPRODUCT(--(I$6:I30&lt;&gt;""), I$6:I30, (A$6:A30-A$5:A29)))/1000)/H$3, ""))</f>
        <v>#N/A</v>
      </c>
      <c r="M30" s="1">
        <f t="shared" si="6"/>
        <v>520</v>
      </c>
      <c r="N30" s="1">
        <f t="shared" si="7"/>
        <v>0</v>
      </c>
      <c r="U30" s="1" t="e">
        <f t="shared" si="8"/>
        <v>#N/A</v>
      </c>
      <c r="V30" s="1" t="e">
        <f t="shared" si="2"/>
        <v>#N/A</v>
      </c>
      <c r="W30" s="1" t="e">
        <f t="shared" si="9"/>
        <v>#N/A</v>
      </c>
      <c r="X30" s="8" t="e" cm="1">
        <f t="array" ref="X30">IF(U30="","", IFERROR(((IF(U$5&lt;&gt;"", U$5*M$5, 0) + SUMPRODUCT(--(U$6:U30&lt;&gt;""), U$6:U30, (M$6:M30-M$5:M29)))/1000)/T$3, ""))</f>
        <v>#N/A</v>
      </c>
    </row>
    <row r="31" spans="1:24" x14ac:dyDescent="0.25">
      <c r="A31" s="1">
        <f t="shared" si="3"/>
        <v>540</v>
      </c>
      <c r="B31" s="1">
        <f t="shared" si="10"/>
        <v>0</v>
      </c>
      <c r="I31" s="1" t="e">
        <f t="shared" si="4"/>
        <v>#N/A</v>
      </c>
      <c r="J31" s="1" t="e">
        <f t="shared" si="1"/>
        <v>#N/A</v>
      </c>
      <c r="K31" s="1" t="e">
        <f t="shared" si="5"/>
        <v>#N/A</v>
      </c>
      <c r="L31" s="8" t="e" cm="1">
        <f t="array" ref="L31">IF(I31="","", IFERROR(((IF(I$5&lt;&gt;"", I$5*A$5, 0) + SUMPRODUCT(--(I$6:I31&lt;&gt;""), I$6:I31, (A$6:A31-A$5:A30)))/1000)/H$3, ""))</f>
        <v>#N/A</v>
      </c>
      <c r="M31" s="1">
        <f t="shared" si="6"/>
        <v>540</v>
      </c>
      <c r="N31" s="1">
        <f t="shared" si="7"/>
        <v>0</v>
      </c>
      <c r="U31" s="1" t="e">
        <f t="shared" si="8"/>
        <v>#N/A</v>
      </c>
      <c r="V31" s="1" t="e">
        <f t="shared" si="2"/>
        <v>#N/A</v>
      </c>
      <c r="W31" s="1" t="e">
        <f t="shared" si="9"/>
        <v>#N/A</v>
      </c>
      <c r="X31" s="8" t="e" cm="1">
        <f t="array" ref="X31">IF(U31="","", IFERROR(((IF(U$5&lt;&gt;"", U$5*M$5, 0) + SUMPRODUCT(--(U$6:U31&lt;&gt;""), U$6:U31, (M$6:M31-M$5:M30)))/1000)/T$3, ""))</f>
        <v>#N/A</v>
      </c>
    </row>
    <row r="32" spans="1:24" x14ac:dyDescent="0.25">
      <c r="A32" s="1">
        <f t="shared" si="3"/>
        <v>560</v>
      </c>
      <c r="B32" s="1">
        <f t="shared" si="10"/>
        <v>0</v>
      </c>
      <c r="I32" s="1" t="e">
        <f t="shared" si="4"/>
        <v>#N/A</v>
      </c>
      <c r="J32" s="1" t="e">
        <f t="shared" si="1"/>
        <v>#N/A</v>
      </c>
      <c r="K32" s="1" t="e">
        <f t="shared" si="5"/>
        <v>#N/A</v>
      </c>
      <c r="L32" s="8" t="e" cm="1">
        <f t="array" ref="L32">IF(I32="","", IFERROR(((IF(I$5&lt;&gt;"", I$5*A$5, 0) + SUMPRODUCT(--(I$6:I32&lt;&gt;""), I$6:I32, (A$6:A32-A$5:A31)))/1000)/H$3, ""))</f>
        <v>#N/A</v>
      </c>
      <c r="M32" s="1">
        <f t="shared" si="6"/>
        <v>560</v>
      </c>
      <c r="N32" s="1">
        <f t="shared" si="7"/>
        <v>0</v>
      </c>
      <c r="U32" s="1" t="e">
        <f t="shared" si="8"/>
        <v>#N/A</v>
      </c>
      <c r="V32" s="1" t="e">
        <f t="shared" si="2"/>
        <v>#N/A</v>
      </c>
      <c r="W32" s="1" t="e">
        <f t="shared" si="9"/>
        <v>#N/A</v>
      </c>
      <c r="X32" s="8" t="e" cm="1">
        <f t="array" ref="X32">IF(U32="","", IFERROR(((IF(U$5&lt;&gt;"", U$5*M$5, 0) + SUMPRODUCT(--(U$6:U32&lt;&gt;""), U$6:U32, (M$6:M32-M$5:M31)))/1000)/T$3, ""))</f>
        <v>#N/A</v>
      </c>
    </row>
    <row r="33" spans="1:24" x14ac:dyDescent="0.25">
      <c r="A33" s="1">
        <f t="shared" si="3"/>
        <v>580</v>
      </c>
      <c r="B33" s="1">
        <f t="shared" si="10"/>
        <v>0</v>
      </c>
      <c r="I33" s="1" t="e">
        <f t="shared" si="4"/>
        <v>#N/A</v>
      </c>
      <c r="J33" s="1" t="e">
        <f t="shared" si="1"/>
        <v>#N/A</v>
      </c>
      <c r="K33" s="1" t="e">
        <f t="shared" si="5"/>
        <v>#N/A</v>
      </c>
      <c r="L33" s="8" t="e" cm="1">
        <f t="array" ref="L33">IF(I33="","", IFERROR(((IF(I$5&lt;&gt;"", I$5*A$5, 0) + SUMPRODUCT(--(I$6:I33&lt;&gt;""), I$6:I33, (A$6:A33-A$5:A32)))/1000)/H$3, ""))</f>
        <v>#N/A</v>
      </c>
      <c r="M33" s="1">
        <f t="shared" si="6"/>
        <v>580</v>
      </c>
      <c r="N33" s="1">
        <f t="shared" si="7"/>
        <v>0</v>
      </c>
      <c r="U33" s="1" t="e">
        <f t="shared" si="8"/>
        <v>#N/A</v>
      </c>
      <c r="V33" s="1" t="e">
        <f t="shared" si="2"/>
        <v>#N/A</v>
      </c>
      <c r="W33" s="1" t="e">
        <f t="shared" si="9"/>
        <v>#N/A</v>
      </c>
      <c r="X33" s="8" t="e" cm="1">
        <f t="array" ref="X33">IF(U33="","", IFERROR(((IF(U$5&lt;&gt;"", U$5*M$5, 0) + SUMPRODUCT(--(U$6:U33&lt;&gt;""), U$6:U33, (M$6:M33-M$5:M32)))/1000)/T$3, ""))</f>
        <v>#N/A</v>
      </c>
    </row>
    <row r="34" spans="1:24" x14ac:dyDescent="0.25">
      <c r="A34" s="1">
        <f t="shared" si="3"/>
        <v>600</v>
      </c>
      <c r="B34" s="1">
        <f t="shared" si="10"/>
        <v>0</v>
      </c>
      <c r="I34" s="1" t="e">
        <f t="shared" si="4"/>
        <v>#N/A</v>
      </c>
      <c r="J34" s="1" t="e">
        <f t="shared" si="1"/>
        <v>#N/A</v>
      </c>
      <c r="K34" s="1" t="e">
        <f t="shared" si="5"/>
        <v>#N/A</v>
      </c>
      <c r="L34" s="8" t="e" cm="1">
        <f t="array" ref="L34">IF(I34="","", IFERROR(((IF(I$5&lt;&gt;"", I$5*A$5, 0) + SUMPRODUCT(--(I$6:I34&lt;&gt;""), I$6:I34, (A$6:A34-A$5:A33)))/1000)/H$3, ""))</f>
        <v>#N/A</v>
      </c>
      <c r="M34" s="1">
        <f t="shared" si="6"/>
        <v>600</v>
      </c>
      <c r="N34" s="1">
        <f t="shared" si="7"/>
        <v>0</v>
      </c>
      <c r="U34" s="1" t="e">
        <f t="shared" si="8"/>
        <v>#N/A</v>
      </c>
      <c r="V34" s="1" t="e">
        <f t="shared" si="2"/>
        <v>#N/A</v>
      </c>
      <c r="W34" s="1" t="e">
        <f t="shared" si="9"/>
        <v>#N/A</v>
      </c>
      <c r="X34" s="8" t="e" cm="1">
        <f t="array" ref="X34">IF(U34="","", IFERROR(((IF(U$5&lt;&gt;"", U$5*M$5, 0) + SUMPRODUCT(--(U$6:U34&lt;&gt;""), U$6:U34, (M$6:M34-M$5:M33)))/1000)/T$3, ""))</f>
        <v>#N/A</v>
      </c>
    </row>
    <row r="35" spans="1:24" x14ac:dyDescent="0.25">
      <c r="A35" s="1">
        <f t="shared" si="3"/>
        <v>620</v>
      </c>
      <c r="B35" s="1">
        <f t="shared" si="10"/>
        <v>0</v>
      </c>
      <c r="I35" s="1" t="e">
        <f t="shared" si="4"/>
        <v>#N/A</v>
      </c>
      <c r="J35" s="1" t="e">
        <f t="shared" si="1"/>
        <v>#N/A</v>
      </c>
      <c r="K35" s="1" t="e">
        <f t="shared" si="5"/>
        <v>#N/A</v>
      </c>
      <c r="L35" s="8" t="e" cm="1">
        <f t="array" ref="L35">IF(I35="","", IFERROR(((IF(I$5&lt;&gt;"", I$5*A$5, 0) + SUMPRODUCT(--(I$6:I35&lt;&gt;""), I$6:I35, (A$6:A35-A$5:A34)))/1000)/H$3, ""))</f>
        <v>#N/A</v>
      </c>
      <c r="M35" s="1">
        <f t="shared" si="6"/>
        <v>620</v>
      </c>
      <c r="N35" s="1">
        <f t="shared" si="7"/>
        <v>0</v>
      </c>
      <c r="U35" s="1" t="e">
        <f t="shared" si="8"/>
        <v>#N/A</v>
      </c>
      <c r="V35" s="1" t="e">
        <f t="shared" si="2"/>
        <v>#N/A</v>
      </c>
      <c r="W35" s="1" t="e">
        <f t="shared" si="9"/>
        <v>#N/A</v>
      </c>
      <c r="X35" s="8" t="e" cm="1">
        <f t="array" ref="X35">IF(U35="","", IFERROR(((IF(U$5&lt;&gt;"", U$5*M$5, 0) + SUMPRODUCT(--(U$6:U35&lt;&gt;""), U$6:U35, (M$6:M35-M$5:M34)))/1000)/T$3, ""))</f>
        <v>#N/A</v>
      </c>
    </row>
    <row r="36" spans="1:24" x14ac:dyDescent="0.25">
      <c r="A36" s="1">
        <f t="shared" si="3"/>
        <v>640</v>
      </c>
      <c r="B36" s="1">
        <f t="shared" si="10"/>
        <v>0</v>
      </c>
      <c r="I36" s="1" t="e">
        <f t="shared" si="4"/>
        <v>#N/A</v>
      </c>
      <c r="J36" s="1" t="e">
        <f t="shared" si="1"/>
        <v>#N/A</v>
      </c>
      <c r="K36" s="1" t="e">
        <f t="shared" si="5"/>
        <v>#N/A</v>
      </c>
      <c r="L36" s="8" t="e" cm="1">
        <f t="array" ref="L36">IF(I36="","", IFERROR(((IF(I$5&lt;&gt;"", I$5*A$5, 0) + SUMPRODUCT(--(I$6:I36&lt;&gt;""), I$6:I36, (A$6:A36-A$5:A35)))/1000)/H$3, ""))</f>
        <v>#N/A</v>
      </c>
      <c r="M36" s="1">
        <f t="shared" si="6"/>
        <v>640</v>
      </c>
      <c r="N36" s="1">
        <f t="shared" si="7"/>
        <v>0</v>
      </c>
      <c r="U36" s="1" t="e">
        <f t="shared" si="8"/>
        <v>#N/A</v>
      </c>
      <c r="V36" s="1" t="e">
        <f t="shared" si="2"/>
        <v>#N/A</v>
      </c>
      <c r="W36" s="1" t="e">
        <f t="shared" si="9"/>
        <v>#N/A</v>
      </c>
      <c r="X36" s="8" t="e" cm="1">
        <f t="array" ref="X36">IF(U36="","", IFERROR(((IF(U$5&lt;&gt;"", U$5*M$5, 0) + SUMPRODUCT(--(U$6:U36&lt;&gt;""), U$6:U36, (M$6:M36-M$5:M35)))/1000)/T$3, ""))</f>
        <v>#N/A</v>
      </c>
    </row>
    <row r="37" spans="1:24" x14ac:dyDescent="0.25">
      <c r="A37" s="1">
        <f t="shared" si="3"/>
        <v>660</v>
      </c>
      <c r="B37" s="1">
        <f t="shared" si="10"/>
        <v>0</v>
      </c>
      <c r="I37" s="1" t="e">
        <f t="shared" si="4"/>
        <v>#N/A</v>
      </c>
      <c r="J37" s="1" t="e">
        <f t="shared" si="1"/>
        <v>#N/A</v>
      </c>
      <c r="K37" s="1" t="e">
        <f t="shared" si="5"/>
        <v>#N/A</v>
      </c>
      <c r="L37" s="8" t="e" cm="1">
        <f t="array" ref="L37">IF(I37="","", IFERROR(((IF(I$5&lt;&gt;"", I$5*A$5, 0) + SUMPRODUCT(--(I$6:I37&lt;&gt;""), I$6:I37, (A$6:A37-A$5:A36)))/1000)/H$3, ""))</f>
        <v>#N/A</v>
      </c>
      <c r="M37" s="1">
        <f t="shared" si="6"/>
        <v>660</v>
      </c>
      <c r="N37" s="1">
        <f t="shared" si="7"/>
        <v>0</v>
      </c>
      <c r="U37" s="1" t="e">
        <f t="shared" si="8"/>
        <v>#N/A</v>
      </c>
      <c r="V37" s="1" t="e">
        <f t="shared" si="2"/>
        <v>#N/A</v>
      </c>
      <c r="W37" s="1" t="e">
        <f t="shared" si="9"/>
        <v>#N/A</v>
      </c>
      <c r="X37" s="8" t="e" cm="1">
        <f t="array" ref="X37">IF(U37="","", IFERROR(((IF(U$5&lt;&gt;"", U$5*M$5, 0) + SUMPRODUCT(--(U$6:U37&lt;&gt;""), U$6:U37, (M$6:M37-M$5:M36)))/1000)/T$3, ""))</f>
        <v>#N/A</v>
      </c>
    </row>
    <row r="38" spans="1:24" x14ac:dyDescent="0.25">
      <c r="A38" s="1">
        <f t="shared" si="3"/>
        <v>680</v>
      </c>
      <c r="B38" s="1">
        <f t="shared" si="10"/>
        <v>0</v>
      </c>
      <c r="I38" s="1" t="e">
        <f t="shared" si="4"/>
        <v>#N/A</v>
      </c>
      <c r="J38" s="1" t="e">
        <f t="shared" si="1"/>
        <v>#N/A</v>
      </c>
      <c r="K38" s="1" t="e">
        <f t="shared" si="5"/>
        <v>#N/A</v>
      </c>
      <c r="L38" s="8" t="e" cm="1">
        <f t="array" ref="L38">IF(I38="","", IFERROR(((IF(I$5&lt;&gt;"", I$5*A$5, 0) + SUMPRODUCT(--(I$6:I38&lt;&gt;""), I$6:I38, (A$6:A38-A$5:A37)))/1000)/H$3, ""))</f>
        <v>#N/A</v>
      </c>
      <c r="M38" s="1">
        <f t="shared" si="6"/>
        <v>680</v>
      </c>
      <c r="N38" s="1">
        <f t="shared" si="7"/>
        <v>0</v>
      </c>
      <c r="U38" s="1" t="e">
        <f t="shared" si="8"/>
        <v>#N/A</v>
      </c>
      <c r="V38" s="1" t="e">
        <f t="shared" si="2"/>
        <v>#N/A</v>
      </c>
      <c r="W38" s="1" t="e">
        <f t="shared" si="9"/>
        <v>#N/A</v>
      </c>
      <c r="X38" s="8" t="e" cm="1">
        <f t="array" ref="X38">IF(U38="","", IFERROR(((IF(U$5&lt;&gt;"", U$5*M$5, 0) + SUMPRODUCT(--(U$6:U38&lt;&gt;""), U$6:U38, (M$6:M38-M$5:M37)))/1000)/T$3, ""))</f>
        <v>#N/A</v>
      </c>
    </row>
    <row r="39" spans="1:24" x14ac:dyDescent="0.25">
      <c r="A39" s="1">
        <f t="shared" si="3"/>
        <v>700</v>
      </c>
      <c r="B39" s="1">
        <f t="shared" si="10"/>
        <v>0</v>
      </c>
      <c r="I39" s="1" t="e">
        <f t="shared" si="4"/>
        <v>#N/A</v>
      </c>
      <c r="J39" s="1" t="e">
        <f t="shared" si="1"/>
        <v>#N/A</v>
      </c>
      <c r="K39" s="1" t="e">
        <f t="shared" si="5"/>
        <v>#N/A</v>
      </c>
      <c r="L39" s="8" t="e" cm="1">
        <f t="array" ref="L39">IF(I39="","", IFERROR(((IF(I$5&lt;&gt;"", I$5*A$5, 0) + SUMPRODUCT(--(I$6:I39&lt;&gt;""), I$6:I39, (A$6:A39-A$5:A38)))/1000)/H$3, ""))</f>
        <v>#N/A</v>
      </c>
      <c r="M39" s="1">
        <f t="shared" si="6"/>
        <v>700</v>
      </c>
      <c r="N39" s="1">
        <f t="shared" si="7"/>
        <v>0</v>
      </c>
      <c r="U39" s="1" t="e">
        <f t="shared" si="8"/>
        <v>#N/A</v>
      </c>
      <c r="V39" s="1" t="e">
        <f t="shared" si="2"/>
        <v>#N/A</v>
      </c>
      <c r="W39" s="1" t="e">
        <f t="shared" si="9"/>
        <v>#N/A</v>
      </c>
      <c r="X39" s="8" t="e" cm="1">
        <f t="array" ref="X39">IF(U39="","", IFERROR(((IF(U$5&lt;&gt;"", U$5*M$5, 0) + SUMPRODUCT(--(U$6:U39&lt;&gt;""), U$6:U39, (M$6:M39-M$5:M38)))/1000)/T$3, ""))</f>
        <v>#N/A</v>
      </c>
    </row>
    <row r="40" spans="1:24" x14ac:dyDescent="0.25">
      <c r="A40" s="1">
        <f t="shared" si="3"/>
        <v>720</v>
      </c>
      <c r="B40" s="1">
        <f t="shared" si="10"/>
        <v>0</v>
      </c>
      <c r="I40" s="1" t="e">
        <f t="shared" si="4"/>
        <v>#N/A</v>
      </c>
      <c r="J40" s="1" t="e">
        <f t="shared" si="1"/>
        <v>#N/A</v>
      </c>
      <c r="K40" s="1" t="e">
        <f t="shared" si="5"/>
        <v>#N/A</v>
      </c>
      <c r="L40" s="8" t="e" cm="1">
        <f t="array" ref="L40">IF(I40="","", IFERROR(((IF(I$5&lt;&gt;"", I$5*A$5, 0) + SUMPRODUCT(--(I$6:I40&lt;&gt;""), I$6:I40, (A$6:A40-A$5:A39)))/1000)/H$3, ""))</f>
        <v>#N/A</v>
      </c>
      <c r="M40" s="1">
        <f t="shared" si="6"/>
        <v>720</v>
      </c>
      <c r="N40" s="1">
        <f t="shared" si="7"/>
        <v>0</v>
      </c>
      <c r="U40" s="1" t="e">
        <f t="shared" si="8"/>
        <v>#N/A</v>
      </c>
      <c r="V40" s="1" t="e">
        <f t="shared" si="2"/>
        <v>#N/A</v>
      </c>
      <c r="W40" s="1" t="e">
        <f t="shared" si="9"/>
        <v>#N/A</v>
      </c>
      <c r="X40" s="8" t="e" cm="1">
        <f t="array" ref="X40">IF(U40="","", IFERROR(((IF(U$5&lt;&gt;"", U$5*M$5, 0) + SUMPRODUCT(--(U$6:U40&lt;&gt;""), U$6:U40, (M$6:M40-M$5:M39)))/1000)/T$3, ""))</f>
        <v>#N/A</v>
      </c>
    </row>
    <row r="41" spans="1:24" x14ac:dyDescent="0.25">
      <c r="A41" s="1">
        <f t="shared" si="3"/>
        <v>740</v>
      </c>
      <c r="B41" s="1">
        <f t="shared" si="10"/>
        <v>0</v>
      </c>
      <c r="I41" s="1" t="e">
        <f t="shared" si="4"/>
        <v>#N/A</v>
      </c>
      <c r="J41" s="1" t="e">
        <f t="shared" si="1"/>
        <v>#N/A</v>
      </c>
      <c r="K41" s="1" t="e">
        <f t="shared" si="5"/>
        <v>#N/A</v>
      </c>
      <c r="L41" s="8" t="e" cm="1">
        <f t="array" ref="L41">IF(I41="","", IFERROR(((IF(I$5&lt;&gt;"", I$5*A$5, 0) + SUMPRODUCT(--(I$6:I41&lt;&gt;""), I$6:I41, (A$6:A41-A$5:A40)))/1000)/H$3, ""))</f>
        <v>#N/A</v>
      </c>
      <c r="M41" s="1">
        <f t="shared" si="6"/>
        <v>740</v>
      </c>
      <c r="N41" s="1">
        <f t="shared" si="7"/>
        <v>0</v>
      </c>
      <c r="U41" s="1" t="e">
        <f t="shared" si="8"/>
        <v>#N/A</v>
      </c>
      <c r="V41" s="1" t="e">
        <f t="shared" si="2"/>
        <v>#N/A</v>
      </c>
      <c r="W41" s="1" t="e">
        <f t="shared" si="9"/>
        <v>#N/A</v>
      </c>
      <c r="X41" s="8" t="e" cm="1">
        <f t="array" ref="X41">IF(U41="","", IFERROR(((IF(U$5&lt;&gt;"", U$5*M$5, 0) + SUMPRODUCT(--(U$6:U41&lt;&gt;""), U$6:U41, (M$6:M41-M$5:M40)))/1000)/T$3, ""))</f>
        <v>#N/A</v>
      </c>
    </row>
    <row r="42" spans="1:24" x14ac:dyDescent="0.25">
      <c r="A42" s="1">
        <f t="shared" si="3"/>
        <v>760</v>
      </c>
      <c r="B42" s="1">
        <f t="shared" si="10"/>
        <v>0</v>
      </c>
      <c r="I42" s="1" t="e">
        <f t="shared" si="4"/>
        <v>#N/A</v>
      </c>
      <c r="J42" s="1" t="e">
        <f t="shared" si="1"/>
        <v>#N/A</v>
      </c>
      <c r="K42" s="1" t="e">
        <f t="shared" si="5"/>
        <v>#N/A</v>
      </c>
      <c r="L42" s="8" t="e" cm="1">
        <f t="array" ref="L42">IF(I42="","", IFERROR(((IF(I$5&lt;&gt;"", I$5*A$5, 0) + SUMPRODUCT(--(I$6:I42&lt;&gt;""), I$6:I42, (A$6:A42-A$5:A41)))/1000)/H$3, ""))</f>
        <v>#N/A</v>
      </c>
      <c r="M42" s="1">
        <f t="shared" si="6"/>
        <v>760</v>
      </c>
      <c r="N42" s="1">
        <f t="shared" si="7"/>
        <v>0</v>
      </c>
      <c r="U42" s="1" t="e">
        <f t="shared" si="8"/>
        <v>#N/A</v>
      </c>
      <c r="V42" s="1" t="e">
        <f t="shared" si="2"/>
        <v>#N/A</v>
      </c>
      <c r="W42" s="1" t="e">
        <f t="shared" si="9"/>
        <v>#N/A</v>
      </c>
      <c r="X42" s="8" t="e" cm="1">
        <f t="array" ref="X42">IF(U42="","", IFERROR(((IF(U$5&lt;&gt;"", U$5*M$5, 0) + SUMPRODUCT(--(U$6:U42&lt;&gt;""), U$6:U42, (M$6:M42-M$5:M41)))/1000)/T$3, ""))</f>
        <v>#N/A</v>
      </c>
    </row>
    <row r="43" spans="1:24" x14ac:dyDescent="0.25">
      <c r="A43" s="1">
        <f t="shared" si="3"/>
        <v>780</v>
      </c>
      <c r="B43" s="1">
        <f t="shared" si="10"/>
        <v>0</v>
      </c>
      <c r="I43" s="1" t="e">
        <f t="shared" si="4"/>
        <v>#N/A</v>
      </c>
      <c r="J43" s="1" t="e">
        <f t="shared" si="1"/>
        <v>#N/A</v>
      </c>
      <c r="K43" s="1" t="e">
        <f t="shared" si="5"/>
        <v>#N/A</v>
      </c>
      <c r="L43" s="8" t="e" cm="1">
        <f t="array" ref="L43">IF(I43="","", IFERROR(((IF(I$5&lt;&gt;"", I$5*A$5, 0) + SUMPRODUCT(--(I$6:I43&lt;&gt;""), I$6:I43, (A$6:A43-A$5:A42)))/1000)/H$3, ""))</f>
        <v>#N/A</v>
      </c>
      <c r="M43" s="1">
        <f t="shared" si="6"/>
        <v>780</v>
      </c>
      <c r="N43" s="1">
        <f t="shared" si="7"/>
        <v>0</v>
      </c>
      <c r="U43" s="1" t="e">
        <f t="shared" si="8"/>
        <v>#N/A</v>
      </c>
      <c r="V43" s="1" t="e">
        <f t="shared" si="2"/>
        <v>#N/A</v>
      </c>
      <c r="W43" s="1" t="e">
        <f t="shared" si="9"/>
        <v>#N/A</v>
      </c>
      <c r="X43" s="8" t="e" cm="1">
        <f t="array" ref="X43">IF(U43="","", IFERROR(((IF(U$5&lt;&gt;"", U$5*M$5, 0) + SUMPRODUCT(--(U$6:U43&lt;&gt;""), U$6:U43, (M$6:M43-M$5:M42)))/1000)/T$3, ""))</f>
        <v>#N/A</v>
      </c>
    </row>
    <row r="44" spans="1:24" x14ac:dyDescent="0.25">
      <c r="A44" s="1">
        <f t="shared" si="3"/>
        <v>800</v>
      </c>
      <c r="B44" s="1">
        <f t="shared" si="10"/>
        <v>0</v>
      </c>
      <c r="I44" s="1" t="e">
        <f t="shared" si="4"/>
        <v>#N/A</v>
      </c>
      <c r="J44" s="1" t="e">
        <f t="shared" si="1"/>
        <v>#N/A</v>
      </c>
      <c r="K44" s="1" t="e">
        <f t="shared" si="5"/>
        <v>#N/A</v>
      </c>
      <c r="L44" s="8" t="e" cm="1">
        <f t="array" ref="L44">IF(I44="","", IFERROR(((IF(I$5&lt;&gt;"", I$5*A$5, 0) + SUMPRODUCT(--(I$6:I44&lt;&gt;""), I$6:I44, (A$6:A44-A$5:A43)))/1000)/H$3, ""))</f>
        <v>#N/A</v>
      </c>
      <c r="M44" s="1">
        <f t="shared" si="6"/>
        <v>800</v>
      </c>
      <c r="N44" s="1">
        <f t="shared" si="7"/>
        <v>0</v>
      </c>
      <c r="U44" s="1" t="e">
        <f t="shared" si="8"/>
        <v>#N/A</v>
      </c>
      <c r="V44" s="1" t="e">
        <f t="shared" si="2"/>
        <v>#N/A</v>
      </c>
      <c r="W44" s="1" t="e">
        <f t="shared" si="9"/>
        <v>#N/A</v>
      </c>
      <c r="X44" s="8" t="e" cm="1">
        <f t="array" ref="X44">IF(U44="","", IFERROR(((IF(U$5&lt;&gt;"", U$5*M$5, 0) + SUMPRODUCT(--(U$6:U44&lt;&gt;""), U$6:U44, (M$6:M44-M$5:M43)))/1000)/T$3, ""))</f>
        <v>#N/A</v>
      </c>
    </row>
    <row r="45" spans="1:24" x14ac:dyDescent="0.25">
      <c r="A45" s="1">
        <f t="shared" si="3"/>
        <v>820</v>
      </c>
      <c r="B45" s="1">
        <f t="shared" si="10"/>
        <v>0</v>
      </c>
      <c r="I45" s="1" t="e">
        <f t="shared" si="4"/>
        <v>#N/A</v>
      </c>
      <c r="J45" s="1" t="e">
        <f t="shared" si="1"/>
        <v>#N/A</v>
      </c>
      <c r="K45" s="1" t="e">
        <f t="shared" si="5"/>
        <v>#N/A</v>
      </c>
      <c r="L45" s="8" t="e" cm="1">
        <f t="array" ref="L45">IF(I45="","", IFERROR(((IF(I$5&lt;&gt;"", I$5*A$5, 0) + SUMPRODUCT(--(I$6:I45&lt;&gt;""), I$6:I45, (A$6:A45-A$5:A44)))/1000)/H$3, ""))</f>
        <v>#N/A</v>
      </c>
      <c r="M45" s="1">
        <f t="shared" si="6"/>
        <v>820</v>
      </c>
      <c r="N45" s="1">
        <f t="shared" si="7"/>
        <v>0</v>
      </c>
      <c r="U45" s="1" t="e">
        <f t="shared" si="8"/>
        <v>#N/A</v>
      </c>
      <c r="V45" s="1" t="e">
        <f t="shared" si="2"/>
        <v>#N/A</v>
      </c>
      <c r="W45" s="1" t="e">
        <f t="shared" si="9"/>
        <v>#N/A</v>
      </c>
      <c r="X45" s="8" t="e" cm="1">
        <f t="array" ref="X45">IF(U45="","", IFERROR(((IF(U$5&lt;&gt;"", U$5*M$5, 0) + SUMPRODUCT(--(U$6:U45&lt;&gt;""), U$6:U45, (M$6:M45-M$5:M44)))/1000)/T$3, ""))</f>
        <v>#N/A</v>
      </c>
    </row>
    <row r="46" spans="1:24" x14ac:dyDescent="0.25">
      <c r="A46" s="1">
        <f t="shared" si="3"/>
        <v>840</v>
      </c>
      <c r="B46" s="1">
        <f t="shared" si="10"/>
        <v>0</v>
      </c>
      <c r="I46" s="1" t="e">
        <f t="shared" si="4"/>
        <v>#N/A</v>
      </c>
      <c r="J46" s="1" t="e">
        <f t="shared" si="1"/>
        <v>#N/A</v>
      </c>
      <c r="K46" s="1" t="e">
        <f t="shared" si="5"/>
        <v>#N/A</v>
      </c>
      <c r="L46" s="8" t="e" cm="1">
        <f t="array" ref="L46">IF(I46="","", IFERROR(((IF(I$5&lt;&gt;"", I$5*A$5, 0) + SUMPRODUCT(--(I$6:I46&lt;&gt;""), I$6:I46, (A$6:A46-A$5:A45)))/1000)/H$3, ""))</f>
        <v>#N/A</v>
      </c>
      <c r="M46" s="1">
        <f t="shared" si="6"/>
        <v>840</v>
      </c>
      <c r="N46" s="1">
        <f t="shared" si="7"/>
        <v>0</v>
      </c>
      <c r="U46" s="1" t="e">
        <f t="shared" si="8"/>
        <v>#N/A</v>
      </c>
      <c r="V46" s="1" t="e">
        <f t="shared" si="2"/>
        <v>#N/A</v>
      </c>
      <c r="W46" s="1" t="e">
        <f t="shared" si="9"/>
        <v>#N/A</v>
      </c>
      <c r="X46" s="8" t="e" cm="1">
        <f t="array" ref="X46">IF(U46="","", IFERROR(((IF(U$5&lt;&gt;"", U$5*M$5, 0) + SUMPRODUCT(--(U$6:U46&lt;&gt;""), U$6:U46, (M$6:M46-M$5:M45)))/1000)/T$3, ""))</f>
        <v>#N/A</v>
      </c>
    </row>
    <row r="47" spans="1:24" x14ac:dyDescent="0.25">
      <c r="A47" s="1">
        <f t="shared" si="3"/>
        <v>860</v>
      </c>
      <c r="B47" s="1">
        <f t="shared" si="10"/>
        <v>0</v>
      </c>
      <c r="I47" s="1" t="e">
        <f t="shared" si="4"/>
        <v>#N/A</v>
      </c>
      <c r="J47" s="1" t="e">
        <f t="shared" si="1"/>
        <v>#N/A</v>
      </c>
      <c r="K47" s="1" t="e">
        <f t="shared" si="5"/>
        <v>#N/A</v>
      </c>
      <c r="L47" s="8" t="e" cm="1">
        <f t="array" ref="L47">IF(I47="","", IFERROR(((IF(I$5&lt;&gt;"", I$5*A$5, 0) + SUMPRODUCT(--(I$6:I47&lt;&gt;""), I$6:I47, (A$6:A47-A$5:A46)))/1000)/H$3, ""))</f>
        <v>#N/A</v>
      </c>
      <c r="M47" s="1">
        <f t="shared" si="6"/>
        <v>860</v>
      </c>
      <c r="N47" s="1">
        <f t="shared" si="7"/>
        <v>0</v>
      </c>
      <c r="U47" s="1" t="e">
        <f t="shared" si="8"/>
        <v>#N/A</v>
      </c>
      <c r="V47" s="1" t="e">
        <f t="shared" si="2"/>
        <v>#N/A</v>
      </c>
      <c r="W47" s="1" t="e">
        <f t="shared" si="9"/>
        <v>#N/A</v>
      </c>
      <c r="X47" s="8" t="e" cm="1">
        <f t="array" ref="X47">IF(U47="","", IFERROR(((IF(U$5&lt;&gt;"", U$5*M$5, 0) + SUMPRODUCT(--(U$6:U47&lt;&gt;""), U$6:U47, (M$6:M47-M$5:M46)))/1000)/T$3, ""))</f>
        <v>#N/A</v>
      </c>
    </row>
    <row r="48" spans="1:24" x14ac:dyDescent="0.25">
      <c r="A48" s="1">
        <f t="shared" si="3"/>
        <v>880</v>
      </c>
      <c r="B48" s="1">
        <f t="shared" si="10"/>
        <v>0</v>
      </c>
      <c r="I48" s="1" t="e">
        <f t="shared" si="4"/>
        <v>#N/A</v>
      </c>
      <c r="J48" s="1" t="e">
        <f t="shared" si="1"/>
        <v>#N/A</v>
      </c>
      <c r="K48" s="1" t="e">
        <f t="shared" si="5"/>
        <v>#N/A</v>
      </c>
      <c r="L48" s="8" t="e" cm="1">
        <f t="array" ref="L48">IF(I48="","", IFERROR(((IF(I$5&lt;&gt;"", I$5*A$5, 0) + SUMPRODUCT(--(I$6:I48&lt;&gt;""), I$6:I48, (A$6:A48-A$5:A47)))/1000)/H$3, ""))</f>
        <v>#N/A</v>
      </c>
      <c r="M48" s="1">
        <f t="shared" si="6"/>
        <v>880</v>
      </c>
      <c r="N48" s="1">
        <f t="shared" si="7"/>
        <v>0</v>
      </c>
      <c r="U48" s="1" t="e">
        <f t="shared" si="8"/>
        <v>#N/A</v>
      </c>
      <c r="V48" s="1" t="e">
        <f t="shared" si="2"/>
        <v>#N/A</v>
      </c>
      <c r="W48" s="1" t="e">
        <f t="shared" si="9"/>
        <v>#N/A</v>
      </c>
      <c r="X48" s="8" t="e" cm="1">
        <f t="array" ref="X48">IF(U48="","", IFERROR(((IF(U$5&lt;&gt;"", U$5*M$5, 0) + SUMPRODUCT(--(U$6:U48&lt;&gt;""), U$6:U48, (M$6:M48-M$5:M47)))/1000)/T$3, ""))</f>
        <v>#N/A</v>
      </c>
    </row>
    <row r="49" spans="1:24" x14ac:dyDescent="0.25">
      <c r="A49" s="1">
        <f t="shared" si="3"/>
        <v>900</v>
      </c>
      <c r="B49" s="1">
        <f t="shared" si="10"/>
        <v>0</v>
      </c>
      <c r="I49" s="1" t="e">
        <f t="shared" si="4"/>
        <v>#N/A</v>
      </c>
      <c r="J49" s="1" t="e">
        <f t="shared" si="1"/>
        <v>#N/A</v>
      </c>
      <c r="K49" s="1" t="e">
        <f t="shared" si="5"/>
        <v>#N/A</v>
      </c>
      <c r="L49" s="8" t="e" cm="1">
        <f t="array" ref="L49">IF(I49="","", IFERROR(((IF(I$5&lt;&gt;"", I$5*A$5, 0) + SUMPRODUCT(--(I$6:I49&lt;&gt;""), I$6:I49, (A$6:A49-A$5:A48)))/1000)/H$3, ""))</f>
        <v>#N/A</v>
      </c>
      <c r="M49" s="1">
        <f t="shared" si="6"/>
        <v>900</v>
      </c>
      <c r="N49" s="1">
        <f t="shared" si="7"/>
        <v>0</v>
      </c>
      <c r="U49" s="1" t="e">
        <f t="shared" si="8"/>
        <v>#N/A</v>
      </c>
      <c r="V49" s="1" t="e">
        <f t="shared" si="2"/>
        <v>#N/A</v>
      </c>
      <c r="W49" s="1" t="e">
        <f t="shared" si="9"/>
        <v>#N/A</v>
      </c>
      <c r="X49" s="8" t="e" cm="1">
        <f t="array" ref="X49">IF(U49="","", IFERROR(((IF(U$5&lt;&gt;"", U$5*M$5, 0) + SUMPRODUCT(--(U$6:U49&lt;&gt;""), U$6:U49, (M$6:M49-M$5:M48)))/1000)/T$3, ""))</f>
        <v>#N/A</v>
      </c>
    </row>
    <row r="50" spans="1:24" x14ac:dyDescent="0.25">
      <c r="A50" s="1">
        <f t="shared" si="3"/>
        <v>920</v>
      </c>
      <c r="B50" s="1">
        <f t="shared" si="10"/>
        <v>0</v>
      </c>
      <c r="I50" s="1" t="e">
        <f t="shared" si="4"/>
        <v>#N/A</v>
      </c>
      <c r="J50" s="1" t="e">
        <f t="shared" si="1"/>
        <v>#N/A</v>
      </c>
      <c r="K50" s="1" t="e">
        <f t="shared" si="5"/>
        <v>#N/A</v>
      </c>
      <c r="L50" s="8" t="e" cm="1">
        <f t="array" ref="L50">IF(I50="","", IFERROR(((IF(I$5&lt;&gt;"", I$5*A$5, 0) + SUMPRODUCT(--(I$6:I50&lt;&gt;""), I$6:I50, (A$6:A50-A$5:A49)))/1000)/H$3, ""))</f>
        <v>#N/A</v>
      </c>
      <c r="M50" s="1">
        <f t="shared" si="6"/>
        <v>920</v>
      </c>
      <c r="N50" s="1">
        <f t="shared" si="7"/>
        <v>0</v>
      </c>
      <c r="U50" s="1" t="e">
        <f t="shared" si="8"/>
        <v>#N/A</v>
      </c>
      <c r="V50" s="1" t="e">
        <f t="shared" si="2"/>
        <v>#N/A</v>
      </c>
      <c r="W50" s="1" t="e">
        <f t="shared" si="9"/>
        <v>#N/A</v>
      </c>
      <c r="X50" s="8" t="e" cm="1">
        <f t="array" ref="X50">IF(U50="","", IFERROR(((IF(U$5&lt;&gt;"", U$5*M$5, 0) + SUMPRODUCT(--(U$6:U50&lt;&gt;""), U$6:U50, (M$6:M50-M$5:M49)))/1000)/T$3, ""))</f>
        <v>#N/A</v>
      </c>
    </row>
    <row r="51" spans="1:24" x14ac:dyDescent="0.25">
      <c r="A51" s="1">
        <f t="shared" si="3"/>
        <v>940</v>
      </c>
      <c r="B51" s="1">
        <f t="shared" si="10"/>
        <v>0</v>
      </c>
      <c r="I51" s="1" t="e">
        <f t="shared" si="4"/>
        <v>#N/A</v>
      </c>
      <c r="J51" s="1" t="e">
        <f t="shared" si="1"/>
        <v>#N/A</v>
      </c>
      <c r="K51" s="1" t="e">
        <f t="shared" si="5"/>
        <v>#N/A</v>
      </c>
      <c r="L51" s="8" t="e" cm="1">
        <f t="array" ref="L51">IF(I51="","", IFERROR(((IF(I$5&lt;&gt;"", I$5*A$5, 0) + SUMPRODUCT(--(I$6:I51&lt;&gt;""), I$6:I51, (A$6:A51-A$5:A50)))/1000)/H$3, ""))</f>
        <v>#N/A</v>
      </c>
      <c r="M51" s="1">
        <f t="shared" si="6"/>
        <v>940</v>
      </c>
      <c r="N51" s="1">
        <f t="shared" si="7"/>
        <v>0</v>
      </c>
      <c r="U51" s="1" t="e">
        <f t="shared" si="8"/>
        <v>#N/A</v>
      </c>
      <c r="V51" s="1" t="e">
        <f t="shared" si="2"/>
        <v>#N/A</v>
      </c>
      <c r="W51" s="1" t="e">
        <f t="shared" si="9"/>
        <v>#N/A</v>
      </c>
      <c r="X51" s="8" t="e" cm="1">
        <f t="array" ref="X51">IF(U51="","", IFERROR(((IF(U$5&lt;&gt;"", U$5*M$5, 0) + SUMPRODUCT(--(U$6:U51&lt;&gt;""), U$6:U51, (M$6:M51-M$5:M50)))/1000)/T$3, ""))</f>
        <v>#N/A</v>
      </c>
    </row>
    <row r="52" spans="1:24" x14ac:dyDescent="0.25">
      <c r="A52" s="1">
        <f t="shared" si="3"/>
        <v>960</v>
      </c>
      <c r="B52" s="1">
        <f t="shared" si="10"/>
        <v>0</v>
      </c>
      <c r="I52" s="1" t="e">
        <f t="shared" si="4"/>
        <v>#N/A</v>
      </c>
      <c r="J52" s="1" t="e">
        <f t="shared" si="1"/>
        <v>#N/A</v>
      </c>
      <c r="K52" s="1" t="e">
        <f t="shared" si="5"/>
        <v>#N/A</v>
      </c>
      <c r="L52" s="8" t="e" cm="1">
        <f t="array" ref="L52">IF(I52="","", IFERROR(((IF(I$5&lt;&gt;"", I$5*A$5, 0) + SUMPRODUCT(--(I$6:I52&lt;&gt;""), I$6:I52, (A$6:A52-A$5:A51)))/1000)/H$3, ""))</f>
        <v>#N/A</v>
      </c>
      <c r="M52" s="1">
        <f t="shared" si="6"/>
        <v>960</v>
      </c>
      <c r="N52" s="1">
        <f t="shared" si="7"/>
        <v>0</v>
      </c>
      <c r="U52" s="1" t="e">
        <f t="shared" si="8"/>
        <v>#N/A</v>
      </c>
      <c r="V52" s="1" t="e">
        <f t="shared" si="2"/>
        <v>#N/A</v>
      </c>
      <c r="W52" s="1" t="e">
        <f t="shared" si="9"/>
        <v>#N/A</v>
      </c>
      <c r="X52" s="8" t="e" cm="1">
        <f t="array" ref="X52">IF(U52="","", IFERROR(((IF(U$5&lt;&gt;"", U$5*M$5, 0) + SUMPRODUCT(--(U$6:U52&lt;&gt;""), U$6:U52, (M$6:M52-M$5:M51)))/1000)/T$3, ""))</f>
        <v>#N/A</v>
      </c>
    </row>
    <row r="53" spans="1:24" x14ac:dyDescent="0.25">
      <c r="A53" s="1">
        <f t="shared" si="3"/>
        <v>980</v>
      </c>
      <c r="B53" s="1">
        <f t="shared" si="10"/>
        <v>0</v>
      </c>
      <c r="I53" s="1" t="e">
        <f t="shared" si="4"/>
        <v>#N/A</v>
      </c>
      <c r="J53" s="1" t="e">
        <f t="shared" si="1"/>
        <v>#N/A</v>
      </c>
      <c r="K53" s="1" t="e">
        <f t="shared" si="5"/>
        <v>#N/A</v>
      </c>
      <c r="L53" s="8" t="e" cm="1">
        <f t="array" ref="L53">IF(I53="","", IFERROR(((IF(I$5&lt;&gt;"", I$5*A$5, 0) + SUMPRODUCT(--(I$6:I53&lt;&gt;""), I$6:I53, (A$6:A53-A$5:A52)))/1000)/H$3, ""))</f>
        <v>#N/A</v>
      </c>
      <c r="M53" s="1">
        <f t="shared" si="6"/>
        <v>980</v>
      </c>
      <c r="N53" s="1">
        <f t="shared" si="7"/>
        <v>0</v>
      </c>
      <c r="U53" s="1" t="e">
        <f t="shared" si="8"/>
        <v>#N/A</v>
      </c>
      <c r="V53" s="1" t="e">
        <f t="shared" si="2"/>
        <v>#N/A</v>
      </c>
      <c r="W53" s="1" t="e">
        <f t="shared" si="9"/>
        <v>#N/A</v>
      </c>
      <c r="X53" s="8" t="e" cm="1">
        <f t="array" ref="X53">IF(U53="","", IFERROR(((IF(U$5&lt;&gt;"", U$5*M$5, 0) + SUMPRODUCT(--(U$6:U53&lt;&gt;""), U$6:U53, (M$6:M53-M$5:M52)))/1000)/T$3, ""))</f>
        <v>#N/A</v>
      </c>
    </row>
    <row r="54" spans="1:24" x14ac:dyDescent="0.25">
      <c r="A54" s="1">
        <f t="shared" si="3"/>
        <v>1000</v>
      </c>
      <c r="B54" s="1">
        <f t="shared" si="10"/>
        <v>0</v>
      </c>
      <c r="I54" s="1" t="e">
        <f t="shared" si="4"/>
        <v>#N/A</v>
      </c>
      <c r="J54" s="1" t="e">
        <f t="shared" si="1"/>
        <v>#N/A</v>
      </c>
      <c r="K54" s="1" t="e">
        <f t="shared" si="5"/>
        <v>#N/A</v>
      </c>
      <c r="L54" s="8" t="e" cm="1">
        <f t="array" ref="L54">IF(I54="","", IFERROR(((IF(I$5&lt;&gt;"", I$5*A$5, 0) + SUMPRODUCT(--(I$6:I54&lt;&gt;""), I$6:I54, (A$6:A54-A$5:A53)))/1000)/H$3, ""))</f>
        <v>#N/A</v>
      </c>
      <c r="M54" s="1">
        <f t="shared" si="6"/>
        <v>1000</v>
      </c>
      <c r="N54" s="1">
        <f t="shared" si="7"/>
        <v>0</v>
      </c>
      <c r="U54" s="1" t="e">
        <f t="shared" si="8"/>
        <v>#N/A</v>
      </c>
      <c r="V54" s="1" t="e">
        <f t="shared" si="2"/>
        <v>#N/A</v>
      </c>
      <c r="W54" s="1" t="e">
        <f t="shared" si="9"/>
        <v>#N/A</v>
      </c>
      <c r="X54" s="8" t="e" cm="1">
        <f t="array" ref="X54">IF(U54="","", IFERROR(((IF(U$5&lt;&gt;"", U$5*M$5, 0) + SUMPRODUCT(--(U$6:U54&lt;&gt;""), U$6:U54, (M$6:M54-M$5:M53)))/1000)/T$3, ""))</f>
        <v>#N/A</v>
      </c>
    </row>
    <row r="55" spans="1:24" x14ac:dyDescent="0.25">
      <c r="A55" s="1">
        <f t="shared" si="3"/>
        <v>1020</v>
      </c>
      <c r="B55" s="1">
        <f t="shared" si="10"/>
        <v>0</v>
      </c>
      <c r="I55" s="1" t="e">
        <f t="shared" si="4"/>
        <v>#N/A</v>
      </c>
      <c r="J55" s="1" t="e">
        <f t="shared" si="1"/>
        <v>#N/A</v>
      </c>
      <c r="K55" s="1" t="e">
        <f t="shared" si="5"/>
        <v>#N/A</v>
      </c>
      <c r="L55" s="8" t="e" cm="1">
        <f t="array" ref="L55">IF(I55="","", IFERROR(((IF(I$5&lt;&gt;"", I$5*A$5, 0) + SUMPRODUCT(--(I$6:I55&lt;&gt;""), I$6:I55, (A$6:A55-A$5:A54)))/1000)/H$3, ""))</f>
        <v>#N/A</v>
      </c>
      <c r="M55" s="1">
        <f t="shared" si="6"/>
        <v>1020</v>
      </c>
      <c r="N55" s="1">
        <f t="shared" si="7"/>
        <v>0</v>
      </c>
      <c r="U55" s="1" t="e">
        <f t="shared" si="8"/>
        <v>#N/A</v>
      </c>
      <c r="V55" s="1" t="e">
        <f t="shared" si="2"/>
        <v>#N/A</v>
      </c>
      <c r="W55" s="1" t="e">
        <f t="shared" si="9"/>
        <v>#N/A</v>
      </c>
      <c r="X55" s="8" t="e" cm="1">
        <f t="array" ref="X55">IF(U55="","", IFERROR(((IF(U$5&lt;&gt;"", U$5*M$5, 0) + SUMPRODUCT(--(U$6:U55&lt;&gt;""), U$6:U55, (M$6:M55-M$5:M54)))/1000)/T$3, ""))</f>
        <v>#N/A</v>
      </c>
    </row>
    <row r="56" spans="1:24" x14ac:dyDescent="0.25">
      <c r="A56" s="1">
        <f t="shared" si="3"/>
        <v>1040</v>
      </c>
      <c r="B56" s="1">
        <f t="shared" si="10"/>
        <v>0</v>
      </c>
      <c r="I56" s="1" t="e">
        <f t="shared" si="4"/>
        <v>#N/A</v>
      </c>
      <c r="J56" s="1" t="e">
        <f t="shared" si="1"/>
        <v>#N/A</v>
      </c>
      <c r="K56" s="1" t="e">
        <f t="shared" si="5"/>
        <v>#N/A</v>
      </c>
      <c r="L56" s="8" t="e" cm="1">
        <f t="array" ref="L56">IF(I56="","", IFERROR(((IF(I$5&lt;&gt;"", I$5*A$5, 0) + SUMPRODUCT(--(I$6:I56&lt;&gt;""), I$6:I56, (A$6:A56-A$5:A55)))/1000)/H$3, ""))</f>
        <v>#N/A</v>
      </c>
      <c r="M56" s="1">
        <f t="shared" si="6"/>
        <v>1040</v>
      </c>
      <c r="N56" s="1">
        <f t="shared" si="7"/>
        <v>0</v>
      </c>
      <c r="U56" s="1" t="e">
        <f t="shared" si="8"/>
        <v>#N/A</v>
      </c>
      <c r="V56" s="1" t="e">
        <f t="shared" si="2"/>
        <v>#N/A</v>
      </c>
      <c r="W56" s="1" t="e">
        <f t="shared" si="9"/>
        <v>#N/A</v>
      </c>
      <c r="X56" s="8" t="e" cm="1">
        <f t="array" ref="X56">IF(U56="","", IFERROR(((IF(U$5&lt;&gt;"", U$5*M$5, 0) + SUMPRODUCT(--(U$6:U56&lt;&gt;""), U$6:U56, (M$6:M56-M$5:M55)))/1000)/T$3, ""))</f>
        <v>#N/A</v>
      </c>
    </row>
    <row r="57" spans="1:24" x14ac:dyDescent="0.25">
      <c r="A57" s="1">
        <f t="shared" si="3"/>
        <v>1060</v>
      </c>
      <c r="B57" s="1">
        <f t="shared" si="10"/>
        <v>0</v>
      </c>
      <c r="I57" s="1" t="e">
        <f t="shared" si="4"/>
        <v>#N/A</v>
      </c>
      <c r="J57" s="1" t="e">
        <f t="shared" si="1"/>
        <v>#N/A</v>
      </c>
      <c r="K57" s="1" t="e">
        <f t="shared" si="5"/>
        <v>#N/A</v>
      </c>
      <c r="L57" s="8" t="e" cm="1">
        <f t="array" ref="L57">IF(I57="","", IFERROR(((IF(I$5&lt;&gt;"", I$5*A$5, 0) + SUMPRODUCT(--(I$6:I57&lt;&gt;""), I$6:I57, (A$6:A57-A$5:A56)))/1000)/H$3, ""))</f>
        <v>#N/A</v>
      </c>
      <c r="M57" s="1">
        <f t="shared" si="6"/>
        <v>1060</v>
      </c>
      <c r="N57" s="1">
        <f t="shared" si="7"/>
        <v>0</v>
      </c>
      <c r="U57" s="1" t="e">
        <f t="shared" si="8"/>
        <v>#N/A</v>
      </c>
      <c r="V57" s="1" t="e">
        <f t="shared" si="2"/>
        <v>#N/A</v>
      </c>
      <c r="W57" s="1" t="e">
        <f t="shared" si="9"/>
        <v>#N/A</v>
      </c>
      <c r="X57" s="8" t="e" cm="1">
        <f t="array" ref="X57">IF(U57="","", IFERROR(((IF(U$5&lt;&gt;"", U$5*M$5, 0) + SUMPRODUCT(--(U$6:U57&lt;&gt;""), U$6:U57, (M$6:M57-M$5:M56)))/1000)/T$3, ""))</f>
        <v>#N/A</v>
      </c>
    </row>
    <row r="58" spans="1:24" x14ac:dyDescent="0.25">
      <c r="A58" s="1">
        <f t="shared" si="3"/>
        <v>1080</v>
      </c>
      <c r="B58" s="1">
        <f t="shared" si="10"/>
        <v>0</v>
      </c>
      <c r="I58" s="1" t="e">
        <f t="shared" si="4"/>
        <v>#N/A</v>
      </c>
      <c r="J58" s="1" t="e">
        <f t="shared" si="1"/>
        <v>#N/A</v>
      </c>
      <c r="K58" s="1" t="e">
        <f t="shared" si="5"/>
        <v>#N/A</v>
      </c>
      <c r="L58" s="8" t="e" cm="1">
        <f t="array" ref="L58">IF(I58="","", IFERROR(((IF(I$5&lt;&gt;"", I$5*A$5, 0) + SUMPRODUCT(--(I$6:I58&lt;&gt;""), I$6:I58, (A$6:A58-A$5:A57)))/1000)/H$3, ""))</f>
        <v>#N/A</v>
      </c>
      <c r="M58" s="1">
        <f t="shared" si="6"/>
        <v>1080</v>
      </c>
      <c r="N58" s="1">
        <f t="shared" si="7"/>
        <v>0</v>
      </c>
      <c r="U58" s="1" t="e">
        <f t="shared" si="8"/>
        <v>#N/A</v>
      </c>
      <c r="V58" s="1" t="e">
        <f t="shared" si="2"/>
        <v>#N/A</v>
      </c>
      <c r="W58" s="1" t="e">
        <f t="shared" si="9"/>
        <v>#N/A</v>
      </c>
      <c r="X58" s="8" t="e" cm="1">
        <f t="array" ref="X58">IF(U58="","", IFERROR(((IF(U$5&lt;&gt;"", U$5*M$5, 0) + SUMPRODUCT(--(U$6:U58&lt;&gt;""), U$6:U58, (M$6:M58-M$5:M57)))/1000)/T$3, ""))</f>
        <v>#N/A</v>
      </c>
    </row>
    <row r="59" spans="1:24" x14ac:dyDescent="0.25">
      <c r="A59" s="1">
        <f t="shared" si="3"/>
        <v>1100</v>
      </c>
      <c r="B59" s="1">
        <f t="shared" si="10"/>
        <v>0</v>
      </c>
      <c r="I59" s="1" t="e">
        <f t="shared" si="4"/>
        <v>#N/A</v>
      </c>
      <c r="J59" s="1" t="e">
        <f t="shared" si="1"/>
        <v>#N/A</v>
      </c>
      <c r="K59" s="1" t="e">
        <f t="shared" si="5"/>
        <v>#N/A</v>
      </c>
      <c r="L59" s="8" t="e" cm="1">
        <f t="array" ref="L59">IF(I59="","", IFERROR(((IF(I$5&lt;&gt;"", I$5*A$5, 0) + SUMPRODUCT(--(I$6:I59&lt;&gt;""), I$6:I59, (A$6:A59-A$5:A58)))/1000)/H$3, ""))</f>
        <v>#N/A</v>
      </c>
      <c r="M59" s="1">
        <f t="shared" si="6"/>
        <v>1100</v>
      </c>
      <c r="N59" s="1">
        <f t="shared" si="7"/>
        <v>0</v>
      </c>
      <c r="U59" s="1" t="e">
        <f t="shared" si="8"/>
        <v>#N/A</v>
      </c>
      <c r="V59" s="1" t="e">
        <f t="shared" si="2"/>
        <v>#N/A</v>
      </c>
      <c r="W59" s="1" t="e">
        <f t="shared" si="9"/>
        <v>#N/A</v>
      </c>
      <c r="X59" s="8" t="e" cm="1">
        <f t="array" ref="X59">IF(U59="","", IFERROR(((IF(U$5&lt;&gt;"", U$5*M$5, 0) + SUMPRODUCT(--(U$6:U59&lt;&gt;""), U$6:U59, (M$6:M59-M$5:M58)))/1000)/T$3, ""))</f>
        <v>#N/A</v>
      </c>
    </row>
    <row r="60" spans="1:24" x14ac:dyDescent="0.25">
      <c r="A60" s="1">
        <f t="shared" si="3"/>
        <v>1120</v>
      </c>
      <c r="B60" s="1">
        <f t="shared" si="10"/>
        <v>0</v>
      </c>
      <c r="I60" s="1" t="e">
        <f t="shared" si="4"/>
        <v>#N/A</v>
      </c>
      <c r="J60" s="1" t="e">
        <f t="shared" si="1"/>
        <v>#N/A</v>
      </c>
      <c r="K60" s="1" t="e">
        <f t="shared" si="5"/>
        <v>#N/A</v>
      </c>
      <c r="L60" s="8" t="e" cm="1">
        <f t="array" ref="L60">IF(I60="","", IFERROR(((IF(I$5&lt;&gt;"", I$5*A$5, 0) + SUMPRODUCT(--(I$6:I60&lt;&gt;""), I$6:I60, (A$6:A60-A$5:A59)))/1000)/H$3, ""))</f>
        <v>#N/A</v>
      </c>
      <c r="M60" s="1">
        <f t="shared" si="6"/>
        <v>1120</v>
      </c>
      <c r="N60" s="1">
        <f t="shared" si="7"/>
        <v>0</v>
      </c>
      <c r="U60" s="1" t="e">
        <f t="shared" si="8"/>
        <v>#N/A</v>
      </c>
      <c r="V60" s="1" t="e">
        <f t="shared" si="2"/>
        <v>#N/A</v>
      </c>
      <c r="W60" s="1" t="e">
        <f t="shared" si="9"/>
        <v>#N/A</v>
      </c>
      <c r="X60" s="8" t="e" cm="1">
        <f t="array" ref="X60">IF(U60="","", IFERROR(((IF(U$5&lt;&gt;"", U$5*M$5, 0) + SUMPRODUCT(--(U$6:U60&lt;&gt;""), U$6:U60, (M$6:M60-M$5:M59)))/1000)/T$3, ""))</f>
        <v>#N/A</v>
      </c>
    </row>
    <row r="61" spans="1:24" x14ac:dyDescent="0.25">
      <c r="A61" s="1">
        <f t="shared" si="3"/>
        <v>1140</v>
      </c>
      <c r="B61" s="1">
        <f t="shared" si="10"/>
        <v>0</v>
      </c>
      <c r="I61" s="1" t="e">
        <f t="shared" si="4"/>
        <v>#N/A</v>
      </c>
      <c r="J61" s="1" t="e">
        <f t="shared" si="1"/>
        <v>#N/A</v>
      </c>
      <c r="K61" s="1" t="e">
        <f t="shared" si="5"/>
        <v>#N/A</v>
      </c>
      <c r="L61" s="8" t="e" cm="1">
        <f t="array" ref="L61">IF(I61="","", IFERROR(((IF(I$5&lt;&gt;"", I$5*A$5, 0) + SUMPRODUCT(--(I$6:I61&lt;&gt;""), I$6:I61, (A$6:A61-A$5:A60)))/1000)/H$3, ""))</f>
        <v>#N/A</v>
      </c>
      <c r="M61" s="1">
        <f t="shared" si="6"/>
        <v>1140</v>
      </c>
      <c r="N61" s="1">
        <f t="shared" si="7"/>
        <v>0</v>
      </c>
      <c r="U61" s="1" t="e">
        <f t="shared" si="8"/>
        <v>#N/A</v>
      </c>
      <c r="V61" s="1" t="e">
        <f t="shared" si="2"/>
        <v>#N/A</v>
      </c>
      <c r="W61" s="1" t="e">
        <f t="shared" si="9"/>
        <v>#N/A</v>
      </c>
      <c r="X61" s="8" t="e" cm="1">
        <f t="array" ref="X61">IF(U61="","", IFERROR(((IF(U$5&lt;&gt;"", U$5*M$5, 0) + SUMPRODUCT(--(U$6:U61&lt;&gt;""), U$6:U61, (M$6:M61-M$5:M60)))/1000)/T$3, ""))</f>
        <v>#N/A</v>
      </c>
    </row>
    <row r="62" spans="1:24" x14ac:dyDescent="0.25">
      <c r="A62" s="1">
        <f t="shared" si="3"/>
        <v>1160</v>
      </c>
      <c r="B62" s="1">
        <f t="shared" si="10"/>
        <v>0</v>
      </c>
      <c r="I62" s="1" t="e">
        <f t="shared" si="4"/>
        <v>#N/A</v>
      </c>
      <c r="J62" s="1" t="e">
        <f t="shared" si="1"/>
        <v>#N/A</v>
      </c>
      <c r="K62" s="1" t="e">
        <f t="shared" si="5"/>
        <v>#N/A</v>
      </c>
      <c r="L62" s="8" t="e" cm="1">
        <f t="array" ref="L62">IF(I62="","", IFERROR(((IF(I$5&lt;&gt;"", I$5*A$5, 0) + SUMPRODUCT(--(I$6:I62&lt;&gt;""), I$6:I62, (A$6:A62-A$5:A61)))/1000)/H$3, ""))</f>
        <v>#N/A</v>
      </c>
      <c r="M62" s="1">
        <f t="shared" si="6"/>
        <v>1160</v>
      </c>
      <c r="N62" s="1">
        <f t="shared" si="7"/>
        <v>0</v>
      </c>
      <c r="U62" s="1" t="e">
        <f t="shared" si="8"/>
        <v>#N/A</v>
      </c>
      <c r="V62" s="1" t="e">
        <f t="shared" si="2"/>
        <v>#N/A</v>
      </c>
      <c r="W62" s="1" t="e">
        <f t="shared" si="9"/>
        <v>#N/A</v>
      </c>
      <c r="X62" s="8" t="e" cm="1">
        <f t="array" ref="X62">IF(U62="","", IFERROR(((IF(U$5&lt;&gt;"", U$5*M$5, 0) + SUMPRODUCT(--(U$6:U62&lt;&gt;""), U$6:U62, (M$6:M62-M$5:M61)))/1000)/T$3, ""))</f>
        <v>#N/A</v>
      </c>
    </row>
    <row r="63" spans="1:24" x14ac:dyDescent="0.25">
      <c r="A63" s="1">
        <f t="shared" si="3"/>
        <v>1180</v>
      </c>
      <c r="B63" s="1">
        <f t="shared" si="10"/>
        <v>0</v>
      </c>
      <c r="I63" s="1" t="e">
        <f t="shared" si="4"/>
        <v>#N/A</v>
      </c>
      <c r="J63" s="1" t="e">
        <f t="shared" si="1"/>
        <v>#N/A</v>
      </c>
      <c r="K63" s="1" t="e">
        <f t="shared" si="5"/>
        <v>#N/A</v>
      </c>
      <c r="L63" s="8" t="e" cm="1">
        <f t="array" ref="L63">IF(I63="","", IFERROR(((IF(I$5&lt;&gt;"", I$5*A$5, 0) + SUMPRODUCT(--(I$6:I63&lt;&gt;""), I$6:I63, (A$6:A63-A$5:A62)))/1000)/H$3, ""))</f>
        <v>#N/A</v>
      </c>
      <c r="M63" s="1">
        <f t="shared" si="6"/>
        <v>1180</v>
      </c>
      <c r="N63" s="1">
        <f t="shared" si="7"/>
        <v>0</v>
      </c>
      <c r="U63" s="1" t="e">
        <f t="shared" si="8"/>
        <v>#N/A</v>
      </c>
      <c r="V63" s="1" t="e">
        <f t="shared" si="2"/>
        <v>#N/A</v>
      </c>
      <c r="W63" s="1" t="e">
        <f t="shared" si="9"/>
        <v>#N/A</v>
      </c>
      <c r="X63" s="8" t="e" cm="1">
        <f t="array" ref="X63">IF(U63="","", IFERROR(((IF(U$5&lt;&gt;"", U$5*M$5, 0) + SUMPRODUCT(--(U$6:U63&lt;&gt;""), U$6:U63, (M$6:M63-M$5:M62)))/1000)/T$3, ""))</f>
        <v>#N/A</v>
      </c>
    </row>
    <row r="64" spans="1:24" x14ac:dyDescent="0.25">
      <c r="A64" s="1">
        <f t="shared" si="3"/>
        <v>1200</v>
      </c>
      <c r="B64" s="1">
        <f t="shared" si="10"/>
        <v>0</v>
      </c>
      <c r="I64" s="1" t="e">
        <f t="shared" si="4"/>
        <v>#N/A</v>
      </c>
      <c r="J64" s="1" t="e">
        <f t="shared" si="1"/>
        <v>#N/A</v>
      </c>
      <c r="K64" s="1" t="e">
        <f t="shared" si="5"/>
        <v>#N/A</v>
      </c>
      <c r="L64" s="8" t="e" cm="1">
        <f t="array" ref="L64">IF(I64="","", IFERROR(((IF(I$5&lt;&gt;"", I$5*A$5, 0) + SUMPRODUCT(--(I$6:I64&lt;&gt;""), I$6:I64, (A$6:A64-A$5:A63)))/1000)/H$3, ""))</f>
        <v>#N/A</v>
      </c>
      <c r="M64" s="1">
        <f t="shared" si="6"/>
        <v>1200</v>
      </c>
      <c r="N64" s="1">
        <f t="shared" si="7"/>
        <v>0</v>
      </c>
      <c r="U64" s="1" t="e">
        <f t="shared" si="8"/>
        <v>#N/A</v>
      </c>
      <c r="V64" s="1" t="e">
        <f t="shared" si="2"/>
        <v>#N/A</v>
      </c>
      <c r="W64" s="1" t="e">
        <f t="shared" si="9"/>
        <v>#N/A</v>
      </c>
      <c r="X64" s="8" t="e" cm="1">
        <f t="array" ref="X64">IF(U64="","", IFERROR(((IF(U$5&lt;&gt;"", U$5*M$5, 0) + SUMPRODUCT(--(U$6:U64&lt;&gt;""), U$6:U64, (M$6:M64-M$5:M63)))/1000)/T$3, ""))</f>
        <v>#N/A</v>
      </c>
    </row>
    <row r="65" spans="1:24" x14ac:dyDescent="0.25">
      <c r="A65" s="1">
        <f t="shared" si="3"/>
        <v>1220</v>
      </c>
      <c r="B65" s="1">
        <f t="shared" si="10"/>
        <v>0</v>
      </c>
      <c r="I65" s="1" t="e">
        <f t="shared" si="4"/>
        <v>#N/A</v>
      </c>
      <c r="J65" s="1" t="e">
        <f t="shared" si="1"/>
        <v>#N/A</v>
      </c>
      <c r="K65" s="1" t="e">
        <f t="shared" si="5"/>
        <v>#N/A</v>
      </c>
      <c r="L65" s="8" t="e" cm="1">
        <f t="array" ref="L65">IF(I65="","", IFERROR(((IF(I$5&lt;&gt;"", I$5*A$5, 0) + SUMPRODUCT(--(I$6:I65&lt;&gt;""), I$6:I65, (A$6:A65-A$5:A64)))/1000)/H$3, ""))</f>
        <v>#N/A</v>
      </c>
      <c r="M65" s="1">
        <f t="shared" si="6"/>
        <v>1220</v>
      </c>
      <c r="N65" s="1">
        <f t="shared" si="7"/>
        <v>0</v>
      </c>
      <c r="U65" s="1" t="e">
        <f t="shared" si="8"/>
        <v>#N/A</v>
      </c>
      <c r="V65" s="1" t="e">
        <f t="shared" si="2"/>
        <v>#N/A</v>
      </c>
      <c r="W65" s="1" t="e">
        <f t="shared" si="9"/>
        <v>#N/A</v>
      </c>
      <c r="X65" s="8" t="e" cm="1">
        <f t="array" ref="X65">IF(U65="","", IFERROR(((IF(U$5&lt;&gt;"", U$5*M$5, 0) + SUMPRODUCT(--(U$6:U65&lt;&gt;""), U$6:U65, (M$6:M65-M$5:M64)))/1000)/T$3, ""))</f>
        <v>#N/A</v>
      </c>
    </row>
    <row r="66" spans="1:24" x14ac:dyDescent="0.25">
      <c r="A66" s="1">
        <f t="shared" si="3"/>
        <v>1240</v>
      </c>
      <c r="B66" s="1">
        <f t="shared" si="10"/>
        <v>0</v>
      </c>
      <c r="I66" s="1" t="e">
        <f t="shared" si="4"/>
        <v>#N/A</v>
      </c>
      <c r="J66" s="1" t="e">
        <f t="shared" si="1"/>
        <v>#N/A</v>
      </c>
      <c r="K66" s="1" t="e">
        <f t="shared" si="5"/>
        <v>#N/A</v>
      </c>
      <c r="L66" s="8" t="e" cm="1">
        <f t="array" ref="L66">IF(I66="","", IFERROR(((IF(I$5&lt;&gt;"", I$5*A$5, 0) + SUMPRODUCT(--(I$6:I66&lt;&gt;""), I$6:I66, (A$6:A66-A$5:A65)))/1000)/H$3, ""))</f>
        <v>#N/A</v>
      </c>
      <c r="M66" s="1">
        <f t="shared" si="6"/>
        <v>1240</v>
      </c>
      <c r="N66" s="1">
        <f t="shared" si="7"/>
        <v>0</v>
      </c>
      <c r="U66" s="1" t="e">
        <f t="shared" si="8"/>
        <v>#N/A</v>
      </c>
      <c r="V66" s="1" t="e">
        <f t="shared" si="2"/>
        <v>#N/A</v>
      </c>
      <c r="W66" s="1" t="e">
        <f t="shared" si="9"/>
        <v>#N/A</v>
      </c>
      <c r="X66" s="8" t="e" cm="1">
        <f t="array" ref="X66">IF(U66="","", IFERROR(((IF(U$5&lt;&gt;"", U$5*M$5, 0) + SUMPRODUCT(--(U$6:U66&lt;&gt;""), U$6:U66, (M$6:M66-M$5:M65)))/1000)/T$3, ""))</f>
        <v>#N/A</v>
      </c>
    </row>
    <row r="67" spans="1:24" x14ac:dyDescent="0.25">
      <c r="A67" s="1">
        <f t="shared" si="3"/>
        <v>1260</v>
      </c>
      <c r="B67" s="1">
        <f t="shared" si="10"/>
        <v>0</v>
      </c>
      <c r="I67" s="1" t="e">
        <f t="shared" si="4"/>
        <v>#N/A</v>
      </c>
      <c r="J67" s="1" t="e">
        <f t="shared" si="1"/>
        <v>#N/A</v>
      </c>
      <c r="K67" s="1" t="e">
        <f t="shared" si="5"/>
        <v>#N/A</v>
      </c>
      <c r="L67" s="8" t="e" cm="1">
        <f t="array" ref="L67">IF(I67="","", IFERROR(((IF(I$5&lt;&gt;"", I$5*A$5, 0) + SUMPRODUCT(--(I$6:I67&lt;&gt;""), I$6:I67, (A$6:A67-A$5:A66)))/1000)/H$3, ""))</f>
        <v>#N/A</v>
      </c>
      <c r="M67" s="1">
        <f t="shared" si="6"/>
        <v>1260</v>
      </c>
      <c r="N67" s="1">
        <f t="shared" si="7"/>
        <v>0</v>
      </c>
      <c r="U67" s="1" t="e">
        <f t="shared" si="8"/>
        <v>#N/A</v>
      </c>
      <c r="V67" s="1" t="e">
        <f t="shared" si="2"/>
        <v>#N/A</v>
      </c>
      <c r="W67" s="1" t="e">
        <f t="shared" si="9"/>
        <v>#N/A</v>
      </c>
      <c r="X67" s="8" t="e" cm="1">
        <f t="array" ref="X67">IF(U67="","", IFERROR(((IF(U$5&lt;&gt;"", U$5*M$5, 0) + SUMPRODUCT(--(U$6:U67&lt;&gt;""), U$6:U67, (M$6:M67-M$5:M66)))/1000)/T$3, ""))</f>
        <v>#N/A</v>
      </c>
    </row>
    <row r="68" spans="1:24" x14ac:dyDescent="0.25">
      <c r="A68" s="1">
        <f t="shared" si="3"/>
        <v>1280</v>
      </c>
      <c r="B68" s="1">
        <f t="shared" si="10"/>
        <v>0</v>
      </c>
      <c r="I68" s="1" t="e">
        <f t="shared" si="4"/>
        <v>#N/A</v>
      </c>
      <c r="J68" s="1" t="e">
        <f t="shared" si="1"/>
        <v>#N/A</v>
      </c>
      <c r="K68" s="1" t="e">
        <f t="shared" si="5"/>
        <v>#N/A</v>
      </c>
      <c r="L68" s="8" t="e" cm="1">
        <f t="array" ref="L68">IF(I68="","", IFERROR(((IF(I$5&lt;&gt;"", I$5*A$5, 0) + SUMPRODUCT(--(I$6:I68&lt;&gt;""), I$6:I68, (A$6:A68-A$5:A67)))/1000)/H$3, ""))</f>
        <v>#N/A</v>
      </c>
      <c r="M68" s="1">
        <f t="shared" si="6"/>
        <v>1280</v>
      </c>
      <c r="N68" s="1">
        <f t="shared" si="7"/>
        <v>0</v>
      </c>
      <c r="U68" s="1" t="e">
        <f t="shared" si="8"/>
        <v>#N/A</v>
      </c>
      <c r="V68" s="1" t="e">
        <f t="shared" si="2"/>
        <v>#N/A</v>
      </c>
      <c r="W68" s="1" t="e">
        <f t="shared" si="9"/>
        <v>#N/A</v>
      </c>
      <c r="X68" s="8" t="e" cm="1">
        <f t="array" ref="X68">IF(U68="","", IFERROR(((IF(U$5&lt;&gt;"", U$5*M$5, 0) + SUMPRODUCT(--(U$6:U68&lt;&gt;""), U$6:U68, (M$6:M68-M$5:M67)))/1000)/T$3, ""))</f>
        <v>#N/A</v>
      </c>
    </row>
    <row r="69" spans="1:24" x14ac:dyDescent="0.25">
      <c r="A69" s="1">
        <f t="shared" si="3"/>
        <v>1300</v>
      </c>
      <c r="B69" s="1">
        <f t="shared" si="10"/>
        <v>0</v>
      </c>
      <c r="I69" s="1" t="e">
        <f t="shared" si="4"/>
        <v>#N/A</v>
      </c>
      <c r="J69" s="1" t="e">
        <f t="shared" si="1"/>
        <v>#N/A</v>
      </c>
      <c r="K69" s="1" t="e">
        <f t="shared" si="5"/>
        <v>#N/A</v>
      </c>
      <c r="L69" s="8" t="e" cm="1">
        <f t="array" ref="L69">IF(I69="","", IFERROR(((IF(I$5&lt;&gt;"", I$5*A$5, 0) + SUMPRODUCT(--(I$6:I69&lt;&gt;""), I$6:I69, (A$6:A69-A$5:A68)))/1000)/H$3, ""))</f>
        <v>#N/A</v>
      </c>
      <c r="M69" s="1">
        <f t="shared" si="6"/>
        <v>1300</v>
      </c>
      <c r="N69" s="1">
        <f t="shared" si="7"/>
        <v>0</v>
      </c>
      <c r="U69" s="1" t="e">
        <f t="shared" si="8"/>
        <v>#N/A</v>
      </c>
      <c r="V69" s="1" t="e">
        <f t="shared" si="2"/>
        <v>#N/A</v>
      </c>
      <c r="W69" s="1" t="e">
        <f t="shared" si="9"/>
        <v>#N/A</v>
      </c>
      <c r="X69" s="8" t="e" cm="1">
        <f t="array" ref="X69">IF(U69="","", IFERROR(((IF(U$5&lt;&gt;"", U$5*M$5, 0) + SUMPRODUCT(--(U$6:U69&lt;&gt;""), U$6:U69, (M$6:M69-M$5:M68)))/1000)/T$3, ""))</f>
        <v>#N/A</v>
      </c>
    </row>
    <row r="70" spans="1:24" x14ac:dyDescent="0.25">
      <c r="A70" s="1">
        <f t="shared" si="3"/>
        <v>1320</v>
      </c>
      <c r="B70" s="1">
        <f t="shared" si="10"/>
        <v>0</v>
      </c>
      <c r="I70" s="1" t="e">
        <f t="shared" si="4"/>
        <v>#N/A</v>
      </c>
      <c r="J70" s="1" t="e">
        <f t="shared" ref="J70:J115" si="11">IF(I70="","",I70/F$2/2.5)</f>
        <v>#N/A</v>
      </c>
      <c r="K70" s="1" t="e">
        <f t="shared" si="5"/>
        <v>#N/A</v>
      </c>
      <c r="L70" s="8" t="e" cm="1">
        <f t="array" ref="L70">IF(I70="","", IFERROR(((IF(I$5&lt;&gt;"", I$5*A$5, 0) + SUMPRODUCT(--(I$6:I70&lt;&gt;""), I$6:I70, (A$6:A70-A$5:A69)))/1000)/H$3, ""))</f>
        <v>#N/A</v>
      </c>
      <c r="M70" s="1">
        <f t="shared" si="6"/>
        <v>1320</v>
      </c>
      <c r="N70" s="1">
        <f t="shared" si="7"/>
        <v>0</v>
      </c>
      <c r="U70" s="1" t="e">
        <f t="shared" si="8"/>
        <v>#N/A</v>
      </c>
      <c r="V70" s="1" t="e">
        <f t="shared" ref="V70:V115" si="12">IF(U70="","",U70/R$2/2.5)</f>
        <v>#N/A</v>
      </c>
      <c r="W70" s="1" t="e">
        <f t="shared" si="9"/>
        <v>#N/A</v>
      </c>
      <c r="X70" s="8" t="e" cm="1">
        <f t="array" ref="X70">IF(U70="","", IFERROR(((IF(U$5&lt;&gt;"", U$5*M$5, 0) + SUMPRODUCT(--(U$6:U70&lt;&gt;""), U$6:U70, (M$6:M70-M$5:M69)))/1000)/T$3, ""))</f>
        <v>#N/A</v>
      </c>
    </row>
    <row r="71" spans="1:24" x14ac:dyDescent="0.25">
      <c r="A71" s="1">
        <f t="shared" ref="A71:A115" si="13">A70+20</f>
        <v>1340</v>
      </c>
      <c r="B71" s="1">
        <f t="shared" ref="B71:B115" si="14">C70</f>
        <v>0</v>
      </c>
      <c r="I71" s="1" t="e">
        <f t="shared" ref="I71:I115" si="15">IF(C71="", NA(), (B71-C71)*1000/(A71-A70))</f>
        <v>#N/A</v>
      </c>
      <c r="J71" s="1" t="e">
        <f t="shared" si="11"/>
        <v>#N/A</v>
      </c>
      <c r="K71" s="1" t="e">
        <f t="shared" ref="K71:K115" si="16">IF(I71="","", 100*_xlfn.STDEV.P(I70:I71)/AVERAGE(I70:I71))</f>
        <v>#N/A</v>
      </c>
      <c r="L71" s="8" t="e" cm="1">
        <f t="array" ref="L71">IF(I71="","", IFERROR(((IF(I$5&lt;&gt;"", I$5*A$5, 0) + SUMPRODUCT(--(I$6:I71&lt;&gt;""), I$6:I71, (A$6:A71-A$5:A70)))/1000)/H$3, ""))</f>
        <v>#N/A</v>
      </c>
      <c r="M71" s="1">
        <f t="shared" ref="M71:M115" si="17">M70+20</f>
        <v>1340</v>
      </c>
      <c r="N71" s="1">
        <f t="shared" ref="N71:N115" si="18">O70</f>
        <v>0</v>
      </c>
      <c r="U71" s="1" t="e">
        <f t="shared" ref="U71:U115" si="19">IF(O71="", NA(), (N71-O71)*1000/(M71-M70))</f>
        <v>#N/A</v>
      </c>
      <c r="V71" s="1" t="e">
        <f t="shared" si="12"/>
        <v>#N/A</v>
      </c>
      <c r="W71" s="1" t="e">
        <f t="shared" ref="W71:W115" si="20">IF(U71="","", 100*_xlfn.STDEV.P(U70:U71)/AVERAGE(U70:U71))</f>
        <v>#N/A</v>
      </c>
      <c r="X71" s="8" t="e" cm="1">
        <f t="array" ref="X71">IF(U71="","", IFERROR(((IF(U$5&lt;&gt;"", U$5*M$5, 0) + SUMPRODUCT(--(U$6:U71&lt;&gt;""), U$6:U71, (M$6:M71-M$5:M70)))/1000)/T$3, ""))</f>
        <v>#N/A</v>
      </c>
    </row>
    <row r="72" spans="1:24" x14ac:dyDescent="0.25">
      <c r="A72" s="1">
        <f t="shared" si="13"/>
        <v>1360</v>
      </c>
      <c r="B72" s="1">
        <f t="shared" si="14"/>
        <v>0</v>
      </c>
      <c r="I72" s="1" t="e">
        <f t="shared" si="15"/>
        <v>#N/A</v>
      </c>
      <c r="J72" s="1" t="e">
        <f t="shared" si="11"/>
        <v>#N/A</v>
      </c>
      <c r="K72" s="1" t="e">
        <f t="shared" si="16"/>
        <v>#N/A</v>
      </c>
      <c r="L72" s="8" t="e" cm="1">
        <f t="array" ref="L72">IF(I72="","", IFERROR(((IF(I$5&lt;&gt;"", I$5*A$5, 0) + SUMPRODUCT(--(I$6:I72&lt;&gt;""), I$6:I72, (A$6:A72-A$5:A71)))/1000)/H$3, ""))</f>
        <v>#N/A</v>
      </c>
      <c r="M72" s="1">
        <f t="shared" si="17"/>
        <v>1360</v>
      </c>
      <c r="N72" s="1">
        <f t="shared" si="18"/>
        <v>0</v>
      </c>
      <c r="U72" s="1" t="e">
        <f t="shared" si="19"/>
        <v>#N/A</v>
      </c>
      <c r="V72" s="1" t="e">
        <f t="shared" si="12"/>
        <v>#N/A</v>
      </c>
      <c r="W72" s="1" t="e">
        <f t="shared" si="20"/>
        <v>#N/A</v>
      </c>
      <c r="X72" s="8" t="e" cm="1">
        <f t="array" ref="X72">IF(U72="","", IFERROR(((IF(U$5&lt;&gt;"", U$5*M$5, 0) + SUMPRODUCT(--(U$6:U72&lt;&gt;""), U$6:U72, (M$6:M72-M$5:M71)))/1000)/T$3, ""))</f>
        <v>#N/A</v>
      </c>
    </row>
    <row r="73" spans="1:24" x14ac:dyDescent="0.25">
      <c r="A73" s="1">
        <f t="shared" si="13"/>
        <v>1380</v>
      </c>
      <c r="B73" s="1">
        <f t="shared" si="14"/>
        <v>0</v>
      </c>
      <c r="I73" s="1" t="e">
        <f t="shared" si="15"/>
        <v>#N/A</v>
      </c>
      <c r="J73" s="1" t="e">
        <f t="shared" si="11"/>
        <v>#N/A</v>
      </c>
      <c r="K73" s="1" t="e">
        <f t="shared" si="16"/>
        <v>#N/A</v>
      </c>
      <c r="L73" s="8" t="e" cm="1">
        <f t="array" ref="L73">IF(I73="","", IFERROR(((IF(I$5&lt;&gt;"", I$5*A$5, 0) + SUMPRODUCT(--(I$6:I73&lt;&gt;""), I$6:I73, (A$6:A73-A$5:A72)))/1000)/H$3, ""))</f>
        <v>#N/A</v>
      </c>
      <c r="M73" s="1">
        <f t="shared" si="17"/>
        <v>1380</v>
      </c>
      <c r="N73" s="1">
        <f t="shared" si="18"/>
        <v>0</v>
      </c>
      <c r="U73" s="1" t="e">
        <f t="shared" si="19"/>
        <v>#N/A</v>
      </c>
      <c r="V73" s="1" t="e">
        <f t="shared" si="12"/>
        <v>#N/A</v>
      </c>
      <c r="W73" s="1" t="e">
        <f t="shared" si="20"/>
        <v>#N/A</v>
      </c>
      <c r="X73" s="8" t="e" cm="1">
        <f t="array" ref="X73">IF(U73="","", IFERROR(((IF(U$5&lt;&gt;"", U$5*M$5, 0) + SUMPRODUCT(--(U$6:U73&lt;&gt;""), U$6:U73, (M$6:M73-M$5:M72)))/1000)/T$3, ""))</f>
        <v>#N/A</v>
      </c>
    </row>
    <row r="74" spans="1:24" x14ac:dyDescent="0.25">
      <c r="A74" s="1">
        <f t="shared" si="13"/>
        <v>1400</v>
      </c>
      <c r="B74" s="1">
        <f t="shared" si="14"/>
        <v>0</v>
      </c>
      <c r="I74" s="1" t="e">
        <f t="shared" si="15"/>
        <v>#N/A</v>
      </c>
      <c r="J74" s="1" t="e">
        <f t="shared" si="11"/>
        <v>#N/A</v>
      </c>
      <c r="K74" s="1" t="e">
        <f t="shared" si="16"/>
        <v>#N/A</v>
      </c>
      <c r="L74" s="8" t="e" cm="1">
        <f t="array" ref="L74">IF(I74="","", IFERROR(((IF(I$5&lt;&gt;"", I$5*A$5, 0) + SUMPRODUCT(--(I$6:I74&lt;&gt;""), I$6:I74, (A$6:A74-A$5:A73)))/1000)/H$3, ""))</f>
        <v>#N/A</v>
      </c>
      <c r="M74" s="1">
        <f t="shared" si="17"/>
        <v>1400</v>
      </c>
      <c r="N74" s="1">
        <f t="shared" si="18"/>
        <v>0</v>
      </c>
      <c r="U74" s="1" t="e">
        <f t="shared" si="19"/>
        <v>#N/A</v>
      </c>
      <c r="V74" s="1" t="e">
        <f t="shared" si="12"/>
        <v>#N/A</v>
      </c>
      <c r="W74" s="1" t="e">
        <f t="shared" si="20"/>
        <v>#N/A</v>
      </c>
      <c r="X74" s="8" t="e" cm="1">
        <f t="array" ref="X74">IF(U74="","", IFERROR(((IF(U$5&lt;&gt;"", U$5*M$5, 0) + SUMPRODUCT(--(U$6:U74&lt;&gt;""), U$6:U74, (M$6:M74-M$5:M73)))/1000)/T$3, ""))</f>
        <v>#N/A</v>
      </c>
    </row>
    <row r="75" spans="1:24" x14ac:dyDescent="0.25">
      <c r="A75" s="1">
        <f t="shared" si="13"/>
        <v>1420</v>
      </c>
      <c r="B75" s="1">
        <f t="shared" si="14"/>
        <v>0</v>
      </c>
      <c r="I75" s="1" t="e">
        <f t="shared" si="15"/>
        <v>#N/A</v>
      </c>
      <c r="J75" s="1" t="e">
        <f t="shared" si="11"/>
        <v>#N/A</v>
      </c>
      <c r="K75" s="1" t="e">
        <f t="shared" si="16"/>
        <v>#N/A</v>
      </c>
      <c r="L75" s="8" t="e" cm="1">
        <f t="array" ref="L75">IF(I75="","", IFERROR(((IF(I$5&lt;&gt;"", I$5*A$5, 0) + SUMPRODUCT(--(I$6:I75&lt;&gt;""), I$6:I75, (A$6:A75-A$5:A74)))/1000)/H$3, ""))</f>
        <v>#N/A</v>
      </c>
      <c r="M75" s="1">
        <f t="shared" si="17"/>
        <v>1420</v>
      </c>
      <c r="N75" s="1">
        <f t="shared" si="18"/>
        <v>0</v>
      </c>
      <c r="U75" s="1" t="e">
        <f t="shared" si="19"/>
        <v>#N/A</v>
      </c>
      <c r="V75" s="1" t="e">
        <f t="shared" si="12"/>
        <v>#N/A</v>
      </c>
      <c r="W75" s="1" t="e">
        <f t="shared" si="20"/>
        <v>#N/A</v>
      </c>
      <c r="X75" s="8" t="e" cm="1">
        <f t="array" ref="X75">IF(U75="","", IFERROR(((IF(U$5&lt;&gt;"", U$5*M$5, 0) + SUMPRODUCT(--(U$6:U75&lt;&gt;""), U$6:U75, (M$6:M75-M$5:M74)))/1000)/T$3, ""))</f>
        <v>#N/A</v>
      </c>
    </row>
    <row r="76" spans="1:24" x14ac:dyDescent="0.25">
      <c r="A76" s="1">
        <f t="shared" si="13"/>
        <v>1440</v>
      </c>
      <c r="B76" s="1">
        <f t="shared" si="14"/>
        <v>0</v>
      </c>
      <c r="I76" s="1" t="e">
        <f t="shared" si="15"/>
        <v>#N/A</v>
      </c>
      <c r="J76" s="1" t="e">
        <f t="shared" si="11"/>
        <v>#N/A</v>
      </c>
      <c r="K76" s="1" t="e">
        <f t="shared" si="16"/>
        <v>#N/A</v>
      </c>
      <c r="L76" s="8" t="e" cm="1">
        <f t="array" ref="L76">IF(I76="","", IFERROR(((IF(I$5&lt;&gt;"", I$5*A$5, 0) + SUMPRODUCT(--(I$6:I76&lt;&gt;""), I$6:I76, (A$6:A76-A$5:A75)))/1000)/H$3, ""))</f>
        <v>#N/A</v>
      </c>
      <c r="M76" s="1">
        <f t="shared" si="17"/>
        <v>1440</v>
      </c>
      <c r="N76" s="1">
        <f t="shared" si="18"/>
        <v>0</v>
      </c>
      <c r="U76" s="1" t="e">
        <f t="shared" si="19"/>
        <v>#N/A</v>
      </c>
      <c r="V76" s="1" t="e">
        <f t="shared" si="12"/>
        <v>#N/A</v>
      </c>
      <c r="W76" s="1" t="e">
        <f t="shared" si="20"/>
        <v>#N/A</v>
      </c>
      <c r="X76" s="8" t="e" cm="1">
        <f t="array" ref="X76">IF(U76="","", IFERROR(((IF(U$5&lt;&gt;"", U$5*M$5, 0) + SUMPRODUCT(--(U$6:U76&lt;&gt;""), U$6:U76, (M$6:M76-M$5:M75)))/1000)/T$3, ""))</f>
        <v>#N/A</v>
      </c>
    </row>
    <row r="77" spans="1:24" x14ac:dyDescent="0.25">
      <c r="A77" s="1">
        <f t="shared" si="13"/>
        <v>1460</v>
      </c>
      <c r="B77" s="1">
        <f t="shared" si="14"/>
        <v>0</v>
      </c>
      <c r="I77" s="1" t="e">
        <f t="shared" si="15"/>
        <v>#N/A</v>
      </c>
      <c r="J77" s="1" t="e">
        <f t="shared" si="11"/>
        <v>#N/A</v>
      </c>
      <c r="K77" s="1" t="e">
        <f t="shared" si="16"/>
        <v>#N/A</v>
      </c>
      <c r="L77" s="8" t="e" cm="1">
        <f t="array" ref="L77">IF(I77="","", IFERROR(((IF(I$5&lt;&gt;"", I$5*A$5, 0) + SUMPRODUCT(--(I$6:I77&lt;&gt;""), I$6:I77, (A$6:A77-A$5:A76)))/1000)/H$3, ""))</f>
        <v>#N/A</v>
      </c>
      <c r="M77" s="1">
        <f t="shared" si="17"/>
        <v>1460</v>
      </c>
      <c r="N77" s="1">
        <f t="shared" si="18"/>
        <v>0</v>
      </c>
      <c r="U77" s="1" t="e">
        <f t="shared" si="19"/>
        <v>#N/A</v>
      </c>
      <c r="V77" s="1" t="e">
        <f t="shared" si="12"/>
        <v>#N/A</v>
      </c>
      <c r="W77" s="1" t="e">
        <f t="shared" si="20"/>
        <v>#N/A</v>
      </c>
      <c r="X77" s="8" t="e" cm="1">
        <f t="array" ref="X77">IF(U77="","", IFERROR(((IF(U$5&lt;&gt;"", U$5*M$5, 0) + SUMPRODUCT(--(U$6:U77&lt;&gt;""), U$6:U77, (M$6:M77-M$5:M76)))/1000)/T$3, ""))</f>
        <v>#N/A</v>
      </c>
    </row>
    <row r="78" spans="1:24" x14ac:dyDescent="0.25">
      <c r="A78" s="1">
        <f t="shared" si="13"/>
        <v>1480</v>
      </c>
      <c r="B78" s="1">
        <f t="shared" si="14"/>
        <v>0</v>
      </c>
      <c r="I78" s="1" t="e">
        <f t="shared" si="15"/>
        <v>#N/A</v>
      </c>
      <c r="J78" s="1" t="e">
        <f t="shared" si="11"/>
        <v>#N/A</v>
      </c>
      <c r="K78" s="1" t="e">
        <f t="shared" si="16"/>
        <v>#N/A</v>
      </c>
      <c r="L78" s="8" t="e" cm="1">
        <f t="array" ref="L78">IF(I78="","", IFERROR(((IF(I$5&lt;&gt;"", I$5*A$5, 0) + SUMPRODUCT(--(I$6:I78&lt;&gt;""), I$6:I78, (A$6:A78-A$5:A77)))/1000)/H$3, ""))</f>
        <v>#N/A</v>
      </c>
      <c r="M78" s="1">
        <f t="shared" si="17"/>
        <v>1480</v>
      </c>
      <c r="N78" s="1">
        <f t="shared" si="18"/>
        <v>0</v>
      </c>
      <c r="U78" s="1" t="e">
        <f t="shared" si="19"/>
        <v>#N/A</v>
      </c>
      <c r="V78" s="1" t="e">
        <f t="shared" si="12"/>
        <v>#N/A</v>
      </c>
      <c r="W78" s="1" t="e">
        <f t="shared" si="20"/>
        <v>#N/A</v>
      </c>
      <c r="X78" s="8" t="e" cm="1">
        <f t="array" ref="X78">IF(U78="","", IFERROR(((IF(U$5&lt;&gt;"", U$5*M$5, 0) + SUMPRODUCT(--(U$6:U78&lt;&gt;""), U$6:U78, (M$6:M78-M$5:M77)))/1000)/T$3, ""))</f>
        <v>#N/A</v>
      </c>
    </row>
    <row r="79" spans="1:24" x14ac:dyDescent="0.25">
      <c r="A79" s="1">
        <f t="shared" si="13"/>
        <v>1500</v>
      </c>
      <c r="B79" s="1">
        <f t="shared" si="14"/>
        <v>0</v>
      </c>
      <c r="I79" s="1" t="e">
        <f t="shared" si="15"/>
        <v>#N/A</v>
      </c>
      <c r="J79" s="1" t="e">
        <f t="shared" si="11"/>
        <v>#N/A</v>
      </c>
      <c r="K79" s="1" t="e">
        <f t="shared" si="16"/>
        <v>#N/A</v>
      </c>
      <c r="L79" s="8" t="e" cm="1">
        <f t="array" ref="L79">IF(I79="","", IFERROR(((IF(I$5&lt;&gt;"", I$5*A$5, 0) + SUMPRODUCT(--(I$6:I79&lt;&gt;""), I$6:I79, (A$6:A79-A$5:A78)))/1000)/H$3, ""))</f>
        <v>#N/A</v>
      </c>
      <c r="M79" s="1">
        <f t="shared" si="17"/>
        <v>1500</v>
      </c>
      <c r="N79" s="1">
        <f t="shared" si="18"/>
        <v>0</v>
      </c>
      <c r="U79" s="1" t="e">
        <f t="shared" si="19"/>
        <v>#N/A</v>
      </c>
      <c r="V79" s="1" t="e">
        <f t="shared" si="12"/>
        <v>#N/A</v>
      </c>
      <c r="W79" s="1" t="e">
        <f t="shared" si="20"/>
        <v>#N/A</v>
      </c>
      <c r="X79" s="8" t="e" cm="1">
        <f t="array" ref="X79">IF(U79="","", IFERROR(((IF(U$5&lt;&gt;"", U$5*M$5, 0) + SUMPRODUCT(--(U$6:U79&lt;&gt;""), U$6:U79, (M$6:M79-M$5:M78)))/1000)/T$3, ""))</f>
        <v>#N/A</v>
      </c>
    </row>
    <row r="80" spans="1:24" x14ac:dyDescent="0.25">
      <c r="A80" s="1">
        <f t="shared" si="13"/>
        <v>1520</v>
      </c>
      <c r="B80" s="1">
        <f t="shared" si="14"/>
        <v>0</v>
      </c>
      <c r="I80" s="1" t="e">
        <f t="shared" si="15"/>
        <v>#N/A</v>
      </c>
      <c r="J80" s="1" t="e">
        <f t="shared" si="11"/>
        <v>#N/A</v>
      </c>
      <c r="K80" s="1" t="e">
        <f t="shared" si="16"/>
        <v>#N/A</v>
      </c>
      <c r="L80" s="8" t="e" cm="1">
        <f t="array" ref="L80">IF(I80="","", IFERROR(((IF(I$5&lt;&gt;"", I$5*A$5, 0) + SUMPRODUCT(--(I$6:I80&lt;&gt;""), I$6:I80, (A$6:A80-A$5:A79)))/1000)/H$3, ""))</f>
        <v>#N/A</v>
      </c>
      <c r="M80" s="1">
        <f t="shared" si="17"/>
        <v>1520</v>
      </c>
      <c r="N80" s="1">
        <f t="shared" si="18"/>
        <v>0</v>
      </c>
      <c r="U80" s="1" t="e">
        <f t="shared" si="19"/>
        <v>#N/A</v>
      </c>
      <c r="V80" s="1" t="e">
        <f t="shared" si="12"/>
        <v>#N/A</v>
      </c>
      <c r="W80" s="1" t="e">
        <f t="shared" si="20"/>
        <v>#N/A</v>
      </c>
      <c r="X80" s="8" t="e" cm="1">
        <f t="array" ref="X80">IF(U80="","", IFERROR(((IF(U$5&lt;&gt;"", U$5*M$5, 0) + SUMPRODUCT(--(U$6:U80&lt;&gt;""), U$6:U80, (M$6:M80-M$5:M79)))/1000)/T$3, ""))</f>
        <v>#N/A</v>
      </c>
    </row>
    <row r="81" spans="1:24" x14ac:dyDescent="0.25">
      <c r="A81" s="1">
        <f t="shared" si="13"/>
        <v>1540</v>
      </c>
      <c r="B81" s="1">
        <f t="shared" si="14"/>
        <v>0</v>
      </c>
      <c r="I81" s="1" t="e">
        <f t="shared" si="15"/>
        <v>#N/A</v>
      </c>
      <c r="J81" s="1" t="e">
        <f t="shared" si="11"/>
        <v>#N/A</v>
      </c>
      <c r="K81" s="1" t="e">
        <f t="shared" si="16"/>
        <v>#N/A</v>
      </c>
      <c r="L81" s="8" t="e" cm="1">
        <f t="array" ref="L81">IF(I81="","", IFERROR(((IF(I$5&lt;&gt;"", I$5*A$5, 0) + SUMPRODUCT(--(I$6:I81&lt;&gt;""), I$6:I81, (A$6:A81-A$5:A80)))/1000)/H$3, ""))</f>
        <v>#N/A</v>
      </c>
      <c r="M81" s="1">
        <f t="shared" si="17"/>
        <v>1540</v>
      </c>
      <c r="N81" s="1">
        <f t="shared" si="18"/>
        <v>0</v>
      </c>
      <c r="U81" s="1" t="e">
        <f t="shared" si="19"/>
        <v>#N/A</v>
      </c>
      <c r="V81" s="1" t="e">
        <f t="shared" si="12"/>
        <v>#N/A</v>
      </c>
      <c r="W81" s="1" t="e">
        <f t="shared" si="20"/>
        <v>#N/A</v>
      </c>
      <c r="X81" s="8" t="e" cm="1">
        <f t="array" ref="X81">IF(U81="","", IFERROR(((IF(U$5&lt;&gt;"", U$5*M$5, 0) + SUMPRODUCT(--(U$6:U81&lt;&gt;""), U$6:U81, (M$6:M81-M$5:M80)))/1000)/T$3, ""))</f>
        <v>#N/A</v>
      </c>
    </row>
    <row r="82" spans="1:24" x14ac:dyDescent="0.25">
      <c r="A82" s="1">
        <f t="shared" si="13"/>
        <v>1560</v>
      </c>
      <c r="B82" s="1">
        <f t="shared" si="14"/>
        <v>0</v>
      </c>
      <c r="I82" s="1" t="e">
        <f t="shared" si="15"/>
        <v>#N/A</v>
      </c>
      <c r="J82" s="1" t="e">
        <f t="shared" si="11"/>
        <v>#N/A</v>
      </c>
      <c r="K82" s="1" t="e">
        <f t="shared" si="16"/>
        <v>#N/A</v>
      </c>
      <c r="L82" s="8" t="e" cm="1">
        <f t="array" ref="L82">IF(I82="","", IFERROR(((IF(I$5&lt;&gt;"", I$5*A$5, 0) + SUMPRODUCT(--(I$6:I82&lt;&gt;""), I$6:I82, (A$6:A82-A$5:A81)))/1000)/H$3, ""))</f>
        <v>#N/A</v>
      </c>
      <c r="M82" s="1">
        <f t="shared" si="17"/>
        <v>1560</v>
      </c>
      <c r="N82" s="1">
        <f t="shared" si="18"/>
        <v>0</v>
      </c>
      <c r="U82" s="1" t="e">
        <f t="shared" si="19"/>
        <v>#N/A</v>
      </c>
      <c r="V82" s="1" t="e">
        <f t="shared" si="12"/>
        <v>#N/A</v>
      </c>
      <c r="W82" s="1" t="e">
        <f t="shared" si="20"/>
        <v>#N/A</v>
      </c>
      <c r="X82" s="8" t="e" cm="1">
        <f t="array" ref="X82">IF(U82="","", IFERROR(((IF(U$5&lt;&gt;"", U$5*M$5, 0) + SUMPRODUCT(--(U$6:U82&lt;&gt;""), U$6:U82, (M$6:M82-M$5:M81)))/1000)/T$3, ""))</f>
        <v>#N/A</v>
      </c>
    </row>
    <row r="83" spans="1:24" x14ac:dyDescent="0.25">
      <c r="A83" s="1">
        <f t="shared" si="13"/>
        <v>1580</v>
      </c>
      <c r="B83" s="1">
        <f t="shared" si="14"/>
        <v>0</v>
      </c>
      <c r="I83" s="1" t="e">
        <f t="shared" si="15"/>
        <v>#N/A</v>
      </c>
      <c r="J83" s="1" t="e">
        <f t="shared" si="11"/>
        <v>#N/A</v>
      </c>
      <c r="K83" s="1" t="e">
        <f t="shared" si="16"/>
        <v>#N/A</v>
      </c>
      <c r="L83" s="8" t="e" cm="1">
        <f t="array" ref="L83">IF(I83="","", IFERROR(((IF(I$5&lt;&gt;"", I$5*A$5, 0) + SUMPRODUCT(--(I$6:I83&lt;&gt;""), I$6:I83, (A$6:A83-A$5:A82)))/1000)/H$3, ""))</f>
        <v>#N/A</v>
      </c>
      <c r="M83" s="1">
        <f t="shared" si="17"/>
        <v>1580</v>
      </c>
      <c r="N83" s="1">
        <f t="shared" si="18"/>
        <v>0</v>
      </c>
      <c r="U83" s="1" t="e">
        <f t="shared" si="19"/>
        <v>#N/A</v>
      </c>
      <c r="V83" s="1" t="e">
        <f t="shared" si="12"/>
        <v>#N/A</v>
      </c>
      <c r="W83" s="1" t="e">
        <f t="shared" si="20"/>
        <v>#N/A</v>
      </c>
      <c r="X83" s="8" t="e" cm="1">
        <f t="array" ref="X83">IF(U83="","", IFERROR(((IF(U$5&lt;&gt;"", U$5*M$5, 0) + SUMPRODUCT(--(U$6:U83&lt;&gt;""), U$6:U83, (M$6:M83-M$5:M82)))/1000)/T$3, ""))</f>
        <v>#N/A</v>
      </c>
    </row>
    <row r="84" spans="1:24" x14ac:dyDescent="0.25">
      <c r="A84" s="1">
        <f t="shared" si="13"/>
        <v>1600</v>
      </c>
      <c r="B84" s="1">
        <f t="shared" si="14"/>
        <v>0</v>
      </c>
      <c r="I84" s="1" t="e">
        <f t="shared" si="15"/>
        <v>#N/A</v>
      </c>
      <c r="J84" s="1" t="e">
        <f t="shared" si="11"/>
        <v>#N/A</v>
      </c>
      <c r="K84" s="1" t="e">
        <f t="shared" si="16"/>
        <v>#N/A</v>
      </c>
      <c r="L84" s="8" t="e" cm="1">
        <f t="array" ref="L84">IF(I84="","", IFERROR(((IF(I$5&lt;&gt;"", I$5*A$5, 0) + SUMPRODUCT(--(I$6:I84&lt;&gt;""), I$6:I84, (A$6:A84-A$5:A83)))/1000)/H$3, ""))</f>
        <v>#N/A</v>
      </c>
      <c r="M84" s="1">
        <f t="shared" si="17"/>
        <v>1600</v>
      </c>
      <c r="N84" s="1">
        <f t="shared" si="18"/>
        <v>0</v>
      </c>
      <c r="U84" s="1" t="e">
        <f t="shared" si="19"/>
        <v>#N/A</v>
      </c>
      <c r="V84" s="1" t="e">
        <f t="shared" si="12"/>
        <v>#N/A</v>
      </c>
      <c r="W84" s="1" t="e">
        <f t="shared" si="20"/>
        <v>#N/A</v>
      </c>
      <c r="X84" s="8" t="e" cm="1">
        <f t="array" ref="X84">IF(U84="","", IFERROR(((IF(U$5&lt;&gt;"", U$5*M$5, 0) + SUMPRODUCT(--(U$6:U84&lt;&gt;""), U$6:U84, (M$6:M84-M$5:M83)))/1000)/T$3, ""))</f>
        <v>#N/A</v>
      </c>
    </row>
    <row r="85" spans="1:24" x14ac:dyDescent="0.25">
      <c r="A85" s="1">
        <f t="shared" si="13"/>
        <v>1620</v>
      </c>
      <c r="B85" s="1">
        <f t="shared" si="14"/>
        <v>0</v>
      </c>
      <c r="I85" s="1" t="e">
        <f t="shared" si="15"/>
        <v>#N/A</v>
      </c>
      <c r="J85" s="1" t="e">
        <f t="shared" si="11"/>
        <v>#N/A</v>
      </c>
      <c r="K85" s="1" t="e">
        <f t="shared" si="16"/>
        <v>#N/A</v>
      </c>
      <c r="L85" s="8" t="e" cm="1">
        <f t="array" ref="L85">IF(I85="","", IFERROR(((IF(I$5&lt;&gt;"", I$5*A$5, 0) + SUMPRODUCT(--(I$6:I85&lt;&gt;""), I$6:I85, (A$6:A85-A$5:A84)))/1000)/H$3, ""))</f>
        <v>#N/A</v>
      </c>
      <c r="M85" s="1">
        <f t="shared" si="17"/>
        <v>1620</v>
      </c>
      <c r="N85" s="1">
        <f t="shared" si="18"/>
        <v>0</v>
      </c>
      <c r="U85" s="1" t="e">
        <f t="shared" si="19"/>
        <v>#N/A</v>
      </c>
      <c r="V85" s="1" t="e">
        <f t="shared" si="12"/>
        <v>#N/A</v>
      </c>
      <c r="W85" s="1" t="e">
        <f t="shared" si="20"/>
        <v>#N/A</v>
      </c>
      <c r="X85" s="8" t="e" cm="1">
        <f t="array" ref="X85">IF(U85="","", IFERROR(((IF(U$5&lt;&gt;"", U$5*M$5, 0) + SUMPRODUCT(--(U$6:U85&lt;&gt;""), U$6:U85, (M$6:M85-M$5:M84)))/1000)/T$3, ""))</f>
        <v>#N/A</v>
      </c>
    </row>
    <row r="86" spans="1:24" x14ac:dyDescent="0.25">
      <c r="A86" s="1">
        <f t="shared" si="13"/>
        <v>1640</v>
      </c>
      <c r="B86" s="1">
        <f t="shared" si="14"/>
        <v>0</v>
      </c>
      <c r="I86" s="1" t="e">
        <f t="shared" si="15"/>
        <v>#N/A</v>
      </c>
      <c r="J86" s="1" t="e">
        <f t="shared" si="11"/>
        <v>#N/A</v>
      </c>
      <c r="K86" s="1" t="e">
        <f t="shared" si="16"/>
        <v>#N/A</v>
      </c>
      <c r="L86" s="8" t="e" cm="1">
        <f t="array" ref="L86">IF(I86="","", IFERROR(((IF(I$5&lt;&gt;"", I$5*A$5, 0) + SUMPRODUCT(--(I$6:I86&lt;&gt;""), I$6:I86, (A$6:A86-A$5:A85)))/1000)/H$3, ""))</f>
        <v>#N/A</v>
      </c>
      <c r="M86" s="1">
        <f t="shared" si="17"/>
        <v>1640</v>
      </c>
      <c r="N86" s="1">
        <f t="shared" si="18"/>
        <v>0</v>
      </c>
      <c r="U86" s="1" t="e">
        <f t="shared" si="19"/>
        <v>#N/A</v>
      </c>
      <c r="V86" s="1" t="e">
        <f t="shared" si="12"/>
        <v>#N/A</v>
      </c>
      <c r="W86" s="1" t="e">
        <f t="shared" si="20"/>
        <v>#N/A</v>
      </c>
      <c r="X86" s="8" t="e" cm="1">
        <f t="array" ref="X86">IF(U86="","", IFERROR(((IF(U$5&lt;&gt;"", U$5*M$5, 0) + SUMPRODUCT(--(U$6:U86&lt;&gt;""), U$6:U86, (M$6:M86-M$5:M85)))/1000)/T$3, ""))</f>
        <v>#N/A</v>
      </c>
    </row>
    <row r="87" spans="1:24" x14ac:dyDescent="0.25">
      <c r="A87" s="1">
        <f t="shared" si="13"/>
        <v>1660</v>
      </c>
      <c r="B87" s="1">
        <f t="shared" si="14"/>
        <v>0</v>
      </c>
      <c r="I87" s="1" t="e">
        <f t="shared" si="15"/>
        <v>#N/A</v>
      </c>
      <c r="J87" s="1" t="e">
        <f t="shared" si="11"/>
        <v>#N/A</v>
      </c>
      <c r="K87" s="1" t="e">
        <f t="shared" si="16"/>
        <v>#N/A</v>
      </c>
      <c r="L87" s="8" t="e" cm="1">
        <f t="array" ref="L87">IF(I87="","", IFERROR(((IF(I$5&lt;&gt;"", I$5*A$5, 0) + SUMPRODUCT(--(I$6:I87&lt;&gt;""), I$6:I87, (A$6:A87-A$5:A86)))/1000)/H$3, ""))</f>
        <v>#N/A</v>
      </c>
      <c r="M87" s="1">
        <f t="shared" si="17"/>
        <v>1660</v>
      </c>
      <c r="N87" s="1">
        <f t="shared" si="18"/>
        <v>0</v>
      </c>
      <c r="U87" s="1" t="e">
        <f t="shared" si="19"/>
        <v>#N/A</v>
      </c>
      <c r="V87" s="1" t="e">
        <f t="shared" si="12"/>
        <v>#N/A</v>
      </c>
      <c r="W87" s="1" t="e">
        <f t="shared" si="20"/>
        <v>#N/A</v>
      </c>
      <c r="X87" s="8" t="e" cm="1">
        <f t="array" ref="X87">IF(U87="","", IFERROR(((IF(U$5&lt;&gt;"", U$5*M$5, 0) + SUMPRODUCT(--(U$6:U87&lt;&gt;""), U$6:U87, (M$6:M87-M$5:M86)))/1000)/T$3, ""))</f>
        <v>#N/A</v>
      </c>
    </row>
    <row r="88" spans="1:24" x14ac:dyDescent="0.25">
      <c r="A88" s="1">
        <f t="shared" si="13"/>
        <v>1680</v>
      </c>
      <c r="B88" s="1">
        <f t="shared" si="14"/>
        <v>0</v>
      </c>
      <c r="I88" s="1" t="e">
        <f t="shared" si="15"/>
        <v>#N/A</v>
      </c>
      <c r="J88" s="1" t="e">
        <f t="shared" si="11"/>
        <v>#N/A</v>
      </c>
      <c r="K88" s="1" t="e">
        <f t="shared" si="16"/>
        <v>#N/A</v>
      </c>
      <c r="L88" s="8" t="e" cm="1">
        <f t="array" ref="L88">IF(I88="","", IFERROR(((IF(I$5&lt;&gt;"", I$5*A$5, 0) + SUMPRODUCT(--(I$6:I88&lt;&gt;""), I$6:I88, (A$6:A88-A$5:A87)))/1000)/H$3, ""))</f>
        <v>#N/A</v>
      </c>
      <c r="M88" s="1">
        <f t="shared" si="17"/>
        <v>1680</v>
      </c>
      <c r="N88" s="1">
        <f t="shared" si="18"/>
        <v>0</v>
      </c>
      <c r="U88" s="1" t="e">
        <f t="shared" si="19"/>
        <v>#N/A</v>
      </c>
      <c r="V88" s="1" t="e">
        <f t="shared" si="12"/>
        <v>#N/A</v>
      </c>
      <c r="W88" s="1" t="e">
        <f t="shared" si="20"/>
        <v>#N/A</v>
      </c>
      <c r="X88" s="8" t="e" cm="1">
        <f t="array" ref="X88">IF(U88="","", IFERROR(((IF(U$5&lt;&gt;"", U$5*M$5, 0) + SUMPRODUCT(--(U$6:U88&lt;&gt;""), U$6:U88, (M$6:M88-M$5:M87)))/1000)/T$3, ""))</f>
        <v>#N/A</v>
      </c>
    </row>
    <row r="89" spans="1:24" x14ac:dyDescent="0.25">
      <c r="A89" s="1">
        <f t="shared" si="13"/>
        <v>1700</v>
      </c>
      <c r="B89" s="1">
        <f t="shared" si="14"/>
        <v>0</v>
      </c>
      <c r="I89" s="1" t="e">
        <f t="shared" si="15"/>
        <v>#N/A</v>
      </c>
      <c r="J89" s="1" t="e">
        <f t="shared" si="11"/>
        <v>#N/A</v>
      </c>
      <c r="K89" s="1" t="e">
        <f t="shared" si="16"/>
        <v>#N/A</v>
      </c>
      <c r="L89" s="8" t="e" cm="1">
        <f t="array" ref="L89">IF(I89="","", IFERROR(((IF(I$5&lt;&gt;"", I$5*A$5, 0) + SUMPRODUCT(--(I$6:I89&lt;&gt;""), I$6:I89, (A$6:A89-A$5:A88)))/1000)/H$3, ""))</f>
        <v>#N/A</v>
      </c>
      <c r="M89" s="1">
        <f t="shared" si="17"/>
        <v>1700</v>
      </c>
      <c r="N89" s="1">
        <f t="shared" si="18"/>
        <v>0</v>
      </c>
      <c r="U89" s="1" t="e">
        <f t="shared" si="19"/>
        <v>#N/A</v>
      </c>
      <c r="V89" s="1" t="e">
        <f t="shared" si="12"/>
        <v>#N/A</v>
      </c>
      <c r="W89" s="1" t="e">
        <f t="shared" si="20"/>
        <v>#N/A</v>
      </c>
      <c r="X89" s="8" t="e" cm="1">
        <f t="array" ref="X89">IF(U89="","", IFERROR(((IF(U$5&lt;&gt;"", U$5*M$5, 0) + SUMPRODUCT(--(U$6:U89&lt;&gt;""), U$6:U89, (M$6:M89-M$5:M88)))/1000)/T$3, ""))</f>
        <v>#N/A</v>
      </c>
    </row>
    <row r="90" spans="1:24" x14ac:dyDescent="0.25">
      <c r="A90" s="1">
        <f t="shared" si="13"/>
        <v>1720</v>
      </c>
      <c r="B90" s="1">
        <f t="shared" si="14"/>
        <v>0</v>
      </c>
      <c r="I90" s="1" t="e">
        <f t="shared" si="15"/>
        <v>#N/A</v>
      </c>
      <c r="J90" s="1" t="e">
        <f t="shared" si="11"/>
        <v>#N/A</v>
      </c>
      <c r="K90" s="1" t="e">
        <f t="shared" si="16"/>
        <v>#N/A</v>
      </c>
      <c r="L90" s="8" t="e" cm="1">
        <f t="array" ref="L90">IF(I90="","", IFERROR(((IF(I$5&lt;&gt;"", I$5*A$5, 0) + SUMPRODUCT(--(I$6:I90&lt;&gt;""), I$6:I90, (A$6:A90-A$5:A89)))/1000)/H$3, ""))</f>
        <v>#N/A</v>
      </c>
      <c r="M90" s="1">
        <f t="shared" si="17"/>
        <v>1720</v>
      </c>
      <c r="N90" s="1">
        <f t="shared" si="18"/>
        <v>0</v>
      </c>
      <c r="U90" s="1" t="e">
        <f t="shared" si="19"/>
        <v>#N/A</v>
      </c>
      <c r="V90" s="1" t="e">
        <f t="shared" si="12"/>
        <v>#N/A</v>
      </c>
      <c r="W90" s="1" t="e">
        <f t="shared" si="20"/>
        <v>#N/A</v>
      </c>
      <c r="X90" s="8" t="e" cm="1">
        <f t="array" ref="X90">IF(U90="","", IFERROR(((IF(U$5&lt;&gt;"", U$5*M$5, 0) + SUMPRODUCT(--(U$6:U90&lt;&gt;""), U$6:U90, (M$6:M90-M$5:M89)))/1000)/T$3, ""))</f>
        <v>#N/A</v>
      </c>
    </row>
    <row r="91" spans="1:24" x14ac:dyDescent="0.25">
      <c r="A91" s="1">
        <f t="shared" si="13"/>
        <v>1740</v>
      </c>
      <c r="B91" s="1">
        <f t="shared" si="14"/>
        <v>0</v>
      </c>
      <c r="I91" s="1" t="e">
        <f t="shared" si="15"/>
        <v>#N/A</v>
      </c>
      <c r="J91" s="1" t="e">
        <f t="shared" si="11"/>
        <v>#N/A</v>
      </c>
      <c r="K91" s="1" t="e">
        <f t="shared" si="16"/>
        <v>#N/A</v>
      </c>
      <c r="L91" s="8" t="e" cm="1">
        <f t="array" ref="L91">IF(I91="","", IFERROR(((IF(I$5&lt;&gt;"", I$5*A$5, 0) + SUMPRODUCT(--(I$6:I91&lt;&gt;""), I$6:I91, (A$6:A91-A$5:A90)))/1000)/H$3, ""))</f>
        <v>#N/A</v>
      </c>
      <c r="M91" s="1">
        <f t="shared" si="17"/>
        <v>1740</v>
      </c>
      <c r="N91" s="1">
        <f t="shared" si="18"/>
        <v>0</v>
      </c>
      <c r="U91" s="1" t="e">
        <f t="shared" si="19"/>
        <v>#N/A</v>
      </c>
      <c r="V91" s="1" t="e">
        <f t="shared" si="12"/>
        <v>#N/A</v>
      </c>
      <c r="W91" s="1" t="e">
        <f t="shared" si="20"/>
        <v>#N/A</v>
      </c>
      <c r="X91" s="8" t="e" cm="1">
        <f t="array" ref="X91">IF(U91="","", IFERROR(((IF(U$5&lt;&gt;"", U$5*M$5, 0) + SUMPRODUCT(--(U$6:U91&lt;&gt;""), U$6:U91, (M$6:M91-M$5:M90)))/1000)/T$3, ""))</f>
        <v>#N/A</v>
      </c>
    </row>
    <row r="92" spans="1:24" x14ac:dyDescent="0.25">
      <c r="A92" s="1">
        <f t="shared" si="13"/>
        <v>1760</v>
      </c>
      <c r="B92" s="1">
        <f t="shared" si="14"/>
        <v>0</v>
      </c>
      <c r="I92" s="1" t="e">
        <f t="shared" si="15"/>
        <v>#N/A</v>
      </c>
      <c r="J92" s="1" t="e">
        <f t="shared" si="11"/>
        <v>#N/A</v>
      </c>
      <c r="K92" s="1" t="e">
        <f t="shared" si="16"/>
        <v>#N/A</v>
      </c>
      <c r="L92" s="8" t="e" cm="1">
        <f t="array" ref="L92">IF(I92="","", IFERROR(((IF(I$5&lt;&gt;"", I$5*A$5, 0) + SUMPRODUCT(--(I$6:I92&lt;&gt;""), I$6:I92, (A$6:A92-A$5:A91)))/1000)/H$3, ""))</f>
        <v>#N/A</v>
      </c>
      <c r="M92" s="1">
        <f t="shared" si="17"/>
        <v>1760</v>
      </c>
      <c r="N92" s="1">
        <f t="shared" si="18"/>
        <v>0</v>
      </c>
      <c r="U92" s="1" t="e">
        <f t="shared" si="19"/>
        <v>#N/A</v>
      </c>
      <c r="V92" s="1" t="e">
        <f t="shared" si="12"/>
        <v>#N/A</v>
      </c>
      <c r="W92" s="1" t="e">
        <f t="shared" si="20"/>
        <v>#N/A</v>
      </c>
      <c r="X92" s="8" t="e" cm="1">
        <f t="array" ref="X92">IF(U92="","", IFERROR(((IF(U$5&lt;&gt;"", U$5*M$5, 0) + SUMPRODUCT(--(U$6:U92&lt;&gt;""), U$6:U92, (M$6:M92-M$5:M91)))/1000)/T$3, ""))</f>
        <v>#N/A</v>
      </c>
    </row>
    <row r="93" spans="1:24" x14ac:dyDescent="0.25">
      <c r="A93" s="1">
        <f t="shared" si="13"/>
        <v>1780</v>
      </c>
      <c r="B93" s="1">
        <f t="shared" si="14"/>
        <v>0</v>
      </c>
      <c r="I93" s="1" t="e">
        <f t="shared" si="15"/>
        <v>#N/A</v>
      </c>
      <c r="J93" s="1" t="e">
        <f t="shared" si="11"/>
        <v>#N/A</v>
      </c>
      <c r="K93" s="1" t="e">
        <f t="shared" si="16"/>
        <v>#N/A</v>
      </c>
      <c r="L93" s="8" t="e" cm="1">
        <f t="array" ref="L93">IF(I93="","", IFERROR(((IF(I$5&lt;&gt;"", I$5*A$5, 0) + SUMPRODUCT(--(I$6:I93&lt;&gt;""), I$6:I93, (A$6:A93-A$5:A92)))/1000)/H$3, ""))</f>
        <v>#N/A</v>
      </c>
      <c r="M93" s="1">
        <f t="shared" si="17"/>
        <v>1780</v>
      </c>
      <c r="N93" s="1">
        <f t="shared" si="18"/>
        <v>0</v>
      </c>
      <c r="U93" s="1" t="e">
        <f t="shared" si="19"/>
        <v>#N/A</v>
      </c>
      <c r="V93" s="1" t="e">
        <f t="shared" si="12"/>
        <v>#N/A</v>
      </c>
      <c r="W93" s="1" t="e">
        <f t="shared" si="20"/>
        <v>#N/A</v>
      </c>
      <c r="X93" s="8" t="e" cm="1">
        <f t="array" ref="X93">IF(U93="","", IFERROR(((IF(U$5&lt;&gt;"", U$5*M$5, 0) + SUMPRODUCT(--(U$6:U93&lt;&gt;""), U$6:U93, (M$6:M93-M$5:M92)))/1000)/T$3, ""))</f>
        <v>#N/A</v>
      </c>
    </row>
    <row r="94" spans="1:24" x14ac:dyDescent="0.25">
      <c r="A94" s="1">
        <f t="shared" si="13"/>
        <v>1800</v>
      </c>
      <c r="B94" s="1">
        <f t="shared" si="14"/>
        <v>0</v>
      </c>
      <c r="I94" s="1" t="e">
        <f t="shared" si="15"/>
        <v>#N/A</v>
      </c>
      <c r="J94" s="1" t="e">
        <f t="shared" si="11"/>
        <v>#N/A</v>
      </c>
      <c r="K94" s="1" t="e">
        <f t="shared" si="16"/>
        <v>#N/A</v>
      </c>
      <c r="L94" s="8" t="e" cm="1">
        <f t="array" ref="L94">IF(I94="","", IFERROR(((IF(I$5&lt;&gt;"", I$5*A$5, 0) + SUMPRODUCT(--(I$6:I94&lt;&gt;""), I$6:I94, (A$6:A94-A$5:A93)))/1000)/H$3, ""))</f>
        <v>#N/A</v>
      </c>
      <c r="M94" s="1">
        <f t="shared" si="17"/>
        <v>1800</v>
      </c>
      <c r="N94" s="1">
        <f t="shared" si="18"/>
        <v>0</v>
      </c>
      <c r="U94" s="1" t="e">
        <f t="shared" si="19"/>
        <v>#N/A</v>
      </c>
      <c r="V94" s="1" t="e">
        <f t="shared" si="12"/>
        <v>#N/A</v>
      </c>
      <c r="W94" s="1" t="e">
        <f t="shared" si="20"/>
        <v>#N/A</v>
      </c>
      <c r="X94" s="8" t="e" cm="1">
        <f t="array" ref="X94">IF(U94="","", IFERROR(((IF(U$5&lt;&gt;"", U$5*M$5, 0) + SUMPRODUCT(--(U$6:U94&lt;&gt;""), U$6:U94, (M$6:M94-M$5:M93)))/1000)/T$3, ""))</f>
        <v>#N/A</v>
      </c>
    </row>
    <row r="95" spans="1:24" x14ac:dyDescent="0.25">
      <c r="A95" s="1">
        <f t="shared" si="13"/>
        <v>1820</v>
      </c>
      <c r="B95" s="1">
        <f t="shared" si="14"/>
        <v>0</v>
      </c>
      <c r="I95" s="1" t="e">
        <f t="shared" si="15"/>
        <v>#N/A</v>
      </c>
      <c r="J95" s="1" t="e">
        <f t="shared" si="11"/>
        <v>#N/A</v>
      </c>
      <c r="K95" s="1" t="e">
        <f t="shared" si="16"/>
        <v>#N/A</v>
      </c>
      <c r="L95" s="8" t="e" cm="1">
        <f t="array" ref="L95">IF(I95="","", IFERROR(((IF(I$5&lt;&gt;"", I$5*A$5, 0) + SUMPRODUCT(--(I$6:I95&lt;&gt;""), I$6:I95, (A$6:A95-A$5:A94)))/1000)/H$3, ""))</f>
        <v>#N/A</v>
      </c>
      <c r="M95" s="1">
        <f t="shared" si="17"/>
        <v>1820</v>
      </c>
      <c r="N95" s="1">
        <f t="shared" si="18"/>
        <v>0</v>
      </c>
      <c r="U95" s="1" t="e">
        <f t="shared" si="19"/>
        <v>#N/A</v>
      </c>
      <c r="V95" s="1" t="e">
        <f t="shared" si="12"/>
        <v>#N/A</v>
      </c>
      <c r="W95" s="1" t="e">
        <f t="shared" si="20"/>
        <v>#N/A</v>
      </c>
      <c r="X95" s="8" t="e" cm="1">
        <f t="array" ref="X95">IF(U95="","", IFERROR(((IF(U$5&lt;&gt;"", U$5*M$5, 0) + SUMPRODUCT(--(U$6:U95&lt;&gt;""), U$6:U95, (M$6:M95-M$5:M94)))/1000)/T$3, ""))</f>
        <v>#N/A</v>
      </c>
    </row>
    <row r="96" spans="1:24" x14ac:dyDescent="0.25">
      <c r="A96" s="1">
        <f t="shared" si="13"/>
        <v>1840</v>
      </c>
      <c r="B96" s="1">
        <f t="shared" si="14"/>
        <v>0</v>
      </c>
      <c r="I96" s="1" t="e">
        <f t="shared" si="15"/>
        <v>#N/A</v>
      </c>
      <c r="J96" s="1" t="e">
        <f t="shared" si="11"/>
        <v>#N/A</v>
      </c>
      <c r="K96" s="1" t="e">
        <f t="shared" si="16"/>
        <v>#N/A</v>
      </c>
      <c r="L96" s="8" t="e" cm="1">
        <f t="array" ref="L96">IF(I96="","", IFERROR(((IF(I$5&lt;&gt;"", I$5*A$5, 0) + SUMPRODUCT(--(I$6:I96&lt;&gt;""), I$6:I96, (A$6:A96-A$5:A95)))/1000)/H$3, ""))</f>
        <v>#N/A</v>
      </c>
      <c r="M96" s="1">
        <f t="shared" si="17"/>
        <v>1840</v>
      </c>
      <c r="N96" s="1">
        <f t="shared" si="18"/>
        <v>0</v>
      </c>
      <c r="U96" s="1" t="e">
        <f t="shared" si="19"/>
        <v>#N/A</v>
      </c>
      <c r="V96" s="1" t="e">
        <f t="shared" si="12"/>
        <v>#N/A</v>
      </c>
      <c r="W96" s="1" t="e">
        <f t="shared" si="20"/>
        <v>#N/A</v>
      </c>
      <c r="X96" s="8" t="e" cm="1">
        <f t="array" ref="X96">IF(U96="","", IFERROR(((IF(U$5&lt;&gt;"", U$5*M$5, 0) + SUMPRODUCT(--(U$6:U96&lt;&gt;""), U$6:U96, (M$6:M96-M$5:M95)))/1000)/T$3, ""))</f>
        <v>#N/A</v>
      </c>
    </row>
    <row r="97" spans="1:24" x14ac:dyDescent="0.25">
      <c r="A97" s="1">
        <f t="shared" si="13"/>
        <v>1860</v>
      </c>
      <c r="B97" s="1">
        <f t="shared" si="14"/>
        <v>0</v>
      </c>
      <c r="I97" s="1" t="e">
        <f t="shared" si="15"/>
        <v>#N/A</v>
      </c>
      <c r="J97" s="1" t="e">
        <f t="shared" si="11"/>
        <v>#N/A</v>
      </c>
      <c r="K97" s="1" t="e">
        <f t="shared" si="16"/>
        <v>#N/A</v>
      </c>
      <c r="L97" s="8" t="e" cm="1">
        <f t="array" ref="L97">IF(I97="","", IFERROR(((IF(I$5&lt;&gt;"", I$5*A$5, 0) + SUMPRODUCT(--(I$6:I97&lt;&gt;""), I$6:I97, (A$6:A97-A$5:A96)))/1000)/H$3, ""))</f>
        <v>#N/A</v>
      </c>
      <c r="M97" s="1">
        <f t="shared" si="17"/>
        <v>1860</v>
      </c>
      <c r="N97" s="1">
        <f t="shared" si="18"/>
        <v>0</v>
      </c>
      <c r="U97" s="1" t="e">
        <f t="shared" si="19"/>
        <v>#N/A</v>
      </c>
      <c r="V97" s="1" t="e">
        <f t="shared" si="12"/>
        <v>#N/A</v>
      </c>
      <c r="W97" s="1" t="e">
        <f t="shared" si="20"/>
        <v>#N/A</v>
      </c>
      <c r="X97" s="8" t="e" cm="1">
        <f t="array" ref="X97">IF(U97="","", IFERROR(((IF(U$5&lt;&gt;"", U$5*M$5, 0) + SUMPRODUCT(--(U$6:U97&lt;&gt;""), U$6:U97, (M$6:M97-M$5:M96)))/1000)/T$3, ""))</f>
        <v>#N/A</v>
      </c>
    </row>
    <row r="98" spans="1:24" x14ac:dyDescent="0.25">
      <c r="A98" s="1">
        <f t="shared" si="13"/>
        <v>1880</v>
      </c>
      <c r="B98" s="1">
        <f t="shared" si="14"/>
        <v>0</v>
      </c>
      <c r="I98" s="1" t="e">
        <f t="shared" si="15"/>
        <v>#N/A</v>
      </c>
      <c r="J98" s="1" t="e">
        <f t="shared" si="11"/>
        <v>#N/A</v>
      </c>
      <c r="K98" s="1" t="e">
        <f t="shared" si="16"/>
        <v>#N/A</v>
      </c>
      <c r="L98" s="8" t="e" cm="1">
        <f t="array" ref="L98">IF(I98="","", IFERROR(((IF(I$5&lt;&gt;"", I$5*A$5, 0) + SUMPRODUCT(--(I$6:I98&lt;&gt;""), I$6:I98, (A$6:A98-A$5:A97)))/1000)/H$3, ""))</f>
        <v>#N/A</v>
      </c>
      <c r="M98" s="1">
        <f t="shared" si="17"/>
        <v>1880</v>
      </c>
      <c r="N98" s="1">
        <f t="shared" si="18"/>
        <v>0</v>
      </c>
      <c r="U98" s="1" t="e">
        <f t="shared" si="19"/>
        <v>#N/A</v>
      </c>
      <c r="V98" s="1" t="e">
        <f t="shared" si="12"/>
        <v>#N/A</v>
      </c>
      <c r="W98" s="1" t="e">
        <f t="shared" si="20"/>
        <v>#N/A</v>
      </c>
      <c r="X98" s="8" t="e" cm="1">
        <f t="array" ref="X98">IF(U98="","", IFERROR(((IF(U$5&lt;&gt;"", U$5*M$5, 0) + SUMPRODUCT(--(U$6:U98&lt;&gt;""), U$6:U98, (M$6:M98-M$5:M97)))/1000)/T$3, ""))</f>
        <v>#N/A</v>
      </c>
    </row>
    <row r="99" spans="1:24" x14ac:dyDescent="0.25">
      <c r="A99" s="1">
        <f t="shared" si="13"/>
        <v>1900</v>
      </c>
      <c r="B99" s="1">
        <f t="shared" si="14"/>
        <v>0</v>
      </c>
      <c r="I99" s="1" t="e">
        <f t="shared" si="15"/>
        <v>#N/A</v>
      </c>
      <c r="J99" s="1" t="e">
        <f t="shared" si="11"/>
        <v>#N/A</v>
      </c>
      <c r="K99" s="1" t="e">
        <f t="shared" si="16"/>
        <v>#N/A</v>
      </c>
      <c r="L99" s="8" t="e" cm="1">
        <f t="array" ref="L99">IF(I99="","", IFERROR(((IF(I$5&lt;&gt;"", I$5*A$5, 0) + SUMPRODUCT(--(I$6:I99&lt;&gt;""), I$6:I99, (A$6:A99-A$5:A98)))/1000)/H$3, ""))</f>
        <v>#N/A</v>
      </c>
      <c r="M99" s="1">
        <f t="shared" si="17"/>
        <v>1900</v>
      </c>
      <c r="N99" s="1">
        <f t="shared" si="18"/>
        <v>0</v>
      </c>
      <c r="U99" s="1" t="e">
        <f t="shared" si="19"/>
        <v>#N/A</v>
      </c>
      <c r="V99" s="1" t="e">
        <f t="shared" si="12"/>
        <v>#N/A</v>
      </c>
      <c r="W99" s="1" t="e">
        <f t="shared" si="20"/>
        <v>#N/A</v>
      </c>
      <c r="X99" s="8" t="e" cm="1">
        <f t="array" ref="X99">IF(U99="","", IFERROR(((IF(U$5&lt;&gt;"", U$5*M$5, 0) + SUMPRODUCT(--(U$6:U99&lt;&gt;""), U$6:U99, (M$6:M99-M$5:M98)))/1000)/T$3, ""))</f>
        <v>#N/A</v>
      </c>
    </row>
    <row r="100" spans="1:24" x14ac:dyDescent="0.25">
      <c r="A100" s="1">
        <f t="shared" si="13"/>
        <v>1920</v>
      </c>
      <c r="B100" s="1">
        <f t="shared" si="14"/>
        <v>0</v>
      </c>
      <c r="I100" s="1" t="e">
        <f t="shared" si="15"/>
        <v>#N/A</v>
      </c>
      <c r="J100" s="1" t="e">
        <f t="shared" si="11"/>
        <v>#N/A</v>
      </c>
      <c r="K100" s="1" t="e">
        <f t="shared" si="16"/>
        <v>#N/A</v>
      </c>
      <c r="L100" s="8" t="e" cm="1">
        <f t="array" ref="L100">IF(I100="","", IFERROR(((IF(I$5&lt;&gt;"", I$5*A$5, 0) + SUMPRODUCT(--(I$6:I100&lt;&gt;""), I$6:I100, (A$6:A100-A$5:A99)))/1000)/H$3, ""))</f>
        <v>#N/A</v>
      </c>
      <c r="M100" s="1">
        <f t="shared" si="17"/>
        <v>1920</v>
      </c>
      <c r="N100" s="1">
        <f t="shared" si="18"/>
        <v>0</v>
      </c>
      <c r="U100" s="1" t="e">
        <f t="shared" si="19"/>
        <v>#N/A</v>
      </c>
      <c r="V100" s="1" t="e">
        <f t="shared" si="12"/>
        <v>#N/A</v>
      </c>
      <c r="W100" s="1" t="e">
        <f t="shared" si="20"/>
        <v>#N/A</v>
      </c>
      <c r="X100" s="8" t="e" cm="1">
        <f t="array" ref="X100">IF(U100="","", IFERROR(((IF(U$5&lt;&gt;"", U$5*M$5, 0) + SUMPRODUCT(--(U$6:U100&lt;&gt;""), U$6:U100, (M$6:M100-M$5:M99)))/1000)/T$3, ""))</f>
        <v>#N/A</v>
      </c>
    </row>
    <row r="101" spans="1:24" x14ac:dyDescent="0.25">
      <c r="A101" s="1">
        <f t="shared" si="13"/>
        <v>1940</v>
      </c>
      <c r="B101" s="1">
        <f t="shared" si="14"/>
        <v>0</v>
      </c>
      <c r="I101" s="1" t="e">
        <f t="shared" si="15"/>
        <v>#N/A</v>
      </c>
      <c r="J101" s="1" t="e">
        <f t="shared" si="11"/>
        <v>#N/A</v>
      </c>
      <c r="K101" s="1" t="e">
        <f t="shared" si="16"/>
        <v>#N/A</v>
      </c>
      <c r="L101" s="8" t="e" cm="1">
        <f t="array" ref="L101">IF(I101="","", IFERROR(((IF(I$5&lt;&gt;"", I$5*A$5, 0) + SUMPRODUCT(--(I$6:I101&lt;&gt;""), I$6:I101, (A$6:A101-A$5:A100)))/1000)/H$3, ""))</f>
        <v>#N/A</v>
      </c>
      <c r="M101" s="1">
        <f t="shared" si="17"/>
        <v>1940</v>
      </c>
      <c r="N101" s="1">
        <f t="shared" si="18"/>
        <v>0</v>
      </c>
      <c r="U101" s="1" t="e">
        <f t="shared" si="19"/>
        <v>#N/A</v>
      </c>
      <c r="V101" s="1" t="e">
        <f t="shared" si="12"/>
        <v>#N/A</v>
      </c>
      <c r="W101" s="1" t="e">
        <f t="shared" si="20"/>
        <v>#N/A</v>
      </c>
      <c r="X101" s="8" t="e" cm="1">
        <f t="array" ref="X101">IF(U101="","", IFERROR(((IF(U$5&lt;&gt;"", U$5*M$5, 0) + SUMPRODUCT(--(U$6:U101&lt;&gt;""), U$6:U101, (M$6:M101-M$5:M100)))/1000)/T$3, ""))</f>
        <v>#N/A</v>
      </c>
    </row>
    <row r="102" spans="1:24" x14ac:dyDescent="0.25">
      <c r="A102" s="1">
        <f t="shared" si="13"/>
        <v>1960</v>
      </c>
      <c r="B102" s="1">
        <f t="shared" si="14"/>
        <v>0</v>
      </c>
      <c r="I102" s="1" t="e">
        <f t="shared" si="15"/>
        <v>#N/A</v>
      </c>
      <c r="J102" s="1" t="e">
        <f t="shared" si="11"/>
        <v>#N/A</v>
      </c>
      <c r="K102" s="1" t="e">
        <f t="shared" si="16"/>
        <v>#N/A</v>
      </c>
      <c r="L102" s="8" t="e" cm="1">
        <f t="array" ref="L102">IF(I102="","", IFERROR(((IF(I$5&lt;&gt;"", I$5*A$5, 0) + SUMPRODUCT(--(I$6:I102&lt;&gt;""), I$6:I102, (A$6:A102-A$5:A101)))/1000)/H$3, ""))</f>
        <v>#N/A</v>
      </c>
      <c r="M102" s="1">
        <f t="shared" si="17"/>
        <v>1960</v>
      </c>
      <c r="N102" s="1">
        <f t="shared" si="18"/>
        <v>0</v>
      </c>
      <c r="U102" s="1" t="e">
        <f t="shared" si="19"/>
        <v>#N/A</v>
      </c>
      <c r="V102" s="1" t="e">
        <f t="shared" si="12"/>
        <v>#N/A</v>
      </c>
      <c r="W102" s="1" t="e">
        <f t="shared" si="20"/>
        <v>#N/A</v>
      </c>
      <c r="X102" s="8" t="e" cm="1">
        <f t="array" ref="X102">IF(U102="","", IFERROR(((IF(U$5&lt;&gt;"", U$5*M$5, 0) + SUMPRODUCT(--(U$6:U102&lt;&gt;""), U$6:U102, (M$6:M102-M$5:M101)))/1000)/T$3, ""))</f>
        <v>#N/A</v>
      </c>
    </row>
    <row r="103" spans="1:24" x14ac:dyDescent="0.25">
      <c r="A103" s="1">
        <f t="shared" si="13"/>
        <v>1980</v>
      </c>
      <c r="B103" s="1">
        <f t="shared" si="14"/>
        <v>0</v>
      </c>
      <c r="I103" s="1" t="e">
        <f t="shared" si="15"/>
        <v>#N/A</v>
      </c>
      <c r="J103" s="1" t="e">
        <f t="shared" si="11"/>
        <v>#N/A</v>
      </c>
      <c r="K103" s="1" t="e">
        <f t="shared" si="16"/>
        <v>#N/A</v>
      </c>
      <c r="L103" s="8" t="e" cm="1">
        <f t="array" ref="L103">IF(I103="","", IFERROR(((IF(I$5&lt;&gt;"", I$5*A$5, 0) + SUMPRODUCT(--(I$6:I103&lt;&gt;""), I$6:I103, (A$6:A103-A$5:A102)))/1000)/H$3, ""))</f>
        <v>#N/A</v>
      </c>
      <c r="M103" s="1">
        <f t="shared" si="17"/>
        <v>1980</v>
      </c>
      <c r="N103" s="1">
        <f t="shared" si="18"/>
        <v>0</v>
      </c>
      <c r="U103" s="1" t="e">
        <f t="shared" si="19"/>
        <v>#N/A</v>
      </c>
      <c r="V103" s="1" t="e">
        <f t="shared" si="12"/>
        <v>#N/A</v>
      </c>
      <c r="W103" s="1" t="e">
        <f t="shared" si="20"/>
        <v>#N/A</v>
      </c>
      <c r="X103" s="8" t="e" cm="1">
        <f t="array" ref="X103">IF(U103="","", IFERROR(((IF(U$5&lt;&gt;"", U$5*M$5, 0) + SUMPRODUCT(--(U$6:U103&lt;&gt;""), U$6:U103, (M$6:M103-M$5:M102)))/1000)/T$3, ""))</f>
        <v>#N/A</v>
      </c>
    </row>
    <row r="104" spans="1:24" x14ac:dyDescent="0.25">
      <c r="A104" s="1">
        <f t="shared" si="13"/>
        <v>2000</v>
      </c>
      <c r="B104" s="1">
        <f t="shared" si="14"/>
        <v>0</v>
      </c>
      <c r="I104" s="1" t="e">
        <f t="shared" si="15"/>
        <v>#N/A</v>
      </c>
      <c r="J104" s="1" t="e">
        <f t="shared" si="11"/>
        <v>#N/A</v>
      </c>
      <c r="K104" s="1" t="e">
        <f t="shared" si="16"/>
        <v>#N/A</v>
      </c>
      <c r="L104" s="8" t="e" cm="1">
        <f t="array" ref="L104">IF(I104="","", IFERROR(((IF(I$5&lt;&gt;"", I$5*A$5, 0) + SUMPRODUCT(--(I$6:I104&lt;&gt;""), I$6:I104, (A$6:A104-A$5:A103)))/1000)/H$3, ""))</f>
        <v>#N/A</v>
      </c>
      <c r="M104" s="1">
        <f t="shared" si="17"/>
        <v>2000</v>
      </c>
      <c r="N104" s="1">
        <f t="shared" si="18"/>
        <v>0</v>
      </c>
      <c r="U104" s="1" t="e">
        <f t="shared" si="19"/>
        <v>#N/A</v>
      </c>
      <c r="V104" s="1" t="e">
        <f t="shared" si="12"/>
        <v>#N/A</v>
      </c>
      <c r="W104" s="1" t="e">
        <f t="shared" si="20"/>
        <v>#N/A</v>
      </c>
      <c r="X104" s="8" t="e" cm="1">
        <f t="array" ref="X104">IF(U104="","", IFERROR(((IF(U$5&lt;&gt;"", U$5*M$5, 0) + SUMPRODUCT(--(U$6:U104&lt;&gt;""), U$6:U104, (M$6:M104-M$5:M103)))/1000)/T$3, ""))</f>
        <v>#N/A</v>
      </c>
    </row>
    <row r="105" spans="1:24" x14ac:dyDescent="0.25">
      <c r="A105" s="1">
        <f t="shared" si="13"/>
        <v>2020</v>
      </c>
      <c r="B105" s="1">
        <f t="shared" si="14"/>
        <v>0</v>
      </c>
      <c r="I105" s="1" t="e">
        <f t="shared" si="15"/>
        <v>#N/A</v>
      </c>
      <c r="J105" s="1" t="e">
        <f t="shared" si="11"/>
        <v>#N/A</v>
      </c>
      <c r="K105" s="1" t="e">
        <f t="shared" si="16"/>
        <v>#N/A</v>
      </c>
      <c r="L105" s="8" t="e" cm="1">
        <f t="array" ref="L105">IF(I105="","", IFERROR(((IF(I$5&lt;&gt;"", I$5*A$5, 0) + SUMPRODUCT(--(I$6:I105&lt;&gt;""), I$6:I105, (A$6:A105-A$5:A104)))/1000)/H$3, ""))</f>
        <v>#N/A</v>
      </c>
      <c r="M105" s="1">
        <f t="shared" si="17"/>
        <v>2020</v>
      </c>
      <c r="N105" s="1">
        <f t="shared" si="18"/>
        <v>0</v>
      </c>
      <c r="U105" s="1" t="e">
        <f t="shared" si="19"/>
        <v>#N/A</v>
      </c>
      <c r="V105" s="1" t="e">
        <f t="shared" si="12"/>
        <v>#N/A</v>
      </c>
      <c r="W105" s="1" t="e">
        <f t="shared" si="20"/>
        <v>#N/A</v>
      </c>
      <c r="X105" s="8" t="e" cm="1">
        <f t="array" ref="X105">IF(U105="","", IFERROR(((IF(U$5&lt;&gt;"", U$5*M$5, 0) + SUMPRODUCT(--(U$6:U105&lt;&gt;""), U$6:U105, (M$6:M105-M$5:M104)))/1000)/T$3, ""))</f>
        <v>#N/A</v>
      </c>
    </row>
    <row r="106" spans="1:24" x14ac:dyDescent="0.25">
      <c r="A106" s="1">
        <f t="shared" si="13"/>
        <v>2040</v>
      </c>
      <c r="B106" s="1">
        <f t="shared" si="14"/>
        <v>0</v>
      </c>
      <c r="I106" s="1" t="e">
        <f t="shared" si="15"/>
        <v>#N/A</v>
      </c>
      <c r="J106" s="1" t="e">
        <f t="shared" si="11"/>
        <v>#N/A</v>
      </c>
      <c r="K106" s="1" t="e">
        <f t="shared" si="16"/>
        <v>#N/A</v>
      </c>
      <c r="L106" s="8" t="e" cm="1">
        <f t="array" ref="L106">IF(I106="","", IFERROR(((IF(I$5&lt;&gt;"", I$5*A$5, 0) + SUMPRODUCT(--(I$6:I106&lt;&gt;""), I$6:I106, (A$6:A106-A$5:A105)))/1000)/H$3, ""))</f>
        <v>#N/A</v>
      </c>
      <c r="M106" s="1">
        <f t="shared" si="17"/>
        <v>2040</v>
      </c>
      <c r="N106" s="1">
        <f t="shared" si="18"/>
        <v>0</v>
      </c>
      <c r="U106" s="1" t="e">
        <f t="shared" si="19"/>
        <v>#N/A</v>
      </c>
      <c r="V106" s="1" t="e">
        <f t="shared" si="12"/>
        <v>#N/A</v>
      </c>
      <c r="W106" s="1" t="e">
        <f t="shared" si="20"/>
        <v>#N/A</v>
      </c>
      <c r="X106" s="8" t="e" cm="1">
        <f t="array" ref="X106">IF(U106="","", IFERROR(((IF(U$5&lt;&gt;"", U$5*M$5, 0) + SUMPRODUCT(--(U$6:U106&lt;&gt;""), U$6:U106, (M$6:M106-M$5:M105)))/1000)/T$3, ""))</f>
        <v>#N/A</v>
      </c>
    </row>
    <row r="107" spans="1:24" x14ac:dyDescent="0.25">
      <c r="A107" s="1">
        <f t="shared" si="13"/>
        <v>2060</v>
      </c>
      <c r="B107" s="1">
        <f t="shared" si="14"/>
        <v>0</v>
      </c>
      <c r="I107" s="1" t="e">
        <f t="shared" si="15"/>
        <v>#N/A</v>
      </c>
      <c r="J107" s="1" t="e">
        <f t="shared" si="11"/>
        <v>#N/A</v>
      </c>
      <c r="K107" s="1" t="e">
        <f t="shared" si="16"/>
        <v>#N/A</v>
      </c>
      <c r="L107" s="8" t="e" cm="1">
        <f t="array" ref="L107">IF(I107="","", IFERROR(((IF(I$5&lt;&gt;"", I$5*A$5, 0) + SUMPRODUCT(--(I$6:I107&lt;&gt;""), I$6:I107, (A$6:A107-A$5:A106)))/1000)/H$3, ""))</f>
        <v>#N/A</v>
      </c>
      <c r="M107" s="1">
        <f t="shared" si="17"/>
        <v>2060</v>
      </c>
      <c r="N107" s="1">
        <f t="shared" si="18"/>
        <v>0</v>
      </c>
      <c r="U107" s="1" t="e">
        <f t="shared" si="19"/>
        <v>#N/A</v>
      </c>
      <c r="V107" s="1" t="e">
        <f t="shared" si="12"/>
        <v>#N/A</v>
      </c>
      <c r="W107" s="1" t="e">
        <f t="shared" si="20"/>
        <v>#N/A</v>
      </c>
      <c r="X107" s="8" t="e" cm="1">
        <f t="array" ref="X107">IF(U107="","", IFERROR(((IF(U$5&lt;&gt;"", U$5*M$5, 0) + SUMPRODUCT(--(U$6:U107&lt;&gt;""), U$6:U107, (M$6:M107-M$5:M106)))/1000)/T$3, ""))</f>
        <v>#N/A</v>
      </c>
    </row>
    <row r="108" spans="1:24" x14ac:dyDescent="0.25">
      <c r="A108" s="1">
        <f t="shared" si="13"/>
        <v>2080</v>
      </c>
      <c r="B108" s="1">
        <f t="shared" si="14"/>
        <v>0</v>
      </c>
      <c r="I108" s="1" t="e">
        <f t="shared" si="15"/>
        <v>#N/A</v>
      </c>
      <c r="J108" s="1" t="e">
        <f t="shared" si="11"/>
        <v>#N/A</v>
      </c>
      <c r="K108" s="1" t="e">
        <f t="shared" si="16"/>
        <v>#N/A</v>
      </c>
      <c r="L108" s="8" t="e" cm="1">
        <f t="array" ref="L108">IF(I108="","", IFERROR(((IF(I$5&lt;&gt;"", I$5*A$5, 0) + SUMPRODUCT(--(I$6:I108&lt;&gt;""), I$6:I108, (A$6:A108-A$5:A107)))/1000)/H$3, ""))</f>
        <v>#N/A</v>
      </c>
      <c r="M108" s="1">
        <f t="shared" si="17"/>
        <v>2080</v>
      </c>
      <c r="N108" s="1">
        <f t="shared" si="18"/>
        <v>0</v>
      </c>
      <c r="U108" s="1" t="e">
        <f t="shared" si="19"/>
        <v>#N/A</v>
      </c>
      <c r="V108" s="1" t="e">
        <f t="shared" si="12"/>
        <v>#N/A</v>
      </c>
      <c r="W108" s="1" t="e">
        <f t="shared" si="20"/>
        <v>#N/A</v>
      </c>
      <c r="X108" s="8" t="e" cm="1">
        <f t="array" ref="X108">IF(U108="","", IFERROR(((IF(U$5&lt;&gt;"", U$5*M$5, 0) + SUMPRODUCT(--(U$6:U108&lt;&gt;""), U$6:U108, (M$6:M108-M$5:M107)))/1000)/T$3, ""))</f>
        <v>#N/A</v>
      </c>
    </row>
    <row r="109" spans="1:24" x14ac:dyDescent="0.25">
      <c r="A109" s="1">
        <f t="shared" si="13"/>
        <v>2100</v>
      </c>
      <c r="B109" s="1">
        <f t="shared" si="14"/>
        <v>0</v>
      </c>
      <c r="I109" s="1" t="e">
        <f t="shared" si="15"/>
        <v>#N/A</v>
      </c>
      <c r="J109" s="1" t="e">
        <f t="shared" si="11"/>
        <v>#N/A</v>
      </c>
      <c r="K109" s="1" t="e">
        <f t="shared" si="16"/>
        <v>#N/A</v>
      </c>
      <c r="L109" s="8" t="e" cm="1">
        <f t="array" ref="L109">IF(I109="","", IFERROR(((IF(I$5&lt;&gt;"", I$5*A$5, 0) + SUMPRODUCT(--(I$6:I109&lt;&gt;""), I$6:I109, (A$6:A109-A$5:A108)))/1000)/H$3, ""))</f>
        <v>#N/A</v>
      </c>
      <c r="M109" s="1">
        <f t="shared" si="17"/>
        <v>2100</v>
      </c>
      <c r="N109" s="1">
        <f t="shared" si="18"/>
        <v>0</v>
      </c>
      <c r="U109" s="1" t="e">
        <f t="shared" si="19"/>
        <v>#N/A</v>
      </c>
      <c r="V109" s="1" t="e">
        <f t="shared" si="12"/>
        <v>#N/A</v>
      </c>
      <c r="W109" s="1" t="e">
        <f t="shared" si="20"/>
        <v>#N/A</v>
      </c>
      <c r="X109" s="8" t="e" cm="1">
        <f t="array" ref="X109">IF(U109="","", IFERROR(((IF(U$5&lt;&gt;"", U$5*M$5, 0) + SUMPRODUCT(--(U$6:U109&lt;&gt;""), U$6:U109, (M$6:M109-M$5:M108)))/1000)/T$3, ""))</f>
        <v>#N/A</v>
      </c>
    </row>
    <row r="110" spans="1:24" x14ac:dyDescent="0.25">
      <c r="A110" s="1">
        <f t="shared" si="13"/>
        <v>2120</v>
      </c>
      <c r="B110" s="1">
        <f t="shared" si="14"/>
        <v>0</v>
      </c>
      <c r="I110" s="1" t="e">
        <f t="shared" si="15"/>
        <v>#N/A</v>
      </c>
      <c r="J110" s="1" t="e">
        <f t="shared" si="11"/>
        <v>#N/A</v>
      </c>
      <c r="K110" s="1" t="e">
        <f t="shared" si="16"/>
        <v>#N/A</v>
      </c>
      <c r="L110" s="8" t="e" cm="1">
        <f t="array" ref="L110">IF(I110="","", IFERROR(((IF(I$5&lt;&gt;"", I$5*A$5, 0) + SUMPRODUCT(--(I$6:I110&lt;&gt;""), I$6:I110, (A$6:A110-A$5:A109)))/1000)/H$3, ""))</f>
        <v>#N/A</v>
      </c>
      <c r="M110" s="1">
        <f t="shared" si="17"/>
        <v>2120</v>
      </c>
      <c r="N110" s="1">
        <f t="shared" si="18"/>
        <v>0</v>
      </c>
      <c r="U110" s="1" t="e">
        <f t="shared" si="19"/>
        <v>#N/A</v>
      </c>
      <c r="V110" s="1" t="e">
        <f t="shared" si="12"/>
        <v>#N/A</v>
      </c>
      <c r="W110" s="1" t="e">
        <f t="shared" si="20"/>
        <v>#N/A</v>
      </c>
      <c r="X110" s="8" t="e" cm="1">
        <f t="array" ref="X110">IF(U110="","", IFERROR(((IF(U$5&lt;&gt;"", U$5*M$5, 0) + SUMPRODUCT(--(U$6:U110&lt;&gt;""), U$6:U110, (M$6:M110-M$5:M109)))/1000)/T$3, ""))</f>
        <v>#N/A</v>
      </c>
    </row>
    <row r="111" spans="1:24" x14ac:dyDescent="0.25">
      <c r="A111" s="1">
        <f t="shared" si="13"/>
        <v>2140</v>
      </c>
      <c r="B111" s="1">
        <f t="shared" si="14"/>
        <v>0</v>
      </c>
      <c r="I111" s="1" t="e">
        <f t="shared" si="15"/>
        <v>#N/A</v>
      </c>
      <c r="J111" s="1" t="e">
        <f t="shared" si="11"/>
        <v>#N/A</v>
      </c>
      <c r="K111" s="1" t="e">
        <f t="shared" si="16"/>
        <v>#N/A</v>
      </c>
      <c r="L111" s="8" t="e" cm="1">
        <f t="array" ref="L111">IF(I111="","", IFERROR(((IF(I$5&lt;&gt;"", I$5*A$5, 0) + SUMPRODUCT(--(I$6:I111&lt;&gt;""), I$6:I111, (A$6:A111-A$5:A110)))/1000)/H$3, ""))</f>
        <v>#N/A</v>
      </c>
      <c r="M111" s="1">
        <f t="shared" si="17"/>
        <v>2140</v>
      </c>
      <c r="N111" s="1">
        <f t="shared" si="18"/>
        <v>0</v>
      </c>
      <c r="U111" s="1" t="e">
        <f t="shared" si="19"/>
        <v>#N/A</v>
      </c>
      <c r="V111" s="1" t="e">
        <f t="shared" si="12"/>
        <v>#N/A</v>
      </c>
      <c r="W111" s="1" t="e">
        <f t="shared" si="20"/>
        <v>#N/A</v>
      </c>
      <c r="X111" s="8" t="e" cm="1">
        <f t="array" ref="X111">IF(U111="","", IFERROR(((IF(U$5&lt;&gt;"", U$5*M$5, 0) + SUMPRODUCT(--(U$6:U111&lt;&gt;""), U$6:U111, (M$6:M111-M$5:M110)))/1000)/T$3, ""))</f>
        <v>#N/A</v>
      </c>
    </row>
    <row r="112" spans="1:24" x14ac:dyDescent="0.25">
      <c r="A112" s="1">
        <f t="shared" si="13"/>
        <v>2160</v>
      </c>
      <c r="B112" s="1">
        <f t="shared" si="14"/>
        <v>0</v>
      </c>
      <c r="I112" s="1" t="e">
        <f t="shared" si="15"/>
        <v>#N/A</v>
      </c>
      <c r="J112" s="1" t="e">
        <f t="shared" si="11"/>
        <v>#N/A</v>
      </c>
      <c r="K112" s="1" t="e">
        <f t="shared" si="16"/>
        <v>#N/A</v>
      </c>
      <c r="L112" s="8" t="e" cm="1">
        <f t="array" ref="L112">IF(I112="","", IFERROR(((IF(I$5&lt;&gt;"", I$5*A$5, 0) + SUMPRODUCT(--(I$6:I112&lt;&gt;""), I$6:I112, (A$6:A112-A$5:A111)))/1000)/H$3, ""))</f>
        <v>#N/A</v>
      </c>
      <c r="M112" s="1">
        <f t="shared" si="17"/>
        <v>2160</v>
      </c>
      <c r="N112" s="1">
        <f t="shared" si="18"/>
        <v>0</v>
      </c>
      <c r="U112" s="1" t="e">
        <f t="shared" si="19"/>
        <v>#N/A</v>
      </c>
      <c r="V112" s="1" t="e">
        <f t="shared" si="12"/>
        <v>#N/A</v>
      </c>
      <c r="W112" s="1" t="e">
        <f t="shared" si="20"/>
        <v>#N/A</v>
      </c>
      <c r="X112" s="8" t="e" cm="1">
        <f t="array" ref="X112">IF(U112="","", IFERROR(((IF(U$5&lt;&gt;"", U$5*M$5, 0) + SUMPRODUCT(--(U$6:U112&lt;&gt;""), U$6:U112, (M$6:M112-M$5:M111)))/1000)/T$3, ""))</f>
        <v>#N/A</v>
      </c>
    </row>
    <row r="113" spans="1:24" x14ac:dyDescent="0.25">
      <c r="A113" s="1">
        <f t="shared" si="13"/>
        <v>2180</v>
      </c>
      <c r="B113" s="1">
        <f t="shared" si="14"/>
        <v>0</v>
      </c>
      <c r="I113" s="1" t="e">
        <f t="shared" si="15"/>
        <v>#N/A</v>
      </c>
      <c r="J113" s="1" t="e">
        <f t="shared" si="11"/>
        <v>#N/A</v>
      </c>
      <c r="K113" s="1" t="e">
        <f t="shared" si="16"/>
        <v>#N/A</v>
      </c>
      <c r="L113" s="8" t="e" cm="1">
        <f t="array" ref="L113">IF(I113="","", IFERROR(((IF(I$5&lt;&gt;"", I$5*A$5, 0) + SUMPRODUCT(--(I$6:I113&lt;&gt;""), I$6:I113, (A$6:A113-A$5:A112)))/1000)/H$3, ""))</f>
        <v>#N/A</v>
      </c>
      <c r="M113" s="1">
        <f t="shared" si="17"/>
        <v>2180</v>
      </c>
      <c r="N113" s="1">
        <f t="shared" si="18"/>
        <v>0</v>
      </c>
      <c r="U113" s="1" t="e">
        <f t="shared" si="19"/>
        <v>#N/A</v>
      </c>
      <c r="V113" s="1" t="e">
        <f t="shared" si="12"/>
        <v>#N/A</v>
      </c>
      <c r="W113" s="1" t="e">
        <f t="shared" si="20"/>
        <v>#N/A</v>
      </c>
      <c r="X113" s="8" t="e" cm="1">
        <f t="array" ref="X113">IF(U113="","", IFERROR(((IF(U$5&lt;&gt;"", U$5*M$5, 0) + SUMPRODUCT(--(U$6:U113&lt;&gt;""), U$6:U113, (M$6:M113-M$5:M112)))/1000)/T$3, ""))</f>
        <v>#N/A</v>
      </c>
    </row>
    <row r="114" spans="1:24" x14ac:dyDescent="0.25">
      <c r="A114" s="1">
        <f t="shared" si="13"/>
        <v>2200</v>
      </c>
      <c r="B114" s="1">
        <f t="shared" si="14"/>
        <v>0</v>
      </c>
      <c r="I114" s="1" t="e">
        <f t="shared" si="15"/>
        <v>#N/A</v>
      </c>
      <c r="J114" s="1" t="e">
        <f t="shared" si="11"/>
        <v>#N/A</v>
      </c>
      <c r="K114" s="1" t="e">
        <f t="shared" si="16"/>
        <v>#N/A</v>
      </c>
      <c r="L114" s="8" t="e" cm="1">
        <f t="array" ref="L114">IF(I114="","", IFERROR(((IF(I$5&lt;&gt;"", I$5*A$5, 0) + SUMPRODUCT(--(I$6:I114&lt;&gt;""), I$6:I114, (A$6:A114-A$5:A113)))/1000)/H$3, ""))</f>
        <v>#N/A</v>
      </c>
      <c r="M114" s="1">
        <f t="shared" si="17"/>
        <v>2200</v>
      </c>
      <c r="N114" s="1">
        <f t="shared" si="18"/>
        <v>0</v>
      </c>
      <c r="U114" s="1" t="e">
        <f t="shared" si="19"/>
        <v>#N/A</v>
      </c>
      <c r="V114" s="1" t="e">
        <f t="shared" si="12"/>
        <v>#N/A</v>
      </c>
      <c r="W114" s="1" t="e">
        <f t="shared" si="20"/>
        <v>#N/A</v>
      </c>
      <c r="X114" s="8" t="e" cm="1">
        <f t="array" ref="X114">IF(U114="","", IFERROR(((IF(U$5&lt;&gt;"", U$5*M$5, 0) + SUMPRODUCT(--(U$6:U114&lt;&gt;""), U$6:U114, (M$6:M114-M$5:M113)))/1000)/T$3, ""))</f>
        <v>#N/A</v>
      </c>
    </row>
    <row r="115" spans="1:24" x14ac:dyDescent="0.25">
      <c r="A115" s="1">
        <f t="shared" si="13"/>
        <v>2220</v>
      </c>
      <c r="B115" s="1">
        <f t="shared" si="14"/>
        <v>0</v>
      </c>
      <c r="I115" s="1" t="e">
        <f t="shared" si="15"/>
        <v>#N/A</v>
      </c>
      <c r="J115" s="1" t="e">
        <f t="shared" si="11"/>
        <v>#N/A</v>
      </c>
      <c r="K115" s="1" t="e">
        <f t="shared" si="16"/>
        <v>#N/A</v>
      </c>
      <c r="L115" s="8" t="e" cm="1">
        <f t="array" ref="L115">IF(I115="","", IFERROR(((IF(I$5&lt;&gt;"", I$5*A$5, 0) + SUMPRODUCT(--(I$6:I115&lt;&gt;""), I$6:I115, (A$6:A115-A$5:A114)))/1000)/H$3, ""))</f>
        <v>#N/A</v>
      </c>
      <c r="M115" s="1">
        <f t="shared" si="17"/>
        <v>2220</v>
      </c>
      <c r="N115" s="1">
        <f t="shared" si="18"/>
        <v>0</v>
      </c>
      <c r="U115" s="1" t="e">
        <f t="shared" si="19"/>
        <v>#N/A</v>
      </c>
      <c r="V115" s="1" t="e">
        <f t="shared" si="12"/>
        <v>#N/A</v>
      </c>
      <c r="W115" s="1" t="e">
        <f t="shared" si="20"/>
        <v>#N/A</v>
      </c>
      <c r="X115" s="8" t="e" cm="1">
        <f t="array" ref="X115">IF(U115="","", IFERROR(((IF(U$5&lt;&gt;"", U$5*M$5, 0) + SUMPRODUCT(--(U$6:U115&lt;&gt;""), U$6:U115, (M$6:M115-M$5:M114)))/1000)/T$3, ""))</f>
        <v>#N/A</v>
      </c>
    </row>
  </sheetData>
  <conditionalFormatting sqref="I5:L115">
    <cfRule type="containsErrors" dxfId="165" priority="3">
      <formula>ISERROR(I5)</formula>
    </cfRule>
  </conditionalFormatting>
  <conditionalFormatting sqref="K6:K115">
    <cfRule type="cellIs" dxfId="164" priority="12" operator="between">
      <formula>0</formula>
      <formula>15</formula>
    </cfRule>
    <cfRule type="cellIs" dxfId="163" priority="13" operator="between">
      <formula>15</formula>
      <formula>25</formula>
    </cfRule>
    <cfRule type="cellIs" dxfId="162" priority="14" operator="between">
      <formula>25</formula>
      <formula>1000</formula>
    </cfRule>
  </conditionalFormatting>
  <conditionalFormatting sqref="L2:L3 X2:X3">
    <cfRule type="containsErrors" dxfId="161" priority="6">
      <formula>ISERROR(L2)</formula>
    </cfRule>
  </conditionalFormatting>
  <conditionalFormatting sqref="U5:X115">
    <cfRule type="containsErrors" dxfId="160" priority="1">
      <formula>ISERROR(U5)</formula>
    </cfRule>
  </conditionalFormatting>
  <conditionalFormatting sqref="W5:W115">
    <cfRule type="containsErrors" dxfId="159" priority="15">
      <formula>ISERROR(W5)</formula>
    </cfRule>
  </conditionalFormatting>
  <conditionalFormatting sqref="W6:W115">
    <cfRule type="cellIs" dxfId="158" priority="9" operator="between">
      <formula>0</formula>
      <formula>15</formula>
    </cfRule>
    <cfRule type="cellIs" dxfId="157" priority="10" operator="between">
      <formula>15</formula>
      <formula>25</formula>
    </cfRule>
    <cfRule type="cellIs" dxfId="156" priority="11" operator="between">
      <formula>25</formula>
      <formula>1000</formula>
    </cfRule>
  </conditionalFormatting>
  <pageMargins left="0.7" right="0.7" top="0.75" bottom="0.75" header="0.3" footer="0.3"/>
  <ignoredErrors>
    <ignoredError sqref="A1:XFD1 A8:XFD1048576 A4 D4 F4:K4 Y4:XFD4 A5 D5:XFD5 A6:B6 D6:XFD6 A7:B7 D7:XFD7 A3:XFD3 A2:B2 D2:N2 P2:XFD2"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C6DE-7C80-4192-A2DA-E4ADF7D7F890}">
  <dimension ref="A1:X115"/>
  <sheetViews>
    <sheetView zoomScale="85" zoomScaleNormal="85" workbookViewId="0">
      <selection sqref="A1:XFD4"/>
    </sheetView>
  </sheetViews>
  <sheetFormatPr defaultRowHeight="15" x14ac:dyDescent="0.25"/>
  <cols>
    <col min="1" max="1" width="11.710937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1.71093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16384" width="9.140625" style="1"/>
  </cols>
  <sheetData>
    <row r="1" spans="1:24" s="2" customFormat="1" ht="45" x14ac:dyDescent="0.25">
      <c r="A1" s="3" t="s">
        <v>51</v>
      </c>
      <c r="C1" s="4" t="s">
        <v>6</v>
      </c>
      <c r="E1" s="4" t="s">
        <v>43</v>
      </c>
      <c r="G1" s="4" t="s">
        <v>54</v>
      </c>
      <c r="H1" s="2" t="s">
        <v>53</v>
      </c>
      <c r="J1" s="4" t="s">
        <v>7</v>
      </c>
      <c r="L1" s="6" t="s">
        <v>20</v>
      </c>
      <c r="M1" s="3" t="s">
        <v>51</v>
      </c>
      <c r="O1" s="4" t="s">
        <v>6</v>
      </c>
      <c r="Q1" s="4" t="s">
        <v>43</v>
      </c>
      <c r="S1" s="4" t="s">
        <v>54</v>
      </c>
      <c r="T1" s="2" t="s">
        <v>53</v>
      </c>
      <c r="V1" s="4" t="s">
        <v>7</v>
      </c>
      <c r="X1" s="6" t="s">
        <v>20</v>
      </c>
    </row>
    <row r="2" spans="1:24"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52</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52</v>
      </c>
      <c r="U2" s="4" t="s">
        <v>9</v>
      </c>
      <c r="V2" s="4" t="s">
        <v>10</v>
      </c>
      <c r="X2" s="20" t="e">
        <f>IF(U5="","",AVERAGEIFS(U5:U115,U5:U115,"&lt;&gt;0",U5:U115,"&lt;&gt;"))</f>
        <v>#N/A</v>
      </c>
    </row>
    <row r="3" spans="1:24"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row>
    <row r="4" spans="1:24"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row>
    <row r="5" spans="1:24" x14ac:dyDescent="0.25">
      <c r="A5" s="1">
        <v>20</v>
      </c>
      <c r="B5" s="1">
        <v>0</v>
      </c>
      <c r="I5" s="1" t="e">
        <f>IF(C5="", NA(), (B5-C5)*1000/A5)</f>
        <v>#N/A</v>
      </c>
      <c r="J5" s="1" t="e">
        <f>IF(I5="","",I5/F$2/2.5)</f>
        <v>#N/A</v>
      </c>
      <c r="L5" s="8" t="e">
        <f>IF(I5="","", IFERROR(((IF(I$5&lt;&gt;"", I$5*A$5, 0))/1000)/H$3, ""))</f>
        <v>#N/A</v>
      </c>
      <c r="M5" s="1">
        <v>20</v>
      </c>
      <c r="U5" s="1" t="e">
        <f>IF(O5="", NA(), (N5-O5)*1000/M5)</f>
        <v>#N/A</v>
      </c>
      <c r="V5" s="1" t="e">
        <f>IF(U5="","",U5/R$2/2.5)</f>
        <v>#N/A</v>
      </c>
      <c r="X5" s="8" t="e">
        <f>IF(U5="","", IFERROR(((IF(U$5&lt;&gt;"", U$5*M$5, 0))/1000)/T$3, ""))</f>
        <v>#N/A</v>
      </c>
    </row>
    <row r="6" spans="1:24" x14ac:dyDescent="0.25">
      <c r="A6" s="1">
        <f>A5+20</f>
        <v>40</v>
      </c>
      <c r="B6" s="1">
        <f>C5</f>
        <v>0</v>
      </c>
      <c r="I6" s="1" t="e">
        <f>IF(C6="", NA(), (B6-C6)*1000/(A6-A5))</f>
        <v>#N/A</v>
      </c>
      <c r="J6" s="1" t="e">
        <f t="shared" ref="J6:J69" si="0">IF(I6="","",I6/F$2/2.5)</f>
        <v>#N/A</v>
      </c>
      <c r="K6" s="1" t="e">
        <f>IF(I6="","", 100*_xlfn.STDEV.P(I5:I6)/AVERAGE(I5:I6))</f>
        <v>#N/A</v>
      </c>
      <c r="L6" s="8" t="e" cm="1">
        <f t="array" ref="L6">IF(I6="","", IFERROR(((IF(I$5&lt;&gt;"", I$5*A$5, 0) + SUMPRODUCT(--(I$6:I6&lt;&gt;""), I$6:I6, (A$6:A6-A$5:A5)))/1000)/H$3, ""))</f>
        <v>#N/A</v>
      </c>
      <c r="M6" s="1">
        <f>M5+20</f>
        <v>40</v>
      </c>
      <c r="N6" s="1">
        <f>O5</f>
        <v>0</v>
      </c>
      <c r="U6" s="1" t="e">
        <f>IF(O6="", NA(), (N6-O6)*1000/(M6-M5))</f>
        <v>#N/A</v>
      </c>
      <c r="V6" s="1" t="e">
        <f t="shared" ref="V6:V69" si="1">IF(U6="","",U6/R$2/2.5)</f>
        <v>#N/A</v>
      </c>
      <c r="W6" s="1" t="e">
        <f>IF(U6="","", 100*_xlfn.STDEV.P(U5:U6)/AVERAGE(U5:U6))</f>
        <v>#N/A</v>
      </c>
      <c r="X6" s="8" t="e" cm="1">
        <f t="array" ref="X6">IF(U6="","", IFERROR(((IF(U$5&lt;&gt;"", U$5*M$5, 0) + SUMPRODUCT(--(U$6:U6&lt;&gt;""), U$6:U6, (M$6:M6-M$5:M5)))/1000)/T$3, ""))</f>
        <v>#N/A</v>
      </c>
    </row>
    <row r="7" spans="1:24" x14ac:dyDescent="0.25">
      <c r="A7" s="1">
        <f t="shared" ref="A7:A70" si="2">A6+20</f>
        <v>60</v>
      </c>
      <c r="B7" s="1">
        <f t="shared" ref="B7:B70" si="3">C6</f>
        <v>0</v>
      </c>
      <c r="I7" s="1" t="e">
        <f t="shared" ref="I7:I70" si="4">IF(C7="", NA(), (B7-C7)*1000/(A7-A6))</f>
        <v>#N/A</v>
      </c>
      <c r="J7" s="1" t="e">
        <f t="shared" si="0"/>
        <v>#N/A</v>
      </c>
      <c r="K7" s="1" t="e">
        <f t="shared" ref="K7:K70" si="5">IF(I7="","", 100*_xlfn.STDEV.P(I6:I7)/AVERAGE(I6:I7))</f>
        <v>#N/A</v>
      </c>
      <c r="L7" s="8" t="e" cm="1">
        <f t="array" ref="L7">IF(I7="","", IFERROR(((IF(I$5&lt;&gt;"", I$5*A$5, 0) + SUMPRODUCT(--(I$6:I7&lt;&gt;""), I$6:I7, (A$6:A7-A$5:A6)))/1000)/H$3, ""))</f>
        <v>#N/A</v>
      </c>
      <c r="M7" s="1">
        <f t="shared" ref="M7:M70" si="6">M6+20</f>
        <v>60</v>
      </c>
      <c r="N7" s="1">
        <f t="shared" ref="N7:N70" si="7">O6</f>
        <v>0</v>
      </c>
      <c r="U7" s="1" t="e">
        <f t="shared" ref="U7:U70" si="8">IF(O7="", NA(), (N7-O7)*1000/(M7-M6))</f>
        <v>#N/A</v>
      </c>
      <c r="V7" s="1" t="e">
        <f t="shared" si="1"/>
        <v>#N/A</v>
      </c>
      <c r="W7" s="1" t="e">
        <f t="shared" ref="W7:W70" si="9">IF(U7="","", 100*_xlfn.STDEV.P(U6:U7)/AVERAGE(U6:U7))</f>
        <v>#N/A</v>
      </c>
      <c r="X7" s="8" t="e" cm="1">
        <f t="array" ref="X7">IF(U7="","", IFERROR(((IF(U$5&lt;&gt;"", U$5*M$5, 0) + SUMPRODUCT(--(U$6:U7&lt;&gt;""), U$6:U7, (M$6:M7-M$5:M6)))/1000)/T$3, ""))</f>
        <v>#N/A</v>
      </c>
    </row>
    <row r="8" spans="1:24" x14ac:dyDescent="0.25">
      <c r="A8" s="1">
        <f t="shared" si="2"/>
        <v>80</v>
      </c>
      <c r="B8" s="1">
        <f t="shared" si="3"/>
        <v>0</v>
      </c>
      <c r="I8" s="1" t="e">
        <f t="shared" si="4"/>
        <v>#N/A</v>
      </c>
      <c r="J8" s="1" t="e">
        <f t="shared" si="0"/>
        <v>#N/A</v>
      </c>
      <c r="K8" s="1" t="e">
        <f t="shared" si="5"/>
        <v>#N/A</v>
      </c>
      <c r="L8" s="8" t="e" cm="1">
        <f t="array" ref="L8">IF(I8="","", IFERROR(((IF(I$5&lt;&gt;"", I$5*A$5, 0) + SUMPRODUCT(--(I$6:I8&lt;&gt;""), I$6:I8, (A$6:A8-A$5:A7)))/1000)/H$3, ""))</f>
        <v>#N/A</v>
      </c>
      <c r="M8" s="1">
        <f t="shared" si="6"/>
        <v>80</v>
      </c>
      <c r="N8" s="1">
        <f t="shared" si="7"/>
        <v>0</v>
      </c>
      <c r="U8" s="1" t="e">
        <f t="shared" si="8"/>
        <v>#N/A</v>
      </c>
      <c r="V8" s="1" t="e">
        <f t="shared" si="1"/>
        <v>#N/A</v>
      </c>
      <c r="W8" s="1" t="e">
        <f t="shared" si="9"/>
        <v>#N/A</v>
      </c>
      <c r="X8" s="8" t="e" cm="1">
        <f t="array" ref="X8">IF(U8="","", IFERROR(((IF(U$5&lt;&gt;"", U$5*M$5, 0) + SUMPRODUCT(--(U$6:U8&lt;&gt;""), U$6:U8, (M$6:M8-M$5:M7)))/1000)/T$3, ""))</f>
        <v>#N/A</v>
      </c>
    </row>
    <row r="9" spans="1:24" x14ac:dyDescent="0.25">
      <c r="A9" s="1">
        <f t="shared" si="2"/>
        <v>100</v>
      </c>
      <c r="B9" s="1">
        <f t="shared" si="3"/>
        <v>0</v>
      </c>
      <c r="I9" s="1" t="e">
        <f t="shared" si="4"/>
        <v>#N/A</v>
      </c>
      <c r="J9" s="1" t="e">
        <f t="shared" si="0"/>
        <v>#N/A</v>
      </c>
      <c r="K9" s="1" t="e">
        <f t="shared" si="5"/>
        <v>#N/A</v>
      </c>
      <c r="L9" s="8" t="e" cm="1">
        <f t="array" ref="L9">IF(I9="","", IFERROR(((IF(I$5&lt;&gt;"", I$5*A$5, 0) + SUMPRODUCT(--(I$6:I9&lt;&gt;""), I$6:I9, (A$6:A9-A$5:A8)))/1000)/H$3, ""))</f>
        <v>#N/A</v>
      </c>
      <c r="M9" s="1">
        <f t="shared" si="6"/>
        <v>100</v>
      </c>
      <c r="N9" s="1">
        <f t="shared" si="7"/>
        <v>0</v>
      </c>
      <c r="U9" s="1" t="e">
        <f t="shared" si="8"/>
        <v>#N/A</v>
      </c>
      <c r="V9" s="1" t="e">
        <f t="shared" si="1"/>
        <v>#N/A</v>
      </c>
      <c r="W9" s="1" t="e">
        <f t="shared" si="9"/>
        <v>#N/A</v>
      </c>
      <c r="X9" s="8" t="e" cm="1">
        <f t="array" ref="X9">IF(U9="","", IFERROR(((IF(U$5&lt;&gt;"", U$5*M$5, 0) + SUMPRODUCT(--(U$6:U9&lt;&gt;""), U$6:U9, (M$6:M9-M$5:M8)))/1000)/T$3, ""))</f>
        <v>#N/A</v>
      </c>
    </row>
    <row r="10" spans="1:24" x14ac:dyDescent="0.25">
      <c r="A10" s="1">
        <f t="shared" si="2"/>
        <v>120</v>
      </c>
      <c r="B10" s="1">
        <f t="shared" si="3"/>
        <v>0</v>
      </c>
      <c r="I10" s="1" t="e">
        <f t="shared" si="4"/>
        <v>#N/A</v>
      </c>
      <c r="J10" s="1" t="e">
        <f t="shared" si="0"/>
        <v>#N/A</v>
      </c>
      <c r="K10" s="1" t="e">
        <f t="shared" si="5"/>
        <v>#N/A</v>
      </c>
      <c r="L10" s="8" t="e" cm="1">
        <f t="array" ref="L10">IF(I10="","", IFERROR(((IF(I$5&lt;&gt;"", I$5*A$5, 0) + SUMPRODUCT(--(I$6:I10&lt;&gt;""), I$6:I10, (A$6:A10-A$5:A9)))/1000)/H$3, ""))</f>
        <v>#N/A</v>
      </c>
      <c r="M10" s="1">
        <f t="shared" si="6"/>
        <v>120</v>
      </c>
      <c r="N10" s="1">
        <f t="shared" si="7"/>
        <v>0</v>
      </c>
      <c r="U10" s="1" t="e">
        <f t="shared" si="8"/>
        <v>#N/A</v>
      </c>
      <c r="V10" s="1" t="e">
        <f t="shared" si="1"/>
        <v>#N/A</v>
      </c>
      <c r="W10" s="1" t="e">
        <f t="shared" si="9"/>
        <v>#N/A</v>
      </c>
      <c r="X10" s="8" t="e" cm="1">
        <f t="array" ref="X10">IF(U10="","", IFERROR(((IF(U$5&lt;&gt;"", U$5*M$5, 0) + SUMPRODUCT(--(U$6:U10&lt;&gt;""), U$6:U10, (M$6:M10-M$5:M9)))/1000)/T$3, ""))</f>
        <v>#N/A</v>
      </c>
    </row>
    <row r="11" spans="1:24" x14ac:dyDescent="0.25">
      <c r="A11" s="1">
        <f t="shared" si="2"/>
        <v>140</v>
      </c>
      <c r="B11" s="1">
        <f t="shared" si="3"/>
        <v>0</v>
      </c>
      <c r="I11" s="1" t="e">
        <f t="shared" si="4"/>
        <v>#N/A</v>
      </c>
      <c r="J11" s="1" t="e">
        <f t="shared" si="0"/>
        <v>#N/A</v>
      </c>
      <c r="K11" s="1" t="e">
        <f t="shared" si="5"/>
        <v>#N/A</v>
      </c>
      <c r="L11" s="8" t="e" cm="1">
        <f t="array" ref="L11">IF(I11="","", IFERROR(((IF(I$5&lt;&gt;"", I$5*A$5, 0) + SUMPRODUCT(--(I$6:I11&lt;&gt;""), I$6:I11, (A$6:A11-A$5:A10)))/1000)/H$3, ""))</f>
        <v>#N/A</v>
      </c>
      <c r="M11" s="1">
        <f t="shared" si="6"/>
        <v>140</v>
      </c>
      <c r="N11" s="1">
        <f t="shared" si="7"/>
        <v>0</v>
      </c>
      <c r="U11" s="1" t="e">
        <f t="shared" si="8"/>
        <v>#N/A</v>
      </c>
      <c r="V11" s="1" t="e">
        <f t="shared" si="1"/>
        <v>#N/A</v>
      </c>
      <c r="W11" s="1" t="e">
        <f t="shared" si="9"/>
        <v>#N/A</v>
      </c>
      <c r="X11" s="8" t="e" cm="1">
        <f t="array" ref="X11">IF(U11="","", IFERROR(((IF(U$5&lt;&gt;"", U$5*M$5, 0) + SUMPRODUCT(--(U$6:U11&lt;&gt;""), U$6:U11, (M$6:M11-M$5:M10)))/1000)/T$3, ""))</f>
        <v>#N/A</v>
      </c>
    </row>
    <row r="12" spans="1:24" x14ac:dyDescent="0.25">
      <c r="A12" s="1">
        <f t="shared" si="2"/>
        <v>160</v>
      </c>
      <c r="B12" s="1">
        <f t="shared" si="3"/>
        <v>0</v>
      </c>
      <c r="I12" s="1" t="e">
        <f t="shared" si="4"/>
        <v>#N/A</v>
      </c>
      <c r="J12" s="1" t="e">
        <f t="shared" si="0"/>
        <v>#N/A</v>
      </c>
      <c r="K12" s="1" t="e">
        <f t="shared" si="5"/>
        <v>#N/A</v>
      </c>
      <c r="L12" s="8" t="e" cm="1">
        <f t="array" ref="L12">IF(I12="","", IFERROR(((IF(I$5&lt;&gt;"", I$5*A$5, 0) + SUMPRODUCT(--(I$6:I12&lt;&gt;""), I$6:I12, (A$6:A12-A$5:A11)))/1000)/H$3, ""))</f>
        <v>#N/A</v>
      </c>
      <c r="M12" s="1">
        <f t="shared" si="6"/>
        <v>160</v>
      </c>
      <c r="N12" s="1">
        <f t="shared" si="7"/>
        <v>0</v>
      </c>
      <c r="U12" s="1" t="e">
        <f t="shared" si="8"/>
        <v>#N/A</v>
      </c>
      <c r="V12" s="1" t="e">
        <f t="shared" si="1"/>
        <v>#N/A</v>
      </c>
      <c r="W12" s="1" t="e">
        <f t="shared" si="9"/>
        <v>#N/A</v>
      </c>
      <c r="X12" s="8" t="e" cm="1">
        <f t="array" ref="X12">IF(U12="","", IFERROR(((IF(U$5&lt;&gt;"", U$5*M$5, 0) + SUMPRODUCT(--(U$6:U12&lt;&gt;""), U$6:U12, (M$6:M12-M$5:M11)))/1000)/T$3, ""))</f>
        <v>#N/A</v>
      </c>
    </row>
    <row r="13" spans="1:24" x14ac:dyDescent="0.25">
      <c r="A13" s="1">
        <f t="shared" si="2"/>
        <v>180</v>
      </c>
      <c r="B13" s="1">
        <f t="shared" si="3"/>
        <v>0</v>
      </c>
      <c r="I13" s="1" t="e">
        <f t="shared" si="4"/>
        <v>#N/A</v>
      </c>
      <c r="J13" s="1" t="e">
        <f t="shared" si="0"/>
        <v>#N/A</v>
      </c>
      <c r="K13" s="1" t="e">
        <f t="shared" si="5"/>
        <v>#N/A</v>
      </c>
      <c r="L13" s="8" t="e" cm="1">
        <f t="array" ref="L13">IF(I13="","", IFERROR(((IF(I$5&lt;&gt;"", I$5*A$5, 0) + SUMPRODUCT(--(I$6:I13&lt;&gt;""), I$6:I13, (A$6:A13-A$5:A12)))/1000)/H$3, ""))</f>
        <v>#N/A</v>
      </c>
      <c r="M13" s="1">
        <f t="shared" si="6"/>
        <v>180</v>
      </c>
      <c r="N13" s="1">
        <f t="shared" si="7"/>
        <v>0</v>
      </c>
      <c r="U13" s="1" t="e">
        <f t="shared" si="8"/>
        <v>#N/A</v>
      </c>
      <c r="V13" s="1" t="e">
        <f t="shared" si="1"/>
        <v>#N/A</v>
      </c>
      <c r="W13" s="1" t="e">
        <f t="shared" si="9"/>
        <v>#N/A</v>
      </c>
      <c r="X13" s="8" t="e" cm="1">
        <f t="array" ref="X13">IF(U13="","", IFERROR(((IF(U$5&lt;&gt;"", U$5*M$5, 0) + SUMPRODUCT(--(U$6:U13&lt;&gt;""), U$6:U13, (M$6:M13-M$5:M12)))/1000)/T$3, ""))</f>
        <v>#N/A</v>
      </c>
    </row>
    <row r="14" spans="1:24" x14ac:dyDescent="0.25">
      <c r="A14" s="1">
        <f t="shared" si="2"/>
        <v>200</v>
      </c>
      <c r="B14" s="1">
        <f t="shared" si="3"/>
        <v>0</v>
      </c>
      <c r="I14" s="1" t="e">
        <f t="shared" si="4"/>
        <v>#N/A</v>
      </c>
      <c r="J14" s="1" t="e">
        <f t="shared" si="0"/>
        <v>#N/A</v>
      </c>
      <c r="K14" s="1" t="e">
        <f t="shared" si="5"/>
        <v>#N/A</v>
      </c>
      <c r="L14" s="8" t="e" cm="1">
        <f t="array" ref="L14">IF(I14="","", IFERROR(((IF(I$5&lt;&gt;"", I$5*A$5, 0) + SUMPRODUCT(--(I$6:I14&lt;&gt;""), I$6:I14, (A$6:A14-A$5:A13)))/1000)/H$3, ""))</f>
        <v>#N/A</v>
      </c>
      <c r="M14" s="1">
        <f t="shared" si="6"/>
        <v>200</v>
      </c>
      <c r="N14" s="1">
        <f t="shared" si="7"/>
        <v>0</v>
      </c>
      <c r="U14" s="1" t="e">
        <f t="shared" si="8"/>
        <v>#N/A</v>
      </c>
      <c r="V14" s="1" t="e">
        <f t="shared" si="1"/>
        <v>#N/A</v>
      </c>
      <c r="W14" s="1" t="e">
        <f t="shared" si="9"/>
        <v>#N/A</v>
      </c>
      <c r="X14" s="8" t="e" cm="1">
        <f t="array" ref="X14">IF(U14="","", IFERROR(((IF(U$5&lt;&gt;"", U$5*M$5, 0) + SUMPRODUCT(--(U$6:U14&lt;&gt;""), U$6:U14, (M$6:M14-M$5:M13)))/1000)/T$3, ""))</f>
        <v>#N/A</v>
      </c>
    </row>
    <row r="15" spans="1:24" x14ac:dyDescent="0.25">
      <c r="A15" s="1">
        <f t="shared" si="2"/>
        <v>220</v>
      </c>
      <c r="B15" s="1">
        <f t="shared" si="3"/>
        <v>0</v>
      </c>
      <c r="I15" s="1" t="e">
        <f t="shared" si="4"/>
        <v>#N/A</v>
      </c>
      <c r="J15" s="1" t="e">
        <f t="shared" si="0"/>
        <v>#N/A</v>
      </c>
      <c r="K15" s="1" t="e">
        <f t="shared" si="5"/>
        <v>#N/A</v>
      </c>
      <c r="L15" s="8" t="e" cm="1">
        <f t="array" ref="L15">IF(I15="","", IFERROR(((IF(I$5&lt;&gt;"", I$5*A$5, 0) + SUMPRODUCT(--(I$6:I15&lt;&gt;""), I$6:I15, (A$6:A15-A$5:A14)))/1000)/H$3, ""))</f>
        <v>#N/A</v>
      </c>
      <c r="M15" s="1">
        <f t="shared" si="6"/>
        <v>220</v>
      </c>
      <c r="N15" s="1">
        <f t="shared" si="7"/>
        <v>0</v>
      </c>
      <c r="U15" s="1" t="e">
        <f t="shared" si="8"/>
        <v>#N/A</v>
      </c>
      <c r="V15" s="1" t="e">
        <f t="shared" si="1"/>
        <v>#N/A</v>
      </c>
      <c r="W15" s="1" t="e">
        <f t="shared" si="9"/>
        <v>#N/A</v>
      </c>
      <c r="X15" s="8" t="e" cm="1">
        <f t="array" ref="X15">IF(U15="","", IFERROR(((IF(U$5&lt;&gt;"", U$5*M$5, 0) + SUMPRODUCT(--(U$6:U15&lt;&gt;""), U$6:U15, (M$6:M15-M$5:M14)))/1000)/T$3, ""))</f>
        <v>#N/A</v>
      </c>
    </row>
    <row r="16" spans="1:24" x14ac:dyDescent="0.25">
      <c r="A16" s="1">
        <f t="shared" si="2"/>
        <v>240</v>
      </c>
      <c r="B16" s="1">
        <f t="shared" si="3"/>
        <v>0</v>
      </c>
      <c r="I16" s="1" t="e">
        <f t="shared" si="4"/>
        <v>#N/A</v>
      </c>
      <c r="J16" s="1" t="e">
        <f t="shared" si="0"/>
        <v>#N/A</v>
      </c>
      <c r="K16" s="1" t="e">
        <f t="shared" si="5"/>
        <v>#N/A</v>
      </c>
      <c r="L16" s="8" t="e" cm="1">
        <f t="array" ref="L16">IF(I16="","", IFERROR(((IF(I$5&lt;&gt;"", I$5*A$5, 0) + SUMPRODUCT(--(I$6:I16&lt;&gt;""), I$6:I16, (A$6:A16-A$5:A15)))/1000)/H$3, ""))</f>
        <v>#N/A</v>
      </c>
      <c r="M16" s="1">
        <f t="shared" si="6"/>
        <v>240</v>
      </c>
      <c r="N16" s="1">
        <f t="shared" si="7"/>
        <v>0</v>
      </c>
      <c r="U16" s="1" t="e">
        <f t="shared" si="8"/>
        <v>#N/A</v>
      </c>
      <c r="V16" s="1" t="e">
        <f t="shared" si="1"/>
        <v>#N/A</v>
      </c>
      <c r="W16" s="1" t="e">
        <f t="shared" si="9"/>
        <v>#N/A</v>
      </c>
      <c r="X16" s="8" t="e" cm="1">
        <f t="array" ref="X16">IF(U16="","", IFERROR(((IF(U$5&lt;&gt;"", U$5*M$5, 0) + SUMPRODUCT(--(U$6:U16&lt;&gt;""), U$6:U16, (M$6:M16-M$5:M15)))/1000)/T$3, ""))</f>
        <v>#N/A</v>
      </c>
    </row>
    <row r="17" spans="1:24" x14ac:dyDescent="0.25">
      <c r="A17" s="1">
        <f t="shared" si="2"/>
        <v>260</v>
      </c>
      <c r="B17" s="1">
        <f t="shared" si="3"/>
        <v>0</v>
      </c>
      <c r="I17" s="1" t="e">
        <f t="shared" si="4"/>
        <v>#N/A</v>
      </c>
      <c r="J17" s="1" t="e">
        <f t="shared" si="0"/>
        <v>#N/A</v>
      </c>
      <c r="K17" s="1" t="e">
        <f t="shared" si="5"/>
        <v>#N/A</v>
      </c>
      <c r="L17" s="8" t="e" cm="1">
        <f t="array" ref="L17">IF(I17="","", IFERROR(((IF(I$5&lt;&gt;"", I$5*A$5, 0) + SUMPRODUCT(--(I$6:I17&lt;&gt;""), I$6:I17, (A$6:A17-A$5:A16)))/1000)/H$3, ""))</f>
        <v>#N/A</v>
      </c>
      <c r="M17" s="1">
        <f t="shared" si="6"/>
        <v>260</v>
      </c>
      <c r="N17" s="1">
        <f t="shared" si="7"/>
        <v>0</v>
      </c>
      <c r="U17" s="1" t="e">
        <f t="shared" si="8"/>
        <v>#N/A</v>
      </c>
      <c r="V17" s="1" t="e">
        <f t="shared" si="1"/>
        <v>#N/A</v>
      </c>
      <c r="W17" s="1" t="e">
        <f t="shared" si="9"/>
        <v>#N/A</v>
      </c>
      <c r="X17" s="8" t="e" cm="1">
        <f t="array" ref="X17">IF(U17="","", IFERROR(((IF(U$5&lt;&gt;"", U$5*M$5, 0) + SUMPRODUCT(--(U$6:U17&lt;&gt;""), U$6:U17, (M$6:M17-M$5:M16)))/1000)/T$3, ""))</f>
        <v>#N/A</v>
      </c>
    </row>
    <row r="18" spans="1:24" x14ac:dyDescent="0.25">
      <c r="A18" s="1">
        <f t="shared" si="2"/>
        <v>280</v>
      </c>
      <c r="B18" s="1">
        <f t="shared" si="3"/>
        <v>0</v>
      </c>
      <c r="I18" s="1" t="e">
        <f t="shared" si="4"/>
        <v>#N/A</v>
      </c>
      <c r="J18" s="1" t="e">
        <f t="shared" si="0"/>
        <v>#N/A</v>
      </c>
      <c r="K18" s="1" t="e">
        <f t="shared" si="5"/>
        <v>#N/A</v>
      </c>
      <c r="L18" s="8" t="e" cm="1">
        <f t="array" ref="L18">IF(I18="","", IFERROR(((IF(I$5&lt;&gt;"", I$5*A$5, 0) + SUMPRODUCT(--(I$6:I18&lt;&gt;""), I$6:I18, (A$6:A18-A$5:A17)))/1000)/H$3, ""))</f>
        <v>#N/A</v>
      </c>
      <c r="M18" s="1">
        <f t="shared" si="6"/>
        <v>280</v>
      </c>
      <c r="N18" s="1">
        <f t="shared" si="7"/>
        <v>0</v>
      </c>
      <c r="U18" s="1" t="e">
        <f t="shared" si="8"/>
        <v>#N/A</v>
      </c>
      <c r="V18" s="1" t="e">
        <f t="shared" si="1"/>
        <v>#N/A</v>
      </c>
      <c r="W18" s="1" t="e">
        <f t="shared" si="9"/>
        <v>#N/A</v>
      </c>
      <c r="X18" s="8" t="e" cm="1">
        <f t="array" ref="X18">IF(U18="","", IFERROR(((IF(U$5&lt;&gt;"", U$5*M$5, 0) + SUMPRODUCT(--(U$6:U18&lt;&gt;""), U$6:U18, (M$6:M18-M$5:M17)))/1000)/T$3, ""))</f>
        <v>#N/A</v>
      </c>
    </row>
    <row r="19" spans="1:24" x14ac:dyDescent="0.25">
      <c r="A19" s="1">
        <f t="shared" si="2"/>
        <v>300</v>
      </c>
      <c r="B19" s="1">
        <f t="shared" si="3"/>
        <v>0</v>
      </c>
      <c r="I19" s="1" t="e">
        <f t="shared" si="4"/>
        <v>#N/A</v>
      </c>
      <c r="J19" s="1" t="e">
        <f t="shared" si="0"/>
        <v>#N/A</v>
      </c>
      <c r="K19" s="1" t="e">
        <f t="shared" si="5"/>
        <v>#N/A</v>
      </c>
      <c r="L19" s="8" t="e" cm="1">
        <f t="array" ref="L19">IF(I19="","", IFERROR(((IF(I$5&lt;&gt;"", I$5*A$5, 0) + SUMPRODUCT(--(I$6:I19&lt;&gt;""), I$6:I19, (A$6:A19-A$5:A18)))/1000)/H$3, ""))</f>
        <v>#N/A</v>
      </c>
      <c r="M19" s="1">
        <f t="shared" si="6"/>
        <v>300</v>
      </c>
      <c r="N19" s="1">
        <f t="shared" si="7"/>
        <v>0</v>
      </c>
      <c r="U19" s="1" t="e">
        <f t="shared" si="8"/>
        <v>#N/A</v>
      </c>
      <c r="V19" s="1" t="e">
        <f t="shared" si="1"/>
        <v>#N/A</v>
      </c>
      <c r="W19" s="1" t="e">
        <f t="shared" si="9"/>
        <v>#N/A</v>
      </c>
      <c r="X19" s="8" t="e" cm="1">
        <f t="array" ref="X19">IF(U19="","", IFERROR(((IF(U$5&lt;&gt;"", U$5*M$5, 0) + SUMPRODUCT(--(U$6:U19&lt;&gt;""), U$6:U19, (M$6:M19-M$5:M18)))/1000)/T$3, ""))</f>
        <v>#N/A</v>
      </c>
    </row>
    <row r="20" spans="1:24" x14ac:dyDescent="0.25">
      <c r="A20" s="1">
        <f t="shared" si="2"/>
        <v>320</v>
      </c>
      <c r="B20" s="1">
        <f t="shared" si="3"/>
        <v>0</v>
      </c>
      <c r="I20" s="1" t="e">
        <f t="shared" si="4"/>
        <v>#N/A</v>
      </c>
      <c r="J20" s="1" t="e">
        <f t="shared" si="0"/>
        <v>#N/A</v>
      </c>
      <c r="K20" s="1" t="e">
        <f t="shared" si="5"/>
        <v>#N/A</v>
      </c>
      <c r="L20" s="8" t="e" cm="1">
        <f t="array" ref="L20">IF(I20="","", IFERROR(((IF(I$5&lt;&gt;"", I$5*A$5, 0) + SUMPRODUCT(--(I$6:I20&lt;&gt;""), I$6:I20, (A$6:A20-A$5:A19)))/1000)/H$3, ""))</f>
        <v>#N/A</v>
      </c>
      <c r="M20" s="1">
        <f t="shared" si="6"/>
        <v>320</v>
      </c>
      <c r="N20" s="1">
        <f t="shared" si="7"/>
        <v>0</v>
      </c>
      <c r="U20" s="1" t="e">
        <f t="shared" si="8"/>
        <v>#N/A</v>
      </c>
      <c r="V20" s="1" t="e">
        <f t="shared" si="1"/>
        <v>#N/A</v>
      </c>
      <c r="W20" s="1" t="e">
        <f t="shared" si="9"/>
        <v>#N/A</v>
      </c>
      <c r="X20" s="8" t="e" cm="1">
        <f t="array" ref="X20">IF(U20="","", IFERROR(((IF(U$5&lt;&gt;"", U$5*M$5, 0) + SUMPRODUCT(--(U$6:U20&lt;&gt;""), U$6:U20, (M$6:M20-M$5:M19)))/1000)/T$3, ""))</f>
        <v>#N/A</v>
      </c>
    </row>
    <row r="21" spans="1:24" x14ac:dyDescent="0.25">
      <c r="A21" s="1">
        <f t="shared" si="2"/>
        <v>340</v>
      </c>
      <c r="B21" s="1">
        <f t="shared" si="3"/>
        <v>0</v>
      </c>
      <c r="I21" s="1" t="e">
        <f t="shared" si="4"/>
        <v>#N/A</v>
      </c>
      <c r="J21" s="1" t="e">
        <f t="shared" si="0"/>
        <v>#N/A</v>
      </c>
      <c r="K21" s="1" t="e">
        <f t="shared" si="5"/>
        <v>#N/A</v>
      </c>
      <c r="L21" s="8" t="e" cm="1">
        <f t="array" ref="L21">IF(I21="","", IFERROR(((IF(I$5&lt;&gt;"", I$5*A$5, 0) + SUMPRODUCT(--(I$6:I21&lt;&gt;""), I$6:I21, (A$6:A21-A$5:A20)))/1000)/H$3, ""))</f>
        <v>#N/A</v>
      </c>
      <c r="M21" s="1">
        <f t="shared" si="6"/>
        <v>340</v>
      </c>
      <c r="N21" s="1">
        <f t="shared" si="7"/>
        <v>0</v>
      </c>
      <c r="U21" s="1" t="e">
        <f t="shared" si="8"/>
        <v>#N/A</v>
      </c>
      <c r="V21" s="1" t="e">
        <f t="shared" si="1"/>
        <v>#N/A</v>
      </c>
      <c r="W21" s="1" t="e">
        <f t="shared" si="9"/>
        <v>#N/A</v>
      </c>
      <c r="X21" s="8" t="e" cm="1">
        <f t="array" ref="X21">IF(U21="","", IFERROR(((IF(U$5&lt;&gt;"", U$5*M$5, 0) + SUMPRODUCT(--(U$6:U21&lt;&gt;""), U$6:U21, (M$6:M21-M$5:M20)))/1000)/T$3, ""))</f>
        <v>#N/A</v>
      </c>
    </row>
    <row r="22" spans="1:24" x14ac:dyDescent="0.25">
      <c r="A22" s="1">
        <f t="shared" si="2"/>
        <v>360</v>
      </c>
      <c r="B22" s="1">
        <f t="shared" si="3"/>
        <v>0</v>
      </c>
      <c r="I22" s="1" t="e">
        <f t="shared" si="4"/>
        <v>#N/A</v>
      </c>
      <c r="J22" s="1" t="e">
        <f t="shared" si="0"/>
        <v>#N/A</v>
      </c>
      <c r="K22" s="1" t="e">
        <f t="shared" si="5"/>
        <v>#N/A</v>
      </c>
      <c r="L22" s="8" t="e" cm="1">
        <f t="array" ref="L22">IF(I22="","", IFERROR(((IF(I$5&lt;&gt;"", I$5*A$5, 0) + SUMPRODUCT(--(I$6:I22&lt;&gt;""), I$6:I22, (A$6:A22-A$5:A21)))/1000)/H$3, ""))</f>
        <v>#N/A</v>
      </c>
      <c r="M22" s="1">
        <f t="shared" si="6"/>
        <v>360</v>
      </c>
      <c r="N22" s="1">
        <f t="shared" si="7"/>
        <v>0</v>
      </c>
      <c r="U22" s="1" t="e">
        <f t="shared" si="8"/>
        <v>#N/A</v>
      </c>
      <c r="V22" s="1" t="e">
        <f t="shared" si="1"/>
        <v>#N/A</v>
      </c>
      <c r="W22" s="1" t="e">
        <f t="shared" si="9"/>
        <v>#N/A</v>
      </c>
      <c r="X22" s="8" t="e" cm="1">
        <f t="array" ref="X22">IF(U22="","", IFERROR(((IF(U$5&lt;&gt;"", U$5*M$5, 0) + SUMPRODUCT(--(U$6:U22&lt;&gt;""), U$6:U22, (M$6:M22-M$5:M21)))/1000)/T$3, ""))</f>
        <v>#N/A</v>
      </c>
    </row>
    <row r="23" spans="1:24" x14ac:dyDescent="0.25">
      <c r="A23" s="1">
        <f t="shared" si="2"/>
        <v>380</v>
      </c>
      <c r="B23" s="1">
        <f t="shared" si="3"/>
        <v>0</v>
      </c>
      <c r="I23" s="1" t="e">
        <f t="shared" si="4"/>
        <v>#N/A</v>
      </c>
      <c r="J23" s="1" t="e">
        <f t="shared" si="0"/>
        <v>#N/A</v>
      </c>
      <c r="K23" s="1" t="e">
        <f t="shared" si="5"/>
        <v>#N/A</v>
      </c>
      <c r="L23" s="8" t="e" cm="1">
        <f t="array" ref="L23">IF(I23="","", IFERROR(((IF(I$5&lt;&gt;"", I$5*A$5, 0) + SUMPRODUCT(--(I$6:I23&lt;&gt;""), I$6:I23, (A$6:A23-A$5:A22)))/1000)/H$3, ""))</f>
        <v>#N/A</v>
      </c>
      <c r="M23" s="1">
        <f t="shared" si="6"/>
        <v>380</v>
      </c>
      <c r="N23" s="1">
        <f t="shared" si="7"/>
        <v>0</v>
      </c>
      <c r="U23" s="1" t="e">
        <f t="shared" si="8"/>
        <v>#N/A</v>
      </c>
      <c r="V23" s="1" t="e">
        <f t="shared" si="1"/>
        <v>#N/A</v>
      </c>
      <c r="W23" s="1" t="e">
        <f t="shared" si="9"/>
        <v>#N/A</v>
      </c>
      <c r="X23" s="8" t="e" cm="1">
        <f t="array" ref="X23">IF(U23="","", IFERROR(((IF(U$5&lt;&gt;"", U$5*M$5, 0) + SUMPRODUCT(--(U$6:U23&lt;&gt;""), U$6:U23, (M$6:M23-M$5:M22)))/1000)/T$3, ""))</f>
        <v>#N/A</v>
      </c>
    </row>
    <row r="24" spans="1:24" x14ac:dyDescent="0.25">
      <c r="A24" s="1">
        <f t="shared" si="2"/>
        <v>400</v>
      </c>
      <c r="B24" s="1">
        <f t="shared" si="3"/>
        <v>0</v>
      </c>
      <c r="I24" s="1" t="e">
        <f t="shared" si="4"/>
        <v>#N/A</v>
      </c>
      <c r="J24" s="1" t="e">
        <f t="shared" si="0"/>
        <v>#N/A</v>
      </c>
      <c r="K24" s="1" t="e">
        <f t="shared" si="5"/>
        <v>#N/A</v>
      </c>
      <c r="L24" s="8" t="e" cm="1">
        <f t="array" ref="L24">IF(I24="","", IFERROR(((IF(I$5&lt;&gt;"", I$5*A$5, 0) + SUMPRODUCT(--(I$6:I24&lt;&gt;""), I$6:I24, (A$6:A24-A$5:A23)))/1000)/H$3, ""))</f>
        <v>#N/A</v>
      </c>
      <c r="M24" s="1">
        <f t="shared" si="6"/>
        <v>400</v>
      </c>
      <c r="N24" s="1">
        <f t="shared" si="7"/>
        <v>0</v>
      </c>
      <c r="U24" s="1" t="e">
        <f t="shared" si="8"/>
        <v>#N/A</v>
      </c>
      <c r="V24" s="1" t="e">
        <f t="shared" si="1"/>
        <v>#N/A</v>
      </c>
      <c r="W24" s="1" t="e">
        <f t="shared" si="9"/>
        <v>#N/A</v>
      </c>
      <c r="X24" s="8" t="e" cm="1">
        <f t="array" ref="X24">IF(U24="","", IFERROR(((IF(U$5&lt;&gt;"", U$5*M$5, 0) + SUMPRODUCT(--(U$6:U24&lt;&gt;""), U$6:U24, (M$6:M24-M$5:M23)))/1000)/T$3, ""))</f>
        <v>#N/A</v>
      </c>
    </row>
    <row r="25" spans="1:24" x14ac:dyDescent="0.25">
      <c r="A25" s="1">
        <f t="shared" si="2"/>
        <v>420</v>
      </c>
      <c r="B25" s="1">
        <f t="shared" si="3"/>
        <v>0</v>
      </c>
      <c r="I25" s="1" t="e">
        <f t="shared" si="4"/>
        <v>#N/A</v>
      </c>
      <c r="J25" s="1" t="e">
        <f t="shared" si="0"/>
        <v>#N/A</v>
      </c>
      <c r="K25" s="1" t="e">
        <f t="shared" si="5"/>
        <v>#N/A</v>
      </c>
      <c r="L25" s="8" t="e" cm="1">
        <f t="array" ref="L25">IF(I25="","", IFERROR(((IF(I$5&lt;&gt;"", I$5*A$5, 0) + SUMPRODUCT(--(I$6:I25&lt;&gt;""), I$6:I25, (A$6:A25-A$5:A24)))/1000)/H$3, ""))</f>
        <v>#N/A</v>
      </c>
      <c r="M25" s="1">
        <f t="shared" si="6"/>
        <v>420</v>
      </c>
      <c r="N25" s="1">
        <f t="shared" si="7"/>
        <v>0</v>
      </c>
      <c r="U25" s="1" t="e">
        <f t="shared" si="8"/>
        <v>#N/A</v>
      </c>
      <c r="V25" s="1" t="e">
        <f t="shared" si="1"/>
        <v>#N/A</v>
      </c>
      <c r="W25" s="1" t="e">
        <f t="shared" si="9"/>
        <v>#N/A</v>
      </c>
      <c r="X25" s="8" t="e" cm="1">
        <f t="array" ref="X25">IF(U25="","", IFERROR(((IF(U$5&lt;&gt;"", U$5*M$5, 0) + SUMPRODUCT(--(U$6:U25&lt;&gt;""), U$6:U25, (M$6:M25-M$5:M24)))/1000)/T$3, ""))</f>
        <v>#N/A</v>
      </c>
    </row>
    <row r="26" spans="1:24" x14ac:dyDescent="0.25">
      <c r="A26" s="1">
        <f t="shared" si="2"/>
        <v>440</v>
      </c>
      <c r="B26" s="1">
        <f t="shared" si="3"/>
        <v>0</v>
      </c>
      <c r="I26" s="1" t="e">
        <f t="shared" si="4"/>
        <v>#N/A</v>
      </c>
      <c r="J26" s="1" t="e">
        <f t="shared" si="0"/>
        <v>#N/A</v>
      </c>
      <c r="K26" s="1" t="e">
        <f t="shared" si="5"/>
        <v>#N/A</v>
      </c>
      <c r="L26" s="8" t="e" cm="1">
        <f t="array" ref="L26">IF(I26="","", IFERROR(((IF(I$5&lt;&gt;"", I$5*A$5, 0) + SUMPRODUCT(--(I$6:I26&lt;&gt;""), I$6:I26, (A$6:A26-A$5:A25)))/1000)/H$3, ""))</f>
        <v>#N/A</v>
      </c>
      <c r="M26" s="1">
        <f t="shared" si="6"/>
        <v>440</v>
      </c>
      <c r="N26" s="1">
        <f t="shared" si="7"/>
        <v>0</v>
      </c>
      <c r="U26" s="1" t="e">
        <f t="shared" si="8"/>
        <v>#N/A</v>
      </c>
      <c r="V26" s="1" t="e">
        <f t="shared" si="1"/>
        <v>#N/A</v>
      </c>
      <c r="W26" s="1" t="e">
        <f t="shared" si="9"/>
        <v>#N/A</v>
      </c>
      <c r="X26" s="8" t="e" cm="1">
        <f t="array" ref="X26">IF(U26="","", IFERROR(((IF(U$5&lt;&gt;"", U$5*M$5, 0) + SUMPRODUCT(--(U$6:U26&lt;&gt;""), U$6:U26, (M$6:M26-M$5:M25)))/1000)/T$3, ""))</f>
        <v>#N/A</v>
      </c>
    </row>
    <row r="27" spans="1:24" x14ac:dyDescent="0.25">
      <c r="A27" s="1">
        <f t="shared" si="2"/>
        <v>460</v>
      </c>
      <c r="B27" s="1">
        <f t="shared" si="3"/>
        <v>0</v>
      </c>
      <c r="I27" s="1" t="e">
        <f t="shared" si="4"/>
        <v>#N/A</v>
      </c>
      <c r="J27" s="1" t="e">
        <f t="shared" si="0"/>
        <v>#N/A</v>
      </c>
      <c r="K27" s="1" t="e">
        <f t="shared" si="5"/>
        <v>#N/A</v>
      </c>
      <c r="L27" s="8" t="e" cm="1">
        <f t="array" ref="L27">IF(I27="","", IFERROR(((IF(I$5&lt;&gt;"", I$5*A$5, 0) + SUMPRODUCT(--(I$6:I27&lt;&gt;""), I$6:I27, (A$6:A27-A$5:A26)))/1000)/H$3, ""))</f>
        <v>#N/A</v>
      </c>
      <c r="M27" s="1">
        <f t="shared" si="6"/>
        <v>460</v>
      </c>
      <c r="N27" s="1">
        <f t="shared" si="7"/>
        <v>0</v>
      </c>
      <c r="U27" s="1" t="e">
        <f t="shared" si="8"/>
        <v>#N/A</v>
      </c>
      <c r="V27" s="1" t="e">
        <f t="shared" si="1"/>
        <v>#N/A</v>
      </c>
      <c r="W27" s="1" t="e">
        <f t="shared" si="9"/>
        <v>#N/A</v>
      </c>
      <c r="X27" s="8" t="e" cm="1">
        <f t="array" ref="X27">IF(U27="","", IFERROR(((IF(U$5&lt;&gt;"", U$5*M$5, 0) + SUMPRODUCT(--(U$6:U27&lt;&gt;""), U$6:U27, (M$6:M27-M$5:M26)))/1000)/T$3, ""))</f>
        <v>#N/A</v>
      </c>
    </row>
    <row r="28" spans="1:24" x14ac:dyDescent="0.25">
      <c r="A28" s="1">
        <f t="shared" si="2"/>
        <v>480</v>
      </c>
      <c r="B28" s="1">
        <f t="shared" si="3"/>
        <v>0</v>
      </c>
      <c r="I28" s="1" t="e">
        <f t="shared" si="4"/>
        <v>#N/A</v>
      </c>
      <c r="J28" s="1" t="e">
        <f t="shared" si="0"/>
        <v>#N/A</v>
      </c>
      <c r="K28" s="1" t="e">
        <f t="shared" si="5"/>
        <v>#N/A</v>
      </c>
      <c r="L28" s="8" t="e" cm="1">
        <f t="array" ref="L28">IF(I28="","", IFERROR(((IF(I$5&lt;&gt;"", I$5*A$5, 0) + SUMPRODUCT(--(I$6:I28&lt;&gt;""), I$6:I28, (A$6:A28-A$5:A27)))/1000)/H$3, ""))</f>
        <v>#N/A</v>
      </c>
      <c r="M28" s="1">
        <f t="shared" si="6"/>
        <v>480</v>
      </c>
      <c r="N28" s="1">
        <f t="shared" si="7"/>
        <v>0</v>
      </c>
      <c r="U28" s="1" t="e">
        <f t="shared" si="8"/>
        <v>#N/A</v>
      </c>
      <c r="V28" s="1" t="e">
        <f t="shared" si="1"/>
        <v>#N/A</v>
      </c>
      <c r="W28" s="1" t="e">
        <f t="shared" si="9"/>
        <v>#N/A</v>
      </c>
      <c r="X28" s="8" t="e" cm="1">
        <f t="array" ref="X28">IF(U28="","", IFERROR(((IF(U$5&lt;&gt;"", U$5*M$5, 0) + SUMPRODUCT(--(U$6:U28&lt;&gt;""), U$6:U28, (M$6:M28-M$5:M27)))/1000)/T$3, ""))</f>
        <v>#N/A</v>
      </c>
    </row>
    <row r="29" spans="1:24" x14ac:dyDescent="0.25">
      <c r="A29" s="1">
        <f t="shared" si="2"/>
        <v>500</v>
      </c>
      <c r="B29" s="1">
        <f t="shared" si="3"/>
        <v>0</v>
      </c>
      <c r="F29" s="9"/>
      <c r="G29" s="9"/>
      <c r="H29" s="9"/>
      <c r="I29" s="1" t="e">
        <f t="shared" si="4"/>
        <v>#N/A</v>
      </c>
      <c r="J29" s="1" t="e">
        <f t="shared" si="0"/>
        <v>#N/A</v>
      </c>
      <c r="K29" s="1" t="e">
        <f t="shared" si="5"/>
        <v>#N/A</v>
      </c>
      <c r="L29" s="8" t="e" cm="1">
        <f t="array" ref="L29">IF(I29="","", IFERROR(((IF(I$5&lt;&gt;"", I$5*A$5, 0) + SUMPRODUCT(--(I$6:I29&lt;&gt;""), I$6:I29, (A$6:A29-A$5:A28)))/1000)/H$3, ""))</f>
        <v>#N/A</v>
      </c>
      <c r="M29" s="1">
        <f t="shared" si="6"/>
        <v>500</v>
      </c>
      <c r="N29" s="1">
        <f t="shared" si="7"/>
        <v>0</v>
      </c>
      <c r="R29" s="9"/>
      <c r="S29" s="9"/>
      <c r="T29" s="9"/>
      <c r="U29" s="1" t="e">
        <f t="shared" si="8"/>
        <v>#N/A</v>
      </c>
      <c r="V29" s="1" t="e">
        <f t="shared" si="1"/>
        <v>#N/A</v>
      </c>
      <c r="W29" s="1" t="e">
        <f t="shared" si="9"/>
        <v>#N/A</v>
      </c>
      <c r="X29" s="8" t="e" cm="1">
        <f t="array" ref="X29">IF(U29="","", IFERROR(((IF(U$5&lt;&gt;"", U$5*M$5, 0) + SUMPRODUCT(--(U$6:U29&lt;&gt;""), U$6:U29, (M$6:M29-M$5:M28)))/1000)/T$3, ""))</f>
        <v>#N/A</v>
      </c>
    </row>
    <row r="30" spans="1:24" x14ac:dyDescent="0.25">
      <c r="A30" s="1">
        <f t="shared" si="2"/>
        <v>520</v>
      </c>
      <c r="B30" s="1">
        <f t="shared" si="3"/>
        <v>0</v>
      </c>
      <c r="I30" s="1" t="e">
        <f t="shared" si="4"/>
        <v>#N/A</v>
      </c>
      <c r="J30" s="1" t="e">
        <f t="shared" si="0"/>
        <v>#N/A</v>
      </c>
      <c r="K30" s="1" t="e">
        <f t="shared" si="5"/>
        <v>#N/A</v>
      </c>
      <c r="L30" s="8" t="e" cm="1">
        <f t="array" ref="L30">IF(I30="","", IFERROR(((IF(I$5&lt;&gt;"", I$5*A$5, 0) + SUMPRODUCT(--(I$6:I30&lt;&gt;""), I$6:I30, (A$6:A30-A$5:A29)))/1000)/H$3, ""))</f>
        <v>#N/A</v>
      </c>
      <c r="M30" s="1">
        <f t="shared" si="6"/>
        <v>520</v>
      </c>
      <c r="N30" s="1">
        <f t="shared" si="7"/>
        <v>0</v>
      </c>
      <c r="U30" s="1" t="e">
        <f t="shared" si="8"/>
        <v>#N/A</v>
      </c>
      <c r="V30" s="1" t="e">
        <f t="shared" si="1"/>
        <v>#N/A</v>
      </c>
      <c r="W30" s="1" t="e">
        <f t="shared" si="9"/>
        <v>#N/A</v>
      </c>
      <c r="X30" s="8" t="e" cm="1">
        <f t="array" ref="X30">IF(U30="","", IFERROR(((IF(U$5&lt;&gt;"", U$5*M$5, 0) + SUMPRODUCT(--(U$6:U30&lt;&gt;""), U$6:U30, (M$6:M30-M$5:M29)))/1000)/T$3, ""))</f>
        <v>#N/A</v>
      </c>
    </row>
    <row r="31" spans="1:24" x14ac:dyDescent="0.25">
      <c r="A31" s="1">
        <f t="shared" si="2"/>
        <v>540</v>
      </c>
      <c r="B31" s="1">
        <f t="shared" si="3"/>
        <v>0</v>
      </c>
      <c r="I31" s="1" t="e">
        <f t="shared" si="4"/>
        <v>#N/A</v>
      </c>
      <c r="J31" s="1" t="e">
        <f t="shared" si="0"/>
        <v>#N/A</v>
      </c>
      <c r="K31" s="1" t="e">
        <f t="shared" si="5"/>
        <v>#N/A</v>
      </c>
      <c r="L31" s="8" t="e" cm="1">
        <f t="array" ref="L31">IF(I31="","", IFERROR(((IF(I$5&lt;&gt;"", I$5*A$5, 0) + SUMPRODUCT(--(I$6:I31&lt;&gt;""), I$6:I31, (A$6:A31-A$5:A30)))/1000)/H$3, ""))</f>
        <v>#N/A</v>
      </c>
      <c r="M31" s="1">
        <f t="shared" si="6"/>
        <v>540</v>
      </c>
      <c r="N31" s="1">
        <f t="shared" si="7"/>
        <v>0</v>
      </c>
      <c r="U31" s="1" t="e">
        <f t="shared" si="8"/>
        <v>#N/A</v>
      </c>
      <c r="V31" s="1" t="e">
        <f t="shared" si="1"/>
        <v>#N/A</v>
      </c>
      <c r="W31" s="1" t="e">
        <f t="shared" si="9"/>
        <v>#N/A</v>
      </c>
      <c r="X31" s="8" t="e" cm="1">
        <f t="array" ref="X31">IF(U31="","", IFERROR(((IF(U$5&lt;&gt;"", U$5*M$5, 0) + SUMPRODUCT(--(U$6:U31&lt;&gt;""), U$6:U31, (M$6:M31-M$5:M30)))/1000)/T$3, ""))</f>
        <v>#N/A</v>
      </c>
    </row>
    <row r="32" spans="1:24" x14ac:dyDescent="0.25">
      <c r="A32" s="1">
        <f t="shared" si="2"/>
        <v>560</v>
      </c>
      <c r="B32" s="1">
        <f t="shared" si="3"/>
        <v>0</v>
      </c>
      <c r="I32" s="1" t="e">
        <f t="shared" si="4"/>
        <v>#N/A</v>
      </c>
      <c r="J32" s="1" t="e">
        <f t="shared" si="0"/>
        <v>#N/A</v>
      </c>
      <c r="K32" s="1" t="e">
        <f t="shared" si="5"/>
        <v>#N/A</v>
      </c>
      <c r="L32" s="8" t="e" cm="1">
        <f t="array" ref="L32">IF(I32="","", IFERROR(((IF(I$5&lt;&gt;"", I$5*A$5, 0) + SUMPRODUCT(--(I$6:I32&lt;&gt;""), I$6:I32, (A$6:A32-A$5:A31)))/1000)/H$3, ""))</f>
        <v>#N/A</v>
      </c>
      <c r="M32" s="1">
        <f t="shared" si="6"/>
        <v>560</v>
      </c>
      <c r="N32" s="1">
        <f t="shared" si="7"/>
        <v>0</v>
      </c>
      <c r="U32" s="1" t="e">
        <f t="shared" si="8"/>
        <v>#N/A</v>
      </c>
      <c r="V32" s="1" t="e">
        <f t="shared" si="1"/>
        <v>#N/A</v>
      </c>
      <c r="W32" s="1" t="e">
        <f t="shared" si="9"/>
        <v>#N/A</v>
      </c>
      <c r="X32" s="8" t="e" cm="1">
        <f t="array" ref="X32">IF(U32="","", IFERROR(((IF(U$5&lt;&gt;"", U$5*M$5, 0) + SUMPRODUCT(--(U$6:U32&lt;&gt;""), U$6:U32, (M$6:M32-M$5:M31)))/1000)/T$3, ""))</f>
        <v>#N/A</v>
      </c>
    </row>
    <row r="33" spans="1:24" x14ac:dyDescent="0.25">
      <c r="A33" s="1">
        <f t="shared" si="2"/>
        <v>580</v>
      </c>
      <c r="B33" s="1">
        <f t="shared" si="3"/>
        <v>0</v>
      </c>
      <c r="I33" s="1" t="e">
        <f t="shared" si="4"/>
        <v>#N/A</v>
      </c>
      <c r="J33" s="1" t="e">
        <f t="shared" si="0"/>
        <v>#N/A</v>
      </c>
      <c r="K33" s="1" t="e">
        <f t="shared" si="5"/>
        <v>#N/A</v>
      </c>
      <c r="L33" s="8" t="e" cm="1">
        <f t="array" ref="L33">IF(I33="","", IFERROR(((IF(I$5&lt;&gt;"", I$5*A$5, 0) + SUMPRODUCT(--(I$6:I33&lt;&gt;""), I$6:I33, (A$6:A33-A$5:A32)))/1000)/H$3, ""))</f>
        <v>#N/A</v>
      </c>
      <c r="M33" s="1">
        <f t="shared" si="6"/>
        <v>580</v>
      </c>
      <c r="N33" s="1">
        <f t="shared" si="7"/>
        <v>0</v>
      </c>
      <c r="U33" s="1" t="e">
        <f t="shared" si="8"/>
        <v>#N/A</v>
      </c>
      <c r="V33" s="1" t="e">
        <f t="shared" si="1"/>
        <v>#N/A</v>
      </c>
      <c r="W33" s="1" t="e">
        <f t="shared" si="9"/>
        <v>#N/A</v>
      </c>
      <c r="X33" s="8" t="e" cm="1">
        <f t="array" ref="X33">IF(U33="","", IFERROR(((IF(U$5&lt;&gt;"", U$5*M$5, 0) + SUMPRODUCT(--(U$6:U33&lt;&gt;""), U$6:U33, (M$6:M33-M$5:M32)))/1000)/T$3, ""))</f>
        <v>#N/A</v>
      </c>
    </row>
    <row r="34" spans="1:24" x14ac:dyDescent="0.25">
      <c r="A34" s="1">
        <f t="shared" si="2"/>
        <v>600</v>
      </c>
      <c r="B34" s="1">
        <f t="shared" si="3"/>
        <v>0</v>
      </c>
      <c r="I34" s="1" t="e">
        <f t="shared" si="4"/>
        <v>#N/A</v>
      </c>
      <c r="J34" s="1" t="e">
        <f t="shared" si="0"/>
        <v>#N/A</v>
      </c>
      <c r="K34" s="1" t="e">
        <f t="shared" si="5"/>
        <v>#N/A</v>
      </c>
      <c r="L34" s="8" t="e" cm="1">
        <f t="array" ref="L34">IF(I34="","", IFERROR(((IF(I$5&lt;&gt;"", I$5*A$5, 0) + SUMPRODUCT(--(I$6:I34&lt;&gt;""), I$6:I34, (A$6:A34-A$5:A33)))/1000)/H$3, ""))</f>
        <v>#N/A</v>
      </c>
      <c r="M34" s="1">
        <f t="shared" si="6"/>
        <v>600</v>
      </c>
      <c r="N34" s="1">
        <f t="shared" si="7"/>
        <v>0</v>
      </c>
      <c r="U34" s="1" t="e">
        <f t="shared" si="8"/>
        <v>#N/A</v>
      </c>
      <c r="V34" s="1" t="e">
        <f t="shared" si="1"/>
        <v>#N/A</v>
      </c>
      <c r="W34" s="1" t="e">
        <f t="shared" si="9"/>
        <v>#N/A</v>
      </c>
      <c r="X34" s="8" t="e" cm="1">
        <f t="array" ref="X34">IF(U34="","", IFERROR(((IF(U$5&lt;&gt;"", U$5*M$5, 0) + SUMPRODUCT(--(U$6:U34&lt;&gt;""), U$6:U34, (M$6:M34-M$5:M33)))/1000)/T$3, ""))</f>
        <v>#N/A</v>
      </c>
    </row>
    <row r="35" spans="1:24" x14ac:dyDescent="0.25">
      <c r="A35" s="1">
        <f t="shared" si="2"/>
        <v>620</v>
      </c>
      <c r="B35" s="1">
        <f t="shared" si="3"/>
        <v>0</v>
      </c>
      <c r="I35" s="1" t="e">
        <f t="shared" si="4"/>
        <v>#N/A</v>
      </c>
      <c r="J35" s="1" t="e">
        <f t="shared" si="0"/>
        <v>#N/A</v>
      </c>
      <c r="K35" s="1" t="e">
        <f t="shared" si="5"/>
        <v>#N/A</v>
      </c>
      <c r="L35" s="8" t="e" cm="1">
        <f t="array" ref="L35">IF(I35="","", IFERROR(((IF(I$5&lt;&gt;"", I$5*A$5, 0) + SUMPRODUCT(--(I$6:I35&lt;&gt;""), I$6:I35, (A$6:A35-A$5:A34)))/1000)/H$3, ""))</f>
        <v>#N/A</v>
      </c>
      <c r="M35" s="1">
        <f t="shared" si="6"/>
        <v>620</v>
      </c>
      <c r="N35" s="1">
        <f t="shared" si="7"/>
        <v>0</v>
      </c>
      <c r="U35" s="1" t="e">
        <f t="shared" si="8"/>
        <v>#N/A</v>
      </c>
      <c r="V35" s="1" t="e">
        <f t="shared" si="1"/>
        <v>#N/A</v>
      </c>
      <c r="W35" s="1" t="e">
        <f t="shared" si="9"/>
        <v>#N/A</v>
      </c>
      <c r="X35" s="8" t="e" cm="1">
        <f t="array" ref="X35">IF(U35="","", IFERROR(((IF(U$5&lt;&gt;"", U$5*M$5, 0) + SUMPRODUCT(--(U$6:U35&lt;&gt;""), U$6:U35, (M$6:M35-M$5:M34)))/1000)/T$3, ""))</f>
        <v>#N/A</v>
      </c>
    </row>
    <row r="36" spans="1:24" x14ac:dyDescent="0.25">
      <c r="A36" s="1">
        <f t="shared" si="2"/>
        <v>640</v>
      </c>
      <c r="B36" s="1">
        <f t="shared" si="3"/>
        <v>0</v>
      </c>
      <c r="I36" s="1" t="e">
        <f t="shared" si="4"/>
        <v>#N/A</v>
      </c>
      <c r="J36" s="1" t="e">
        <f t="shared" si="0"/>
        <v>#N/A</v>
      </c>
      <c r="K36" s="1" t="e">
        <f t="shared" si="5"/>
        <v>#N/A</v>
      </c>
      <c r="L36" s="8" t="e" cm="1">
        <f t="array" ref="L36">IF(I36="","", IFERROR(((IF(I$5&lt;&gt;"", I$5*A$5, 0) + SUMPRODUCT(--(I$6:I36&lt;&gt;""), I$6:I36, (A$6:A36-A$5:A35)))/1000)/H$3, ""))</f>
        <v>#N/A</v>
      </c>
      <c r="M36" s="1">
        <f t="shared" si="6"/>
        <v>640</v>
      </c>
      <c r="N36" s="1">
        <f t="shared" si="7"/>
        <v>0</v>
      </c>
      <c r="U36" s="1" t="e">
        <f t="shared" si="8"/>
        <v>#N/A</v>
      </c>
      <c r="V36" s="1" t="e">
        <f t="shared" si="1"/>
        <v>#N/A</v>
      </c>
      <c r="W36" s="1" t="e">
        <f t="shared" si="9"/>
        <v>#N/A</v>
      </c>
      <c r="X36" s="8" t="e" cm="1">
        <f t="array" ref="X36">IF(U36="","", IFERROR(((IF(U$5&lt;&gt;"", U$5*M$5, 0) + SUMPRODUCT(--(U$6:U36&lt;&gt;""), U$6:U36, (M$6:M36-M$5:M35)))/1000)/T$3, ""))</f>
        <v>#N/A</v>
      </c>
    </row>
    <row r="37" spans="1:24" x14ac:dyDescent="0.25">
      <c r="A37" s="1">
        <f t="shared" si="2"/>
        <v>660</v>
      </c>
      <c r="B37" s="1">
        <f t="shared" si="3"/>
        <v>0</v>
      </c>
      <c r="I37" s="1" t="e">
        <f t="shared" si="4"/>
        <v>#N/A</v>
      </c>
      <c r="J37" s="1" t="e">
        <f t="shared" si="0"/>
        <v>#N/A</v>
      </c>
      <c r="K37" s="1" t="e">
        <f t="shared" si="5"/>
        <v>#N/A</v>
      </c>
      <c r="L37" s="8" t="e" cm="1">
        <f t="array" ref="L37">IF(I37="","", IFERROR(((IF(I$5&lt;&gt;"", I$5*A$5, 0) + SUMPRODUCT(--(I$6:I37&lt;&gt;""), I$6:I37, (A$6:A37-A$5:A36)))/1000)/H$3, ""))</f>
        <v>#N/A</v>
      </c>
      <c r="M37" s="1">
        <f t="shared" si="6"/>
        <v>660</v>
      </c>
      <c r="N37" s="1">
        <f t="shared" si="7"/>
        <v>0</v>
      </c>
      <c r="U37" s="1" t="e">
        <f t="shared" si="8"/>
        <v>#N/A</v>
      </c>
      <c r="V37" s="1" t="e">
        <f t="shared" si="1"/>
        <v>#N/A</v>
      </c>
      <c r="W37" s="1" t="e">
        <f t="shared" si="9"/>
        <v>#N/A</v>
      </c>
      <c r="X37" s="8" t="e" cm="1">
        <f t="array" ref="X37">IF(U37="","", IFERROR(((IF(U$5&lt;&gt;"", U$5*M$5, 0) + SUMPRODUCT(--(U$6:U37&lt;&gt;""), U$6:U37, (M$6:M37-M$5:M36)))/1000)/T$3, ""))</f>
        <v>#N/A</v>
      </c>
    </row>
    <row r="38" spans="1:24" x14ac:dyDescent="0.25">
      <c r="A38" s="1">
        <f t="shared" si="2"/>
        <v>680</v>
      </c>
      <c r="B38" s="1">
        <f t="shared" si="3"/>
        <v>0</v>
      </c>
      <c r="I38" s="1" t="e">
        <f t="shared" si="4"/>
        <v>#N/A</v>
      </c>
      <c r="J38" s="1" t="e">
        <f t="shared" si="0"/>
        <v>#N/A</v>
      </c>
      <c r="K38" s="1" t="e">
        <f t="shared" si="5"/>
        <v>#N/A</v>
      </c>
      <c r="L38" s="8" t="e" cm="1">
        <f t="array" ref="L38">IF(I38="","", IFERROR(((IF(I$5&lt;&gt;"", I$5*A$5, 0) + SUMPRODUCT(--(I$6:I38&lt;&gt;""), I$6:I38, (A$6:A38-A$5:A37)))/1000)/H$3, ""))</f>
        <v>#N/A</v>
      </c>
      <c r="M38" s="1">
        <f t="shared" si="6"/>
        <v>680</v>
      </c>
      <c r="N38" s="1">
        <f t="shared" si="7"/>
        <v>0</v>
      </c>
      <c r="U38" s="1" t="e">
        <f t="shared" si="8"/>
        <v>#N/A</v>
      </c>
      <c r="V38" s="1" t="e">
        <f t="shared" si="1"/>
        <v>#N/A</v>
      </c>
      <c r="W38" s="1" t="e">
        <f t="shared" si="9"/>
        <v>#N/A</v>
      </c>
      <c r="X38" s="8" t="e" cm="1">
        <f t="array" ref="X38">IF(U38="","", IFERROR(((IF(U$5&lt;&gt;"", U$5*M$5, 0) + SUMPRODUCT(--(U$6:U38&lt;&gt;""), U$6:U38, (M$6:M38-M$5:M37)))/1000)/T$3, ""))</f>
        <v>#N/A</v>
      </c>
    </row>
    <row r="39" spans="1:24" x14ac:dyDescent="0.25">
      <c r="A39" s="1">
        <f t="shared" si="2"/>
        <v>700</v>
      </c>
      <c r="B39" s="1">
        <f t="shared" si="3"/>
        <v>0</v>
      </c>
      <c r="I39" s="1" t="e">
        <f t="shared" si="4"/>
        <v>#N/A</v>
      </c>
      <c r="J39" s="1" t="e">
        <f t="shared" si="0"/>
        <v>#N/A</v>
      </c>
      <c r="K39" s="1" t="e">
        <f t="shared" si="5"/>
        <v>#N/A</v>
      </c>
      <c r="L39" s="8" t="e" cm="1">
        <f t="array" ref="L39">IF(I39="","", IFERROR(((IF(I$5&lt;&gt;"", I$5*A$5, 0) + SUMPRODUCT(--(I$6:I39&lt;&gt;""), I$6:I39, (A$6:A39-A$5:A38)))/1000)/H$3, ""))</f>
        <v>#N/A</v>
      </c>
      <c r="M39" s="1">
        <f t="shared" si="6"/>
        <v>700</v>
      </c>
      <c r="N39" s="1">
        <f t="shared" si="7"/>
        <v>0</v>
      </c>
      <c r="U39" s="1" t="e">
        <f t="shared" si="8"/>
        <v>#N/A</v>
      </c>
      <c r="V39" s="1" t="e">
        <f t="shared" si="1"/>
        <v>#N/A</v>
      </c>
      <c r="W39" s="1" t="e">
        <f t="shared" si="9"/>
        <v>#N/A</v>
      </c>
      <c r="X39" s="8" t="e" cm="1">
        <f t="array" ref="X39">IF(U39="","", IFERROR(((IF(U$5&lt;&gt;"", U$5*M$5, 0) + SUMPRODUCT(--(U$6:U39&lt;&gt;""), U$6:U39, (M$6:M39-M$5:M38)))/1000)/T$3, ""))</f>
        <v>#N/A</v>
      </c>
    </row>
    <row r="40" spans="1:24" x14ac:dyDescent="0.25">
      <c r="A40" s="1">
        <f t="shared" si="2"/>
        <v>720</v>
      </c>
      <c r="B40" s="1">
        <f t="shared" si="3"/>
        <v>0</v>
      </c>
      <c r="I40" s="1" t="e">
        <f t="shared" si="4"/>
        <v>#N/A</v>
      </c>
      <c r="J40" s="1" t="e">
        <f t="shared" si="0"/>
        <v>#N/A</v>
      </c>
      <c r="K40" s="1" t="e">
        <f t="shared" si="5"/>
        <v>#N/A</v>
      </c>
      <c r="L40" s="8" t="e" cm="1">
        <f t="array" ref="L40">IF(I40="","", IFERROR(((IF(I$5&lt;&gt;"", I$5*A$5, 0) + SUMPRODUCT(--(I$6:I40&lt;&gt;""), I$6:I40, (A$6:A40-A$5:A39)))/1000)/H$3, ""))</f>
        <v>#N/A</v>
      </c>
      <c r="M40" s="1">
        <f t="shared" si="6"/>
        <v>720</v>
      </c>
      <c r="N40" s="1">
        <f t="shared" si="7"/>
        <v>0</v>
      </c>
      <c r="U40" s="1" t="e">
        <f t="shared" si="8"/>
        <v>#N/A</v>
      </c>
      <c r="V40" s="1" t="e">
        <f t="shared" si="1"/>
        <v>#N/A</v>
      </c>
      <c r="W40" s="1" t="e">
        <f t="shared" si="9"/>
        <v>#N/A</v>
      </c>
      <c r="X40" s="8" t="e" cm="1">
        <f t="array" ref="X40">IF(U40="","", IFERROR(((IF(U$5&lt;&gt;"", U$5*M$5, 0) + SUMPRODUCT(--(U$6:U40&lt;&gt;""), U$6:U40, (M$6:M40-M$5:M39)))/1000)/T$3, ""))</f>
        <v>#N/A</v>
      </c>
    </row>
    <row r="41" spans="1:24" x14ac:dyDescent="0.25">
      <c r="A41" s="1">
        <f t="shared" si="2"/>
        <v>740</v>
      </c>
      <c r="B41" s="1">
        <f t="shared" si="3"/>
        <v>0</v>
      </c>
      <c r="I41" s="1" t="e">
        <f t="shared" si="4"/>
        <v>#N/A</v>
      </c>
      <c r="J41" s="1" t="e">
        <f t="shared" si="0"/>
        <v>#N/A</v>
      </c>
      <c r="K41" s="1" t="e">
        <f t="shared" si="5"/>
        <v>#N/A</v>
      </c>
      <c r="L41" s="8" t="e" cm="1">
        <f t="array" ref="L41">IF(I41="","", IFERROR(((IF(I$5&lt;&gt;"", I$5*A$5, 0) + SUMPRODUCT(--(I$6:I41&lt;&gt;""), I$6:I41, (A$6:A41-A$5:A40)))/1000)/H$3, ""))</f>
        <v>#N/A</v>
      </c>
      <c r="M41" s="1">
        <f t="shared" si="6"/>
        <v>740</v>
      </c>
      <c r="N41" s="1">
        <f t="shared" si="7"/>
        <v>0</v>
      </c>
      <c r="U41" s="1" t="e">
        <f t="shared" si="8"/>
        <v>#N/A</v>
      </c>
      <c r="V41" s="1" t="e">
        <f t="shared" si="1"/>
        <v>#N/A</v>
      </c>
      <c r="W41" s="1" t="e">
        <f t="shared" si="9"/>
        <v>#N/A</v>
      </c>
      <c r="X41" s="8" t="e" cm="1">
        <f t="array" ref="X41">IF(U41="","", IFERROR(((IF(U$5&lt;&gt;"", U$5*M$5, 0) + SUMPRODUCT(--(U$6:U41&lt;&gt;""), U$6:U41, (M$6:M41-M$5:M40)))/1000)/T$3, ""))</f>
        <v>#N/A</v>
      </c>
    </row>
    <row r="42" spans="1:24" x14ac:dyDescent="0.25">
      <c r="A42" s="1">
        <f t="shared" si="2"/>
        <v>760</v>
      </c>
      <c r="B42" s="1">
        <f t="shared" si="3"/>
        <v>0</v>
      </c>
      <c r="I42" s="1" t="e">
        <f t="shared" si="4"/>
        <v>#N/A</v>
      </c>
      <c r="J42" s="1" t="e">
        <f t="shared" si="0"/>
        <v>#N/A</v>
      </c>
      <c r="K42" s="1" t="e">
        <f t="shared" si="5"/>
        <v>#N/A</v>
      </c>
      <c r="L42" s="8" t="e" cm="1">
        <f t="array" ref="L42">IF(I42="","", IFERROR(((IF(I$5&lt;&gt;"", I$5*A$5, 0) + SUMPRODUCT(--(I$6:I42&lt;&gt;""), I$6:I42, (A$6:A42-A$5:A41)))/1000)/H$3, ""))</f>
        <v>#N/A</v>
      </c>
      <c r="M42" s="1">
        <f t="shared" si="6"/>
        <v>760</v>
      </c>
      <c r="N42" s="1">
        <f t="shared" si="7"/>
        <v>0</v>
      </c>
      <c r="U42" s="1" t="e">
        <f t="shared" si="8"/>
        <v>#N/A</v>
      </c>
      <c r="V42" s="1" t="e">
        <f t="shared" si="1"/>
        <v>#N/A</v>
      </c>
      <c r="W42" s="1" t="e">
        <f t="shared" si="9"/>
        <v>#N/A</v>
      </c>
      <c r="X42" s="8" t="e" cm="1">
        <f t="array" ref="X42">IF(U42="","", IFERROR(((IF(U$5&lt;&gt;"", U$5*M$5, 0) + SUMPRODUCT(--(U$6:U42&lt;&gt;""), U$6:U42, (M$6:M42-M$5:M41)))/1000)/T$3, ""))</f>
        <v>#N/A</v>
      </c>
    </row>
    <row r="43" spans="1:24" x14ac:dyDescent="0.25">
      <c r="A43" s="1">
        <f t="shared" si="2"/>
        <v>780</v>
      </c>
      <c r="B43" s="1">
        <f t="shared" si="3"/>
        <v>0</v>
      </c>
      <c r="I43" s="1" t="e">
        <f t="shared" si="4"/>
        <v>#N/A</v>
      </c>
      <c r="J43" s="1" t="e">
        <f t="shared" si="0"/>
        <v>#N/A</v>
      </c>
      <c r="K43" s="1" t="e">
        <f t="shared" si="5"/>
        <v>#N/A</v>
      </c>
      <c r="L43" s="8" t="e" cm="1">
        <f t="array" ref="L43">IF(I43="","", IFERROR(((IF(I$5&lt;&gt;"", I$5*A$5, 0) + SUMPRODUCT(--(I$6:I43&lt;&gt;""), I$6:I43, (A$6:A43-A$5:A42)))/1000)/H$3, ""))</f>
        <v>#N/A</v>
      </c>
      <c r="M43" s="1">
        <f t="shared" si="6"/>
        <v>780</v>
      </c>
      <c r="N43" s="1">
        <f t="shared" si="7"/>
        <v>0</v>
      </c>
      <c r="U43" s="1" t="e">
        <f t="shared" si="8"/>
        <v>#N/A</v>
      </c>
      <c r="V43" s="1" t="e">
        <f t="shared" si="1"/>
        <v>#N/A</v>
      </c>
      <c r="W43" s="1" t="e">
        <f t="shared" si="9"/>
        <v>#N/A</v>
      </c>
      <c r="X43" s="8" t="e" cm="1">
        <f t="array" ref="X43">IF(U43="","", IFERROR(((IF(U$5&lt;&gt;"", U$5*M$5, 0) + SUMPRODUCT(--(U$6:U43&lt;&gt;""), U$6:U43, (M$6:M43-M$5:M42)))/1000)/T$3, ""))</f>
        <v>#N/A</v>
      </c>
    </row>
    <row r="44" spans="1:24" x14ac:dyDescent="0.25">
      <c r="A44" s="1">
        <f t="shared" si="2"/>
        <v>800</v>
      </c>
      <c r="B44" s="1">
        <f t="shared" si="3"/>
        <v>0</v>
      </c>
      <c r="I44" s="1" t="e">
        <f t="shared" si="4"/>
        <v>#N/A</v>
      </c>
      <c r="J44" s="1" t="e">
        <f t="shared" si="0"/>
        <v>#N/A</v>
      </c>
      <c r="K44" s="1" t="e">
        <f t="shared" si="5"/>
        <v>#N/A</v>
      </c>
      <c r="L44" s="8" t="e" cm="1">
        <f t="array" ref="L44">IF(I44="","", IFERROR(((IF(I$5&lt;&gt;"", I$5*A$5, 0) + SUMPRODUCT(--(I$6:I44&lt;&gt;""), I$6:I44, (A$6:A44-A$5:A43)))/1000)/H$3, ""))</f>
        <v>#N/A</v>
      </c>
      <c r="M44" s="1">
        <f t="shared" si="6"/>
        <v>800</v>
      </c>
      <c r="N44" s="1">
        <f t="shared" si="7"/>
        <v>0</v>
      </c>
      <c r="U44" s="1" t="e">
        <f t="shared" si="8"/>
        <v>#N/A</v>
      </c>
      <c r="V44" s="1" t="e">
        <f t="shared" si="1"/>
        <v>#N/A</v>
      </c>
      <c r="W44" s="1" t="e">
        <f t="shared" si="9"/>
        <v>#N/A</v>
      </c>
      <c r="X44" s="8" t="e" cm="1">
        <f t="array" ref="X44">IF(U44="","", IFERROR(((IF(U$5&lt;&gt;"", U$5*M$5, 0) + SUMPRODUCT(--(U$6:U44&lt;&gt;""), U$6:U44, (M$6:M44-M$5:M43)))/1000)/T$3, ""))</f>
        <v>#N/A</v>
      </c>
    </row>
    <row r="45" spans="1:24" x14ac:dyDescent="0.25">
      <c r="A45" s="1">
        <f t="shared" si="2"/>
        <v>820</v>
      </c>
      <c r="B45" s="1">
        <f t="shared" si="3"/>
        <v>0</v>
      </c>
      <c r="I45" s="1" t="e">
        <f t="shared" si="4"/>
        <v>#N/A</v>
      </c>
      <c r="J45" s="1" t="e">
        <f t="shared" si="0"/>
        <v>#N/A</v>
      </c>
      <c r="K45" s="1" t="e">
        <f t="shared" si="5"/>
        <v>#N/A</v>
      </c>
      <c r="L45" s="8" t="e" cm="1">
        <f t="array" ref="L45">IF(I45="","", IFERROR(((IF(I$5&lt;&gt;"", I$5*A$5, 0) + SUMPRODUCT(--(I$6:I45&lt;&gt;""), I$6:I45, (A$6:A45-A$5:A44)))/1000)/H$3, ""))</f>
        <v>#N/A</v>
      </c>
      <c r="M45" s="1">
        <f t="shared" si="6"/>
        <v>820</v>
      </c>
      <c r="N45" s="1">
        <f t="shared" si="7"/>
        <v>0</v>
      </c>
      <c r="U45" s="1" t="e">
        <f t="shared" si="8"/>
        <v>#N/A</v>
      </c>
      <c r="V45" s="1" t="e">
        <f t="shared" si="1"/>
        <v>#N/A</v>
      </c>
      <c r="W45" s="1" t="e">
        <f t="shared" si="9"/>
        <v>#N/A</v>
      </c>
      <c r="X45" s="8" t="e" cm="1">
        <f t="array" ref="X45">IF(U45="","", IFERROR(((IF(U$5&lt;&gt;"", U$5*M$5, 0) + SUMPRODUCT(--(U$6:U45&lt;&gt;""), U$6:U45, (M$6:M45-M$5:M44)))/1000)/T$3, ""))</f>
        <v>#N/A</v>
      </c>
    </row>
    <row r="46" spans="1:24" x14ac:dyDescent="0.25">
      <c r="A46" s="1">
        <f t="shared" si="2"/>
        <v>840</v>
      </c>
      <c r="B46" s="1">
        <f t="shared" si="3"/>
        <v>0</v>
      </c>
      <c r="I46" s="1" t="e">
        <f t="shared" si="4"/>
        <v>#N/A</v>
      </c>
      <c r="J46" s="1" t="e">
        <f t="shared" si="0"/>
        <v>#N/A</v>
      </c>
      <c r="K46" s="1" t="e">
        <f t="shared" si="5"/>
        <v>#N/A</v>
      </c>
      <c r="L46" s="8" t="e" cm="1">
        <f t="array" ref="L46">IF(I46="","", IFERROR(((IF(I$5&lt;&gt;"", I$5*A$5, 0) + SUMPRODUCT(--(I$6:I46&lt;&gt;""), I$6:I46, (A$6:A46-A$5:A45)))/1000)/H$3, ""))</f>
        <v>#N/A</v>
      </c>
      <c r="M46" s="1">
        <f t="shared" si="6"/>
        <v>840</v>
      </c>
      <c r="N46" s="1">
        <f t="shared" si="7"/>
        <v>0</v>
      </c>
      <c r="U46" s="1" t="e">
        <f t="shared" si="8"/>
        <v>#N/A</v>
      </c>
      <c r="V46" s="1" t="e">
        <f t="shared" si="1"/>
        <v>#N/A</v>
      </c>
      <c r="W46" s="1" t="e">
        <f t="shared" si="9"/>
        <v>#N/A</v>
      </c>
      <c r="X46" s="8" t="e" cm="1">
        <f t="array" ref="X46">IF(U46="","", IFERROR(((IF(U$5&lt;&gt;"", U$5*M$5, 0) + SUMPRODUCT(--(U$6:U46&lt;&gt;""), U$6:U46, (M$6:M46-M$5:M45)))/1000)/T$3, ""))</f>
        <v>#N/A</v>
      </c>
    </row>
    <row r="47" spans="1:24" x14ac:dyDescent="0.25">
      <c r="A47" s="1">
        <f t="shared" si="2"/>
        <v>860</v>
      </c>
      <c r="B47" s="1">
        <f t="shared" si="3"/>
        <v>0</v>
      </c>
      <c r="I47" s="1" t="e">
        <f t="shared" si="4"/>
        <v>#N/A</v>
      </c>
      <c r="J47" s="1" t="e">
        <f t="shared" si="0"/>
        <v>#N/A</v>
      </c>
      <c r="K47" s="1" t="e">
        <f t="shared" si="5"/>
        <v>#N/A</v>
      </c>
      <c r="L47" s="8" t="e" cm="1">
        <f t="array" ref="L47">IF(I47="","", IFERROR(((IF(I$5&lt;&gt;"", I$5*A$5, 0) + SUMPRODUCT(--(I$6:I47&lt;&gt;""), I$6:I47, (A$6:A47-A$5:A46)))/1000)/H$3, ""))</f>
        <v>#N/A</v>
      </c>
      <c r="M47" s="1">
        <f t="shared" si="6"/>
        <v>860</v>
      </c>
      <c r="N47" s="1">
        <f t="shared" si="7"/>
        <v>0</v>
      </c>
      <c r="U47" s="1" t="e">
        <f t="shared" si="8"/>
        <v>#N/A</v>
      </c>
      <c r="V47" s="1" t="e">
        <f t="shared" si="1"/>
        <v>#N/A</v>
      </c>
      <c r="W47" s="1" t="e">
        <f t="shared" si="9"/>
        <v>#N/A</v>
      </c>
      <c r="X47" s="8" t="e" cm="1">
        <f t="array" ref="X47">IF(U47="","", IFERROR(((IF(U$5&lt;&gt;"", U$5*M$5, 0) + SUMPRODUCT(--(U$6:U47&lt;&gt;""), U$6:U47, (M$6:M47-M$5:M46)))/1000)/T$3, ""))</f>
        <v>#N/A</v>
      </c>
    </row>
    <row r="48" spans="1:24" x14ac:dyDescent="0.25">
      <c r="A48" s="1">
        <f t="shared" si="2"/>
        <v>880</v>
      </c>
      <c r="B48" s="1">
        <f t="shared" si="3"/>
        <v>0</v>
      </c>
      <c r="I48" s="1" t="e">
        <f t="shared" si="4"/>
        <v>#N/A</v>
      </c>
      <c r="J48" s="1" t="e">
        <f t="shared" si="0"/>
        <v>#N/A</v>
      </c>
      <c r="K48" s="1" t="e">
        <f t="shared" si="5"/>
        <v>#N/A</v>
      </c>
      <c r="L48" s="8" t="e" cm="1">
        <f t="array" ref="L48">IF(I48="","", IFERROR(((IF(I$5&lt;&gt;"", I$5*A$5, 0) + SUMPRODUCT(--(I$6:I48&lt;&gt;""), I$6:I48, (A$6:A48-A$5:A47)))/1000)/H$3, ""))</f>
        <v>#N/A</v>
      </c>
      <c r="M48" s="1">
        <f t="shared" si="6"/>
        <v>880</v>
      </c>
      <c r="N48" s="1">
        <f t="shared" si="7"/>
        <v>0</v>
      </c>
      <c r="U48" s="1" t="e">
        <f t="shared" si="8"/>
        <v>#N/A</v>
      </c>
      <c r="V48" s="1" t="e">
        <f t="shared" si="1"/>
        <v>#N/A</v>
      </c>
      <c r="W48" s="1" t="e">
        <f t="shared" si="9"/>
        <v>#N/A</v>
      </c>
      <c r="X48" s="8" t="e" cm="1">
        <f t="array" ref="X48">IF(U48="","", IFERROR(((IF(U$5&lt;&gt;"", U$5*M$5, 0) + SUMPRODUCT(--(U$6:U48&lt;&gt;""), U$6:U48, (M$6:M48-M$5:M47)))/1000)/T$3, ""))</f>
        <v>#N/A</v>
      </c>
    </row>
    <row r="49" spans="1:24" x14ac:dyDescent="0.25">
      <c r="A49" s="1">
        <f t="shared" si="2"/>
        <v>900</v>
      </c>
      <c r="B49" s="1">
        <f t="shared" si="3"/>
        <v>0</v>
      </c>
      <c r="I49" s="1" t="e">
        <f t="shared" si="4"/>
        <v>#N/A</v>
      </c>
      <c r="J49" s="1" t="e">
        <f t="shared" si="0"/>
        <v>#N/A</v>
      </c>
      <c r="K49" s="1" t="e">
        <f t="shared" si="5"/>
        <v>#N/A</v>
      </c>
      <c r="L49" s="8" t="e" cm="1">
        <f t="array" ref="L49">IF(I49="","", IFERROR(((IF(I$5&lt;&gt;"", I$5*A$5, 0) + SUMPRODUCT(--(I$6:I49&lt;&gt;""), I$6:I49, (A$6:A49-A$5:A48)))/1000)/H$3, ""))</f>
        <v>#N/A</v>
      </c>
      <c r="M49" s="1">
        <f t="shared" si="6"/>
        <v>900</v>
      </c>
      <c r="N49" s="1">
        <f t="shared" si="7"/>
        <v>0</v>
      </c>
      <c r="U49" s="1" t="e">
        <f t="shared" si="8"/>
        <v>#N/A</v>
      </c>
      <c r="V49" s="1" t="e">
        <f t="shared" si="1"/>
        <v>#N/A</v>
      </c>
      <c r="W49" s="1" t="e">
        <f t="shared" si="9"/>
        <v>#N/A</v>
      </c>
      <c r="X49" s="8" t="e" cm="1">
        <f t="array" ref="X49">IF(U49="","", IFERROR(((IF(U$5&lt;&gt;"", U$5*M$5, 0) + SUMPRODUCT(--(U$6:U49&lt;&gt;""), U$6:U49, (M$6:M49-M$5:M48)))/1000)/T$3, ""))</f>
        <v>#N/A</v>
      </c>
    </row>
    <row r="50" spans="1:24" x14ac:dyDescent="0.25">
      <c r="A50" s="1">
        <f t="shared" si="2"/>
        <v>920</v>
      </c>
      <c r="B50" s="1">
        <f t="shared" si="3"/>
        <v>0</v>
      </c>
      <c r="I50" s="1" t="e">
        <f t="shared" si="4"/>
        <v>#N/A</v>
      </c>
      <c r="J50" s="1" t="e">
        <f t="shared" si="0"/>
        <v>#N/A</v>
      </c>
      <c r="K50" s="1" t="e">
        <f t="shared" si="5"/>
        <v>#N/A</v>
      </c>
      <c r="L50" s="8" t="e" cm="1">
        <f t="array" ref="L50">IF(I50="","", IFERROR(((IF(I$5&lt;&gt;"", I$5*A$5, 0) + SUMPRODUCT(--(I$6:I50&lt;&gt;""), I$6:I50, (A$6:A50-A$5:A49)))/1000)/H$3, ""))</f>
        <v>#N/A</v>
      </c>
      <c r="M50" s="1">
        <f t="shared" si="6"/>
        <v>920</v>
      </c>
      <c r="N50" s="1">
        <f t="shared" si="7"/>
        <v>0</v>
      </c>
      <c r="U50" s="1" t="e">
        <f t="shared" si="8"/>
        <v>#N/A</v>
      </c>
      <c r="V50" s="1" t="e">
        <f t="shared" si="1"/>
        <v>#N/A</v>
      </c>
      <c r="W50" s="1" t="e">
        <f t="shared" si="9"/>
        <v>#N/A</v>
      </c>
      <c r="X50" s="8" t="e" cm="1">
        <f t="array" ref="X50">IF(U50="","", IFERROR(((IF(U$5&lt;&gt;"", U$5*M$5, 0) + SUMPRODUCT(--(U$6:U50&lt;&gt;""), U$6:U50, (M$6:M50-M$5:M49)))/1000)/T$3, ""))</f>
        <v>#N/A</v>
      </c>
    </row>
    <row r="51" spans="1:24" x14ac:dyDescent="0.25">
      <c r="A51" s="1">
        <f t="shared" si="2"/>
        <v>940</v>
      </c>
      <c r="B51" s="1">
        <f t="shared" si="3"/>
        <v>0</v>
      </c>
      <c r="I51" s="1" t="e">
        <f t="shared" si="4"/>
        <v>#N/A</v>
      </c>
      <c r="J51" s="1" t="e">
        <f t="shared" si="0"/>
        <v>#N/A</v>
      </c>
      <c r="K51" s="1" t="e">
        <f t="shared" si="5"/>
        <v>#N/A</v>
      </c>
      <c r="L51" s="8" t="e" cm="1">
        <f t="array" ref="L51">IF(I51="","", IFERROR(((IF(I$5&lt;&gt;"", I$5*A$5, 0) + SUMPRODUCT(--(I$6:I51&lt;&gt;""), I$6:I51, (A$6:A51-A$5:A50)))/1000)/H$3, ""))</f>
        <v>#N/A</v>
      </c>
      <c r="M51" s="1">
        <f t="shared" si="6"/>
        <v>940</v>
      </c>
      <c r="N51" s="1">
        <f t="shared" si="7"/>
        <v>0</v>
      </c>
      <c r="U51" s="1" t="e">
        <f t="shared" si="8"/>
        <v>#N/A</v>
      </c>
      <c r="V51" s="1" t="e">
        <f t="shared" si="1"/>
        <v>#N/A</v>
      </c>
      <c r="W51" s="1" t="e">
        <f t="shared" si="9"/>
        <v>#N/A</v>
      </c>
      <c r="X51" s="8" t="e" cm="1">
        <f t="array" ref="X51">IF(U51="","", IFERROR(((IF(U$5&lt;&gt;"", U$5*M$5, 0) + SUMPRODUCT(--(U$6:U51&lt;&gt;""), U$6:U51, (M$6:M51-M$5:M50)))/1000)/T$3, ""))</f>
        <v>#N/A</v>
      </c>
    </row>
    <row r="52" spans="1:24" x14ac:dyDescent="0.25">
      <c r="A52" s="1">
        <f t="shared" si="2"/>
        <v>960</v>
      </c>
      <c r="B52" s="1">
        <f t="shared" si="3"/>
        <v>0</v>
      </c>
      <c r="I52" s="1" t="e">
        <f t="shared" si="4"/>
        <v>#N/A</v>
      </c>
      <c r="J52" s="1" t="e">
        <f t="shared" si="0"/>
        <v>#N/A</v>
      </c>
      <c r="K52" s="1" t="e">
        <f t="shared" si="5"/>
        <v>#N/A</v>
      </c>
      <c r="L52" s="8" t="e" cm="1">
        <f t="array" ref="L52">IF(I52="","", IFERROR(((IF(I$5&lt;&gt;"", I$5*A$5, 0) + SUMPRODUCT(--(I$6:I52&lt;&gt;""), I$6:I52, (A$6:A52-A$5:A51)))/1000)/H$3, ""))</f>
        <v>#N/A</v>
      </c>
      <c r="M52" s="1">
        <f t="shared" si="6"/>
        <v>960</v>
      </c>
      <c r="N52" s="1">
        <f t="shared" si="7"/>
        <v>0</v>
      </c>
      <c r="U52" s="1" t="e">
        <f t="shared" si="8"/>
        <v>#N/A</v>
      </c>
      <c r="V52" s="1" t="e">
        <f t="shared" si="1"/>
        <v>#N/A</v>
      </c>
      <c r="W52" s="1" t="e">
        <f t="shared" si="9"/>
        <v>#N/A</v>
      </c>
      <c r="X52" s="8" t="e" cm="1">
        <f t="array" ref="X52">IF(U52="","", IFERROR(((IF(U$5&lt;&gt;"", U$5*M$5, 0) + SUMPRODUCT(--(U$6:U52&lt;&gt;""), U$6:U52, (M$6:M52-M$5:M51)))/1000)/T$3, ""))</f>
        <v>#N/A</v>
      </c>
    </row>
    <row r="53" spans="1:24" x14ac:dyDescent="0.25">
      <c r="A53" s="1">
        <f t="shared" si="2"/>
        <v>980</v>
      </c>
      <c r="B53" s="1">
        <f t="shared" si="3"/>
        <v>0</v>
      </c>
      <c r="I53" s="1" t="e">
        <f t="shared" si="4"/>
        <v>#N/A</v>
      </c>
      <c r="J53" s="1" t="e">
        <f t="shared" si="0"/>
        <v>#N/A</v>
      </c>
      <c r="K53" s="1" t="e">
        <f t="shared" si="5"/>
        <v>#N/A</v>
      </c>
      <c r="L53" s="8" t="e" cm="1">
        <f t="array" ref="L53">IF(I53="","", IFERROR(((IF(I$5&lt;&gt;"", I$5*A$5, 0) + SUMPRODUCT(--(I$6:I53&lt;&gt;""), I$6:I53, (A$6:A53-A$5:A52)))/1000)/H$3, ""))</f>
        <v>#N/A</v>
      </c>
      <c r="M53" s="1">
        <f t="shared" si="6"/>
        <v>980</v>
      </c>
      <c r="N53" s="1">
        <f t="shared" si="7"/>
        <v>0</v>
      </c>
      <c r="U53" s="1" t="e">
        <f t="shared" si="8"/>
        <v>#N/A</v>
      </c>
      <c r="V53" s="1" t="e">
        <f t="shared" si="1"/>
        <v>#N/A</v>
      </c>
      <c r="W53" s="1" t="e">
        <f t="shared" si="9"/>
        <v>#N/A</v>
      </c>
      <c r="X53" s="8" t="e" cm="1">
        <f t="array" ref="X53">IF(U53="","", IFERROR(((IF(U$5&lt;&gt;"", U$5*M$5, 0) + SUMPRODUCT(--(U$6:U53&lt;&gt;""), U$6:U53, (M$6:M53-M$5:M52)))/1000)/T$3, ""))</f>
        <v>#N/A</v>
      </c>
    </row>
    <row r="54" spans="1:24" x14ac:dyDescent="0.25">
      <c r="A54" s="1">
        <f t="shared" si="2"/>
        <v>1000</v>
      </c>
      <c r="B54" s="1">
        <f t="shared" si="3"/>
        <v>0</v>
      </c>
      <c r="I54" s="1" t="e">
        <f t="shared" si="4"/>
        <v>#N/A</v>
      </c>
      <c r="J54" s="1" t="e">
        <f t="shared" si="0"/>
        <v>#N/A</v>
      </c>
      <c r="K54" s="1" t="e">
        <f t="shared" si="5"/>
        <v>#N/A</v>
      </c>
      <c r="L54" s="8" t="e" cm="1">
        <f t="array" ref="L54">IF(I54="","", IFERROR(((IF(I$5&lt;&gt;"", I$5*A$5, 0) + SUMPRODUCT(--(I$6:I54&lt;&gt;""), I$6:I54, (A$6:A54-A$5:A53)))/1000)/H$3, ""))</f>
        <v>#N/A</v>
      </c>
      <c r="M54" s="1">
        <f t="shared" si="6"/>
        <v>1000</v>
      </c>
      <c r="N54" s="1">
        <f t="shared" si="7"/>
        <v>0</v>
      </c>
      <c r="U54" s="1" t="e">
        <f t="shared" si="8"/>
        <v>#N/A</v>
      </c>
      <c r="V54" s="1" t="e">
        <f t="shared" si="1"/>
        <v>#N/A</v>
      </c>
      <c r="W54" s="1" t="e">
        <f t="shared" si="9"/>
        <v>#N/A</v>
      </c>
      <c r="X54" s="8" t="e" cm="1">
        <f t="array" ref="X54">IF(U54="","", IFERROR(((IF(U$5&lt;&gt;"", U$5*M$5, 0) + SUMPRODUCT(--(U$6:U54&lt;&gt;""), U$6:U54, (M$6:M54-M$5:M53)))/1000)/T$3, ""))</f>
        <v>#N/A</v>
      </c>
    </row>
    <row r="55" spans="1:24" x14ac:dyDescent="0.25">
      <c r="A55" s="1">
        <f t="shared" si="2"/>
        <v>1020</v>
      </c>
      <c r="B55" s="1">
        <f t="shared" si="3"/>
        <v>0</v>
      </c>
      <c r="I55" s="1" t="e">
        <f t="shared" si="4"/>
        <v>#N/A</v>
      </c>
      <c r="J55" s="1" t="e">
        <f t="shared" si="0"/>
        <v>#N/A</v>
      </c>
      <c r="K55" s="1" t="e">
        <f t="shared" si="5"/>
        <v>#N/A</v>
      </c>
      <c r="L55" s="8" t="e" cm="1">
        <f t="array" ref="L55">IF(I55="","", IFERROR(((IF(I$5&lt;&gt;"", I$5*A$5, 0) + SUMPRODUCT(--(I$6:I55&lt;&gt;""), I$6:I55, (A$6:A55-A$5:A54)))/1000)/H$3, ""))</f>
        <v>#N/A</v>
      </c>
      <c r="M55" s="1">
        <f t="shared" si="6"/>
        <v>1020</v>
      </c>
      <c r="N55" s="1">
        <f t="shared" si="7"/>
        <v>0</v>
      </c>
      <c r="U55" s="1" t="e">
        <f t="shared" si="8"/>
        <v>#N/A</v>
      </c>
      <c r="V55" s="1" t="e">
        <f t="shared" si="1"/>
        <v>#N/A</v>
      </c>
      <c r="W55" s="1" t="e">
        <f t="shared" si="9"/>
        <v>#N/A</v>
      </c>
      <c r="X55" s="8" t="e" cm="1">
        <f t="array" ref="X55">IF(U55="","", IFERROR(((IF(U$5&lt;&gt;"", U$5*M$5, 0) + SUMPRODUCT(--(U$6:U55&lt;&gt;""), U$6:U55, (M$6:M55-M$5:M54)))/1000)/T$3, ""))</f>
        <v>#N/A</v>
      </c>
    </row>
    <row r="56" spans="1:24" x14ac:dyDescent="0.25">
      <c r="A56" s="1">
        <f t="shared" si="2"/>
        <v>1040</v>
      </c>
      <c r="B56" s="1">
        <f t="shared" si="3"/>
        <v>0</v>
      </c>
      <c r="I56" s="1" t="e">
        <f t="shared" si="4"/>
        <v>#N/A</v>
      </c>
      <c r="J56" s="1" t="e">
        <f t="shared" si="0"/>
        <v>#N/A</v>
      </c>
      <c r="K56" s="1" t="e">
        <f t="shared" si="5"/>
        <v>#N/A</v>
      </c>
      <c r="L56" s="8" t="e" cm="1">
        <f t="array" ref="L56">IF(I56="","", IFERROR(((IF(I$5&lt;&gt;"", I$5*A$5, 0) + SUMPRODUCT(--(I$6:I56&lt;&gt;""), I$6:I56, (A$6:A56-A$5:A55)))/1000)/H$3, ""))</f>
        <v>#N/A</v>
      </c>
      <c r="M56" s="1">
        <f t="shared" si="6"/>
        <v>1040</v>
      </c>
      <c r="N56" s="1">
        <f t="shared" si="7"/>
        <v>0</v>
      </c>
      <c r="U56" s="1" t="e">
        <f t="shared" si="8"/>
        <v>#N/A</v>
      </c>
      <c r="V56" s="1" t="e">
        <f t="shared" si="1"/>
        <v>#N/A</v>
      </c>
      <c r="W56" s="1" t="e">
        <f t="shared" si="9"/>
        <v>#N/A</v>
      </c>
      <c r="X56" s="8" t="e" cm="1">
        <f t="array" ref="X56">IF(U56="","", IFERROR(((IF(U$5&lt;&gt;"", U$5*M$5, 0) + SUMPRODUCT(--(U$6:U56&lt;&gt;""), U$6:U56, (M$6:M56-M$5:M55)))/1000)/T$3, ""))</f>
        <v>#N/A</v>
      </c>
    </row>
    <row r="57" spans="1:24" x14ac:dyDescent="0.25">
      <c r="A57" s="1">
        <f t="shared" si="2"/>
        <v>1060</v>
      </c>
      <c r="B57" s="1">
        <f t="shared" si="3"/>
        <v>0</v>
      </c>
      <c r="I57" s="1" t="e">
        <f t="shared" si="4"/>
        <v>#N/A</v>
      </c>
      <c r="J57" s="1" t="e">
        <f t="shared" si="0"/>
        <v>#N/A</v>
      </c>
      <c r="K57" s="1" t="e">
        <f t="shared" si="5"/>
        <v>#N/A</v>
      </c>
      <c r="L57" s="8" t="e" cm="1">
        <f t="array" ref="L57">IF(I57="","", IFERROR(((IF(I$5&lt;&gt;"", I$5*A$5, 0) + SUMPRODUCT(--(I$6:I57&lt;&gt;""), I$6:I57, (A$6:A57-A$5:A56)))/1000)/H$3, ""))</f>
        <v>#N/A</v>
      </c>
      <c r="M57" s="1">
        <f t="shared" si="6"/>
        <v>1060</v>
      </c>
      <c r="N57" s="1">
        <f t="shared" si="7"/>
        <v>0</v>
      </c>
      <c r="U57" s="1" t="e">
        <f t="shared" si="8"/>
        <v>#N/A</v>
      </c>
      <c r="V57" s="1" t="e">
        <f t="shared" si="1"/>
        <v>#N/A</v>
      </c>
      <c r="W57" s="1" t="e">
        <f t="shared" si="9"/>
        <v>#N/A</v>
      </c>
      <c r="X57" s="8" t="e" cm="1">
        <f t="array" ref="X57">IF(U57="","", IFERROR(((IF(U$5&lt;&gt;"", U$5*M$5, 0) + SUMPRODUCT(--(U$6:U57&lt;&gt;""), U$6:U57, (M$6:M57-M$5:M56)))/1000)/T$3, ""))</f>
        <v>#N/A</v>
      </c>
    </row>
    <row r="58" spans="1:24" x14ac:dyDescent="0.25">
      <c r="A58" s="1">
        <f t="shared" si="2"/>
        <v>1080</v>
      </c>
      <c r="B58" s="1">
        <f t="shared" si="3"/>
        <v>0</v>
      </c>
      <c r="I58" s="1" t="e">
        <f t="shared" si="4"/>
        <v>#N/A</v>
      </c>
      <c r="J58" s="1" t="e">
        <f t="shared" si="0"/>
        <v>#N/A</v>
      </c>
      <c r="K58" s="1" t="e">
        <f t="shared" si="5"/>
        <v>#N/A</v>
      </c>
      <c r="L58" s="8" t="e" cm="1">
        <f t="array" ref="L58">IF(I58="","", IFERROR(((IF(I$5&lt;&gt;"", I$5*A$5, 0) + SUMPRODUCT(--(I$6:I58&lt;&gt;""), I$6:I58, (A$6:A58-A$5:A57)))/1000)/H$3, ""))</f>
        <v>#N/A</v>
      </c>
      <c r="M58" s="1">
        <f t="shared" si="6"/>
        <v>1080</v>
      </c>
      <c r="N58" s="1">
        <f t="shared" si="7"/>
        <v>0</v>
      </c>
      <c r="U58" s="1" t="e">
        <f t="shared" si="8"/>
        <v>#N/A</v>
      </c>
      <c r="V58" s="1" t="e">
        <f t="shared" si="1"/>
        <v>#N/A</v>
      </c>
      <c r="W58" s="1" t="e">
        <f t="shared" si="9"/>
        <v>#N/A</v>
      </c>
      <c r="X58" s="8" t="e" cm="1">
        <f t="array" ref="X58">IF(U58="","", IFERROR(((IF(U$5&lt;&gt;"", U$5*M$5, 0) + SUMPRODUCT(--(U$6:U58&lt;&gt;""), U$6:U58, (M$6:M58-M$5:M57)))/1000)/T$3, ""))</f>
        <v>#N/A</v>
      </c>
    </row>
    <row r="59" spans="1:24" x14ac:dyDescent="0.25">
      <c r="A59" s="1">
        <f t="shared" si="2"/>
        <v>1100</v>
      </c>
      <c r="B59" s="1">
        <f t="shared" si="3"/>
        <v>0</v>
      </c>
      <c r="I59" s="1" t="e">
        <f t="shared" si="4"/>
        <v>#N/A</v>
      </c>
      <c r="J59" s="1" t="e">
        <f t="shared" si="0"/>
        <v>#N/A</v>
      </c>
      <c r="K59" s="1" t="e">
        <f t="shared" si="5"/>
        <v>#N/A</v>
      </c>
      <c r="L59" s="8" t="e" cm="1">
        <f t="array" ref="L59">IF(I59="","", IFERROR(((IF(I$5&lt;&gt;"", I$5*A$5, 0) + SUMPRODUCT(--(I$6:I59&lt;&gt;""), I$6:I59, (A$6:A59-A$5:A58)))/1000)/H$3, ""))</f>
        <v>#N/A</v>
      </c>
      <c r="M59" s="1">
        <f t="shared" si="6"/>
        <v>1100</v>
      </c>
      <c r="N59" s="1">
        <f t="shared" si="7"/>
        <v>0</v>
      </c>
      <c r="U59" s="1" t="e">
        <f t="shared" si="8"/>
        <v>#N/A</v>
      </c>
      <c r="V59" s="1" t="e">
        <f t="shared" si="1"/>
        <v>#N/A</v>
      </c>
      <c r="W59" s="1" t="e">
        <f t="shared" si="9"/>
        <v>#N/A</v>
      </c>
      <c r="X59" s="8" t="e" cm="1">
        <f t="array" ref="X59">IF(U59="","", IFERROR(((IF(U$5&lt;&gt;"", U$5*M$5, 0) + SUMPRODUCT(--(U$6:U59&lt;&gt;""), U$6:U59, (M$6:M59-M$5:M58)))/1000)/T$3, ""))</f>
        <v>#N/A</v>
      </c>
    </row>
    <row r="60" spans="1:24" x14ac:dyDescent="0.25">
      <c r="A60" s="1">
        <f t="shared" si="2"/>
        <v>1120</v>
      </c>
      <c r="B60" s="1">
        <f t="shared" si="3"/>
        <v>0</v>
      </c>
      <c r="I60" s="1" t="e">
        <f t="shared" si="4"/>
        <v>#N/A</v>
      </c>
      <c r="J60" s="1" t="e">
        <f t="shared" si="0"/>
        <v>#N/A</v>
      </c>
      <c r="K60" s="1" t="e">
        <f t="shared" si="5"/>
        <v>#N/A</v>
      </c>
      <c r="L60" s="8" t="e" cm="1">
        <f t="array" ref="L60">IF(I60="","", IFERROR(((IF(I$5&lt;&gt;"", I$5*A$5, 0) + SUMPRODUCT(--(I$6:I60&lt;&gt;""), I$6:I60, (A$6:A60-A$5:A59)))/1000)/H$3, ""))</f>
        <v>#N/A</v>
      </c>
      <c r="M60" s="1">
        <f t="shared" si="6"/>
        <v>1120</v>
      </c>
      <c r="N60" s="1">
        <f t="shared" si="7"/>
        <v>0</v>
      </c>
      <c r="U60" s="1" t="e">
        <f t="shared" si="8"/>
        <v>#N/A</v>
      </c>
      <c r="V60" s="1" t="e">
        <f t="shared" si="1"/>
        <v>#N/A</v>
      </c>
      <c r="W60" s="1" t="e">
        <f t="shared" si="9"/>
        <v>#N/A</v>
      </c>
      <c r="X60" s="8" t="e" cm="1">
        <f t="array" ref="X60">IF(U60="","", IFERROR(((IF(U$5&lt;&gt;"", U$5*M$5, 0) + SUMPRODUCT(--(U$6:U60&lt;&gt;""), U$6:U60, (M$6:M60-M$5:M59)))/1000)/T$3, ""))</f>
        <v>#N/A</v>
      </c>
    </row>
    <row r="61" spans="1:24" x14ac:dyDescent="0.25">
      <c r="A61" s="1">
        <f t="shared" si="2"/>
        <v>1140</v>
      </c>
      <c r="B61" s="1">
        <f t="shared" si="3"/>
        <v>0</v>
      </c>
      <c r="I61" s="1" t="e">
        <f t="shared" si="4"/>
        <v>#N/A</v>
      </c>
      <c r="J61" s="1" t="e">
        <f t="shared" si="0"/>
        <v>#N/A</v>
      </c>
      <c r="K61" s="1" t="e">
        <f t="shared" si="5"/>
        <v>#N/A</v>
      </c>
      <c r="L61" s="8" t="e" cm="1">
        <f t="array" ref="L61">IF(I61="","", IFERROR(((IF(I$5&lt;&gt;"", I$5*A$5, 0) + SUMPRODUCT(--(I$6:I61&lt;&gt;""), I$6:I61, (A$6:A61-A$5:A60)))/1000)/H$3, ""))</f>
        <v>#N/A</v>
      </c>
      <c r="M61" s="1">
        <f t="shared" si="6"/>
        <v>1140</v>
      </c>
      <c r="N61" s="1">
        <f t="shared" si="7"/>
        <v>0</v>
      </c>
      <c r="U61" s="1" t="e">
        <f t="shared" si="8"/>
        <v>#N/A</v>
      </c>
      <c r="V61" s="1" t="e">
        <f t="shared" si="1"/>
        <v>#N/A</v>
      </c>
      <c r="W61" s="1" t="e">
        <f t="shared" si="9"/>
        <v>#N/A</v>
      </c>
      <c r="X61" s="8" t="e" cm="1">
        <f t="array" ref="X61">IF(U61="","", IFERROR(((IF(U$5&lt;&gt;"", U$5*M$5, 0) + SUMPRODUCT(--(U$6:U61&lt;&gt;""), U$6:U61, (M$6:M61-M$5:M60)))/1000)/T$3, ""))</f>
        <v>#N/A</v>
      </c>
    </row>
    <row r="62" spans="1:24" x14ac:dyDescent="0.25">
      <c r="A62" s="1">
        <f t="shared" si="2"/>
        <v>1160</v>
      </c>
      <c r="B62" s="1">
        <f t="shared" si="3"/>
        <v>0</v>
      </c>
      <c r="I62" s="1" t="e">
        <f t="shared" si="4"/>
        <v>#N/A</v>
      </c>
      <c r="J62" s="1" t="e">
        <f t="shared" si="0"/>
        <v>#N/A</v>
      </c>
      <c r="K62" s="1" t="e">
        <f t="shared" si="5"/>
        <v>#N/A</v>
      </c>
      <c r="L62" s="8" t="e" cm="1">
        <f t="array" ref="L62">IF(I62="","", IFERROR(((IF(I$5&lt;&gt;"", I$5*A$5, 0) + SUMPRODUCT(--(I$6:I62&lt;&gt;""), I$6:I62, (A$6:A62-A$5:A61)))/1000)/H$3, ""))</f>
        <v>#N/A</v>
      </c>
      <c r="M62" s="1">
        <f t="shared" si="6"/>
        <v>1160</v>
      </c>
      <c r="N62" s="1">
        <f t="shared" si="7"/>
        <v>0</v>
      </c>
      <c r="U62" s="1" t="e">
        <f t="shared" si="8"/>
        <v>#N/A</v>
      </c>
      <c r="V62" s="1" t="e">
        <f t="shared" si="1"/>
        <v>#N/A</v>
      </c>
      <c r="W62" s="1" t="e">
        <f t="shared" si="9"/>
        <v>#N/A</v>
      </c>
      <c r="X62" s="8" t="e" cm="1">
        <f t="array" ref="X62">IF(U62="","", IFERROR(((IF(U$5&lt;&gt;"", U$5*M$5, 0) + SUMPRODUCT(--(U$6:U62&lt;&gt;""), U$6:U62, (M$6:M62-M$5:M61)))/1000)/T$3, ""))</f>
        <v>#N/A</v>
      </c>
    </row>
    <row r="63" spans="1:24" x14ac:dyDescent="0.25">
      <c r="A63" s="1">
        <f t="shared" si="2"/>
        <v>1180</v>
      </c>
      <c r="B63" s="1">
        <f t="shared" si="3"/>
        <v>0</v>
      </c>
      <c r="I63" s="1" t="e">
        <f t="shared" si="4"/>
        <v>#N/A</v>
      </c>
      <c r="J63" s="1" t="e">
        <f t="shared" si="0"/>
        <v>#N/A</v>
      </c>
      <c r="K63" s="1" t="e">
        <f t="shared" si="5"/>
        <v>#N/A</v>
      </c>
      <c r="L63" s="8" t="e" cm="1">
        <f t="array" ref="L63">IF(I63="","", IFERROR(((IF(I$5&lt;&gt;"", I$5*A$5, 0) + SUMPRODUCT(--(I$6:I63&lt;&gt;""), I$6:I63, (A$6:A63-A$5:A62)))/1000)/H$3, ""))</f>
        <v>#N/A</v>
      </c>
      <c r="M63" s="1">
        <f t="shared" si="6"/>
        <v>1180</v>
      </c>
      <c r="N63" s="1">
        <f t="shared" si="7"/>
        <v>0</v>
      </c>
      <c r="U63" s="1" t="e">
        <f t="shared" si="8"/>
        <v>#N/A</v>
      </c>
      <c r="V63" s="1" t="e">
        <f t="shared" si="1"/>
        <v>#N/A</v>
      </c>
      <c r="W63" s="1" t="e">
        <f t="shared" si="9"/>
        <v>#N/A</v>
      </c>
      <c r="X63" s="8" t="e" cm="1">
        <f t="array" ref="X63">IF(U63="","", IFERROR(((IF(U$5&lt;&gt;"", U$5*M$5, 0) + SUMPRODUCT(--(U$6:U63&lt;&gt;""), U$6:U63, (M$6:M63-M$5:M62)))/1000)/T$3, ""))</f>
        <v>#N/A</v>
      </c>
    </row>
    <row r="64" spans="1:24" x14ac:dyDescent="0.25">
      <c r="A64" s="1">
        <f t="shared" si="2"/>
        <v>1200</v>
      </c>
      <c r="B64" s="1">
        <f t="shared" si="3"/>
        <v>0</v>
      </c>
      <c r="I64" s="1" t="e">
        <f t="shared" si="4"/>
        <v>#N/A</v>
      </c>
      <c r="J64" s="1" t="e">
        <f t="shared" si="0"/>
        <v>#N/A</v>
      </c>
      <c r="K64" s="1" t="e">
        <f t="shared" si="5"/>
        <v>#N/A</v>
      </c>
      <c r="L64" s="8" t="e" cm="1">
        <f t="array" ref="L64">IF(I64="","", IFERROR(((IF(I$5&lt;&gt;"", I$5*A$5, 0) + SUMPRODUCT(--(I$6:I64&lt;&gt;""), I$6:I64, (A$6:A64-A$5:A63)))/1000)/H$3, ""))</f>
        <v>#N/A</v>
      </c>
      <c r="M64" s="1">
        <f t="shared" si="6"/>
        <v>1200</v>
      </c>
      <c r="N64" s="1">
        <f t="shared" si="7"/>
        <v>0</v>
      </c>
      <c r="U64" s="1" t="e">
        <f t="shared" si="8"/>
        <v>#N/A</v>
      </c>
      <c r="V64" s="1" t="e">
        <f t="shared" si="1"/>
        <v>#N/A</v>
      </c>
      <c r="W64" s="1" t="e">
        <f t="shared" si="9"/>
        <v>#N/A</v>
      </c>
      <c r="X64" s="8" t="e" cm="1">
        <f t="array" ref="X64">IF(U64="","", IFERROR(((IF(U$5&lt;&gt;"", U$5*M$5, 0) + SUMPRODUCT(--(U$6:U64&lt;&gt;""), U$6:U64, (M$6:M64-M$5:M63)))/1000)/T$3, ""))</f>
        <v>#N/A</v>
      </c>
    </row>
    <row r="65" spans="1:24" x14ac:dyDescent="0.25">
      <c r="A65" s="1">
        <f t="shared" si="2"/>
        <v>1220</v>
      </c>
      <c r="B65" s="1">
        <f t="shared" si="3"/>
        <v>0</v>
      </c>
      <c r="I65" s="1" t="e">
        <f t="shared" si="4"/>
        <v>#N/A</v>
      </c>
      <c r="J65" s="1" t="e">
        <f t="shared" si="0"/>
        <v>#N/A</v>
      </c>
      <c r="K65" s="1" t="e">
        <f t="shared" si="5"/>
        <v>#N/A</v>
      </c>
      <c r="L65" s="8" t="e" cm="1">
        <f t="array" ref="L65">IF(I65="","", IFERROR(((IF(I$5&lt;&gt;"", I$5*A$5, 0) + SUMPRODUCT(--(I$6:I65&lt;&gt;""), I$6:I65, (A$6:A65-A$5:A64)))/1000)/H$3, ""))</f>
        <v>#N/A</v>
      </c>
      <c r="M65" s="1">
        <f t="shared" si="6"/>
        <v>1220</v>
      </c>
      <c r="N65" s="1">
        <f t="shared" si="7"/>
        <v>0</v>
      </c>
      <c r="U65" s="1" t="e">
        <f t="shared" si="8"/>
        <v>#N/A</v>
      </c>
      <c r="V65" s="1" t="e">
        <f t="shared" si="1"/>
        <v>#N/A</v>
      </c>
      <c r="W65" s="1" t="e">
        <f t="shared" si="9"/>
        <v>#N/A</v>
      </c>
      <c r="X65" s="8" t="e" cm="1">
        <f t="array" ref="X65">IF(U65="","", IFERROR(((IF(U$5&lt;&gt;"", U$5*M$5, 0) + SUMPRODUCT(--(U$6:U65&lt;&gt;""), U$6:U65, (M$6:M65-M$5:M64)))/1000)/T$3, ""))</f>
        <v>#N/A</v>
      </c>
    </row>
    <row r="66" spans="1:24" x14ac:dyDescent="0.25">
      <c r="A66" s="1">
        <f t="shared" si="2"/>
        <v>1240</v>
      </c>
      <c r="B66" s="1">
        <f t="shared" si="3"/>
        <v>0</v>
      </c>
      <c r="I66" s="1" t="e">
        <f t="shared" si="4"/>
        <v>#N/A</v>
      </c>
      <c r="J66" s="1" t="e">
        <f t="shared" si="0"/>
        <v>#N/A</v>
      </c>
      <c r="K66" s="1" t="e">
        <f t="shared" si="5"/>
        <v>#N/A</v>
      </c>
      <c r="L66" s="8" t="e" cm="1">
        <f t="array" ref="L66">IF(I66="","", IFERROR(((IF(I$5&lt;&gt;"", I$5*A$5, 0) + SUMPRODUCT(--(I$6:I66&lt;&gt;""), I$6:I66, (A$6:A66-A$5:A65)))/1000)/H$3, ""))</f>
        <v>#N/A</v>
      </c>
      <c r="M66" s="1">
        <f t="shared" si="6"/>
        <v>1240</v>
      </c>
      <c r="N66" s="1">
        <f t="shared" si="7"/>
        <v>0</v>
      </c>
      <c r="U66" s="1" t="e">
        <f t="shared" si="8"/>
        <v>#N/A</v>
      </c>
      <c r="V66" s="1" t="e">
        <f t="shared" si="1"/>
        <v>#N/A</v>
      </c>
      <c r="W66" s="1" t="e">
        <f t="shared" si="9"/>
        <v>#N/A</v>
      </c>
      <c r="X66" s="8" t="e" cm="1">
        <f t="array" ref="X66">IF(U66="","", IFERROR(((IF(U$5&lt;&gt;"", U$5*M$5, 0) + SUMPRODUCT(--(U$6:U66&lt;&gt;""), U$6:U66, (M$6:M66-M$5:M65)))/1000)/T$3, ""))</f>
        <v>#N/A</v>
      </c>
    </row>
    <row r="67" spans="1:24" x14ac:dyDescent="0.25">
      <c r="A67" s="1">
        <f t="shared" si="2"/>
        <v>1260</v>
      </c>
      <c r="B67" s="1">
        <f t="shared" si="3"/>
        <v>0</v>
      </c>
      <c r="I67" s="1" t="e">
        <f t="shared" si="4"/>
        <v>#N/A</v>
      </c>
      <c r="J67" s="1" t="e">
        <f t="shared" si="0"/>
        <v>#N/A</v>
      </c>
      <c r="K67" s="1" t="e">
        <f t="shared" si="5"/>
        <v>#N/A</v>
      </c>
      <c r="L67" s="8" t="e" cm="1">
        <f t="array" ref="L67">IF(I67="","", IFERROR(((IF(I$5&lt;&gt;"", I$5*A$5, 0) + SUMPRODUCT(--(I$6:I67&lt;&gt;""), I$6:I67, (A$6:A67-A$5:A66)))/1000)/H$3, ""))</f>
        <v>#N/A</v>
      </c>
      <c r="M67" s="1">
        <f t="shared" si="6"/>
        <v>1260</v>
      </c>
      <c r="N67" s="1">
        <f t="shared" si="7"/>
        <v>0</v>
      </c>
      <c r="U67" s="1" t="e">
        <f t="shared" si="8"/>
        <v>#N/A</v>
      </c>
      <c r="V67" s="1" t="e">
        <f t="shared" si="1"/>
        <v>#N/A</v>
      </c>
      <c r="W67" s="1" t="e">
        <f t="shared" si="9"/>
        <v>#N/A</v>
      </c>
      <c r="X67" s="8" t="e" cm="1">
        <f t="array" ref="X67">IF(U67="","", IFERROR(((IF(U$5&lt;&gt;"", U$5*M$5, 0) + SUMPRODUCT(--(U$6:U67&lt;&gt;""), U$6:U67, (M$6:M67-M$5:M66)))/1000)/T$3, ""))</f>
        <v>#N/A</v>
      </c>
    </row>
    <row r="68" spans="1:24" x14ac:dyDescent="0.25">
      <c r="A68" s="1">
        <f t="shared" si="2"/>
        <v>1280</v>
      </c>
      <c r="B68" s="1">
        <f t="shared" si="3"/>
        <v>0</v>
      </c>
      <c r="I68" s="1" t="e">
        <f t="shared" si="4"/>
        <v>#N/A</v>
      </c>
      <c r="J68" s="1" t="e">
        <f t="shared" si="0"/>
        <v>#N/A</v>
      </c>
      <c r="K68" s="1" t="e">
        <f t="shared" si="5"/>
        <v>#N/A</v>
      </c>
      <c r="L68" s="8" t="e" cm="1">
        <f t="array" ref="L68">IF(I68="","", IFERROR(((IF(I$5&lt;&gt;"", I$5*A$5, 0) + SUMPRODUCT(--(I$6:I68&lt;&gt;""), I$6:I68, (A$6:A68-A$5:A67)))/1000)/H$3, ""))</f>
        <v>#N/A</v>
      </c>
      <c r="M68" s="1">
        <f t="shared" si="6"/>
        <v>1280</v>
      </c>
      <c r="N68" s="1">
        <f t="shared" si="7"/>
        <v>0</v>
      </c>
      <c r="U68" s="1" t="e">
        <f t="shared" si="8"/>
        <v>#N/A</v>
      </c>
      <c r="V68" s="1" t="e">
        <f t="shared" si="1"/>
        <v>#N/A</v>
      </c>
      <c r="W68" s="1" t="e">
        <f t="shared" si="9"/>
        <v>#N/A</v>
      </c>
      <c r="X68" s="8" t="e" cm="1">
        <f t="array" ref="X68">IF(U68="","", IFERROR(((IF(U$5&lt;&gt;"", U$5*M$5, 0) + SUMPRODUCT(--(U$6:U68&lt;&gt;""), U$6:U68, (M$6:M68-M$5:M67)))/1000)/T$3, ""))</f>
        <v>#N/A</v>
      </c>
    </row>
    <row r="69" spans="1:24" x14ac:dyDescent="0.25">
      <c r="A69" s="1">
        <f t="shared" si="2"/>
        <v>1300</v>
      </c>
      <c r="B69" s="1">
        <f t="shared" si="3"/>
        <v>0</v>
      </c>
      <c r="I69" s="1" t="e">
        <f t="shared" si="4"/>
        <v>#N/A</v>
      </c>
      <c r="J69" s="1" t="e">
        <f t="shared" si="0"/>
        <v>#N/A</v>
      </c>
      <c r="K69" s="1" t="e">
        <f t="shared" si="5"/>
        <v>#N/A</v>
      </c>
      <c r="L69" s="8" t="e" cm="1">
        <f t="array" ref="L69">IF(I69="","", IFERROR(((IF(I$5&lt;&gt;"", I$5*A$5, 0) + SUMPRODUCT(--(I$6:I69&lt;&gt;""), I$6:I69, (A$6:A69-A$5:A68)))/1000)/H$3, ""))</f>
        <v>#N/A</v>
      </c>
      <c r="M69" s="1">
        <f t="shared" si="6"/>
        <v>1300</v>
      </c>
      <c r="N69" s="1">
        <f t="shared" si="7"/>
        <v>0</v>
      </c>
      <c r="U69" s="1" t="e">
        <f t="shared" si="8"/>
        <v>#N/A</v>
      </c>
      <c r="V69" s="1" t="e">
        <f t="shared" si="1"/>
        <v>#N/A</v>
      </c>
      <c r="W69" s="1" t="e">
        <f t="shared" si="9"/>
        <v>#N/A</v>
      </c>
      <c r="X69" s="8" t="e" cm="1">
        <f t="array" ref="X69">IF(U69="","", IFERROR(((IF(U$5&lt;&gt;"", U$5*M$5, 0) + SUMPRODUCT(--(U$6:U69&lt;&gt;""), U$6:U69, (M$6:M69-M$5:M68)))/1000)/T$3, ""))</f>
        <v>#N/A</v>
      </c>
    </row>
    <row r="70" spans="1:24" x14ac:dyDescent="0.25">
      <c r="A70" s="1">
        <f t="shared" si="2"/>
        <v>1320</v>
      </c>
      <c r="B70" s="1">
        <f t="shared" si="3"/>
        <v>0</v>
      </c>
      <c r="I70" s="1" t="e">
        <f t="shared" si="4"/>
        <v>#N/A</v>
      </c>
      <c r="J70" s="1" t="e">
        <f t="shared" ref="J70:J115" si="10">IF(I70="","",I70/F$2/2.5)</f>
        <v>#N/A</v>
      </c>
      <c r="K70" s="1" t="e">
        <f t="shared" si="5"/>
        <v>#N/A</v>
      </c>
      <c r="L70" s="8" t="e" cm="1">
        <f t="array" ref="L70">IF(I70="","", IFERROR(((IF(I$5&lt;&gt;"", I$5*A$5, 0) + SUMPRODUCT(--(I$6:I70&lt;&gt;""), I$6:I70, (A$6:A70-A$5:A69)))/1000)/H$3, ""))</f>
        <v>#N/A</v>
      </c>
      <c r="M70" s="1">
        <f t="shared" si="6"/>
        <v>1320</v>
      </c>
      <c r="N70" s="1">
        <f t="shared" si="7"/>
        <v>0</v>
      </c>
      <c r="U70" s="1" t="e">
        <f t="shared" si="8"/>
        <v>#N/A</v>
      </c>
      <c r="V70" s="1" t="e">
        <f t="shared" ref="V70:V115" si="11">IF(U70="","",U70/R$2/2.5)</f>
        <v>#N/A</v>
      </c>
      <c r="W70" s="1" t="e">
        <f t="shared" si="9"/>
        <v>#N/A</v>
      </c>
      <c r="X70" s="8" t="e" cm="1">
        <f t="array" ref="X70">IF(U70="","", IFERROR(((IF(U$5&lt;&gt;"", U$5*M$5, 0) + SUMPRODUCT(--(U$6:U70&lt;&gt;""), U$6:U70, (M$6:M70-M$5:M69)))/1000)/T$3, ""))</f>
        <v>#N/A</v>
      </c>
    </row>
    <row r="71" spans="1:24" x14ac:dyDescent="0.25">
      <c r="A71" s="1">
        <f t="shared" ref="A71:A115" si="12">A70+20</f>
        <v>1340</v>
      </c>
      <c r="B71" s="1">
        <f t="shared" ref="B71:B115" si="13">C70</f>
        <v>0</v>
      </c>
      <c r="I71" s="1" t="e">
        <f t="shared" ref="I71:I115" si="14">IF(C71="", NA(), (B71-C71)*1000/(A71-A70))</f>
        <v>#N/A</v>
      </c>
      <c r="J71" s="1" t="e">
        <f t="shared" si="10"/>
        <v>#N/A</v>
      </c>
      <c r="K71" s="1" t="e">
        <f t="shared" ref="K71:K115" si="15">IF(I71="","", 100*_xlfn.STDEV.P(I70:I71)/AVERAGE(I70:I71))</f>
        <v>#N/A</v>
      </c>
      <c r="L71" s="8" t="e" cm="1">
        <f t="array" ref="L71">IF(I71="","", IFERROR(((IF(I$5&lt;&gt;"", I$5*A$5, 0) + SUMPRODUCT(--(I$6:I71&lt;&gt;""), I$6:I71, (A$6:A71-A$5:A70)))/1000)/H$3, ""))</f>
        <v>#N/A</v>
      </c>
      <c r="M71" s="1">
        <f t="shared" ref="M71:M115" si="16">M70+20</f>
        <v>1340</v>
      </c>
      <c r="N71" s="1">
        <f t="shared" ref="N71:N115" si="17">O70</f>
        <v>0</v>
      </c>
      <c r="U71" s="1" t="e">
        <f t="shared" ref="U71:U115" si="18">IF(O71="", NA(), (N71-O71)*1000/(M71-M70))</f>
        <v>#N/A</v>
      </c>
      <c r="V71" s="1" t="e">
        <f t="shared" si="11"/>
        <v>#N/A</v>
      </c>
      <c r="W71" s="1" t="e">
        <f t="shared" ref="W71:W115" si="19">IF(U71="","", 100*_xlfn.STDEV.P(U70:U71)/AVERAGE(U70:U71))</f>
        <v>#N/A</v>
      </c>
      <c r="X71" s="8" t="e" cm="1">
        <f t="array" ref="X71">IF(U71="","", IFERROR(((IF(U$5&lt;&gt;"", U$5*M$5, 0) + SUMPRODUCT(--(U$6:U71&lt;&gt;""), U$6:U71, (M$6:M71-M$5:M70)))/1000)/T$3, ""))</f>
        <v>#N/A</v>
      </c>
    </row>
    <row r="72" spans="1:24" x14ac:dyDescent="0.25">
      <c r="A72" s="1">
        <f t="shared" si="12"/>
        <v>1360</v>
      </c>
      <c r="B72" s="1">
        <f t="shared" si="13"/>
        <v>0</v>
      </c>
      <c r="I72" s="1" t="e">
        <f t="shared" si="14"/>
        <v>#N/A</v>
      </c>
      <c r="J72" s="1" t="e">
        <f t="shared" si="10"/>
        <v>#N/A</v>
      </c>
      <c r="K72" s="1" t="e">
        <f t="shared" si="15"/>
        <v>#N/A</v>
      </c>
      <c r="L72" s="8" t="e" cm="1">
        <f t="array" ref="L72">IF(I72="","", IFERROR(((IF(I$5&lt;&gt;"", I$5*A$5, 0) + SUMPRODUCT(--(I$6:I72&lt;&gt;""), I$6:I72, (A$6:A72-A$5:A71)))/1000)/H$3, ""))</f>
        <v>#N/A</v>
      </c>
      <c r="M72" s="1">
        <f t="shared" si="16"/>
        <v>1360</v>
      </c>
      <c r="N72" s="1">
        <f t="shared" si="17"/>
        <v>0</v>
      </c>
      <c r="U72" s="1" t="e">
        <f t="shared" si="18"/>
        <v>#N/A</v>
      </c>
      <c r="V72" s="1" t="e">
        <f t="shared" si="11"/>
        <v>#N/A</v>
      </c>
      <c r="W72" s="1" t="e">
        <f t="shared" si="19"/>
        <v>#N/A</v>
      </c>
      <c r="X72" s="8" t="e" cm="1">
        <f t="array" ref="X72">IF(U72="","", IFERROR(((IF(U$5&lt;&gt;"", U$5*M$5, 0) + SUMPRODUCT(--(U$6:U72&lt;&gt;""), U$6:U72, (M$6:M72-M$5:M71)))/1000)/T$3, ""))</f>
        <v>#N/A</v>
      </c>
    </row>
    <row r="73" spans="1:24" x14ac:dyDescent="0.25">
      <c r="A73" s="1">
        <f t="shared" si="12"/>
        <v>1380</v>
      </c>
      <c r="B73" s="1">
        <f t="shared" si="13"/>
        <v>0</v>
      </c>
      <c r="I73" s="1" t="e">
        <f t="shared" si="14"/>
        <v>#N/A</v>
      </c>
      <c r="J73" s="1" t="e">
        <f t="shared" si="10"/>
        <v>#N/A</v>
      </c>
      <c r="K73" s="1" t="e">
        <f t="shared" si="15"/>
        <v>#N/A</v>
      </c>
      <c r="L73" s="8" t="e" cm="1">
        <f t="array" ref="L73">IF(I73="","", IFERROR(((IF(I$5&lt;&gt;"", I$5*A$5, 0) + SUMPRODUCT(--(I$6:I73&lt;&gt;""), I$6:I73, (A$6:A73-A$5:A72)))/1000)/H$3, ""))</f>
        <v>#N/A</v>
      </c>
      <c r="M73" s="1">
        <f t="shared" si="16"/>
        <v>1380</v>
      </c>
      <c r="N73" s="1">
        <f t="shared" si="17"/>
        <v>0</v>
      </c>
      <c r="U73" s="1" t="e">
        <f t="shared" si="18"/>
        <v>#N/A</v>
      </c>
      <c r="V73" s="1" t="e">
        <f t="shared" si="11"/>
        <v>#N/A</v>
      </c>
      <c r="W73" s="1" t="e">
        <f t="shared" si="19"/>
        <v>#N/A</v>
      </c>
      <c r="X73" s="8" t="e" cm="1">
        <f t="array" ref="X73">IF(U73="","", IFERROR(((IF(U$5&lt;&gt;"", U$5*M$5, 0) + SUMPRODUCT(--(U$6:U73&lt;&gt;""), U$6:U73, (M$6:M73-M$5:M72)))/1000)/T$3, ""))</f>
        <v>#N/A</v>
      </c>
    </row>
    <row r="74" spans="1:24" x14ac:dyDescent="0.25">
      <c r="A74" s="1">
        <f t="shared" si="12"/>
        <v>1400</v>
      </c>
      <c r="B74" s="1">
        <f t="shared" si="13"/>
        <v>0</v>
      </c>
      <c r="I74" s="1" t="e">
        <f t="shared" si="14"/>
        <v>#N/A</v>
      </c>
      <c r="J74" s="1" t="e">
        <f t="shared" si="10"/>
        <v>#N/A</v>
      </c>
      <c r="K74" s="1" t="e">
        <f t="shared" si="15"/>
        <v>#N/A</v>
      </c>
      <c r="L74" s="8" t="e" cm="1">
        <f t="array" ref="L74">IF(I74="","", IFERROR(((IF(I$5&lt;&gt;"", I$5*A$5, 0) + SUMPRODUCT(--(I$6:I74&lt;&gt;""), I$6:I74, (A$6:A74-A$5:A73)))/1000)/H$3, ""))</f>
        <v>#N/A</v>
      </c>
      <c r="M74" s="1">
        <f t="shared" si="16"/>
        <v>1400</v>
      </c>
      <c r="N74" s="1">
        <f t="shared" si="17"/>
        <v>0</v>
      </c>
      <c r="U74" s="1" t="e">
        <f t="shared" si="18"/>
        <v>#N/A</v>
      </c>
      <c r="V74" s="1" t="e">
        <f t="shared" si="11"/>
        <v>#N/A</v>
      </c>
      <c r="W74" s="1" t="e">
        <f t="shared" si="19"/>
        <v>#N/A</v>
      </c>
      <c r="X74" s="8" t="e" cm="1">
        <f t="array" ref="X74">IF(U74="","", IFERROR(((IF(U$5&lt;&gt;"", U$5*M$5, 0) + SUMPRODUCT(--(U$6:U74&lt;&gt;""), U$6:U74, (M$6:M74-M$5:M73)))/1000)/T$3, ""))</f>
        <v>#N/A</v>
      </c>
    </row>
    <row r="75" spans="1:24" x14ac:dyDescent="0.25">
      <c r="A75" s="1">
        <f t="shared" si="12"/>
        <v>1420</v>
      </c>
      <c r="B75" s="1">
        <f t="shared" si="13"/>
        <v>0</v>
      </c>
      <c r="I75" s="1" t="e">
        <f t="shared" si="14"/>
        <v>#N/A</v>
      </c>
      <c r="J75" s="1" t="e">
        <f t="shared" si="10"/>
        <v>#N/A</v>
      </c>
      <c r="K75" s="1" t="e">
        <f t="shared" si="15"/>
        <v>#N/A</v>
      </c>
      <c r="L75" s="8" t="e" cm="1">
        <f t="array" ref="L75">IF(I75="","", IFERROR(((IF(I$5&lt;&gt;"", I$5*A$5, 0) + SUMPRODUCT(--(I$6:I75&lt;&gt;""), I$6:I75, (A$6:A75-A$5:A74)))/1000)/H$3, ""))</f>
        <v>#N/A</v>
      </c>
      <c r="M75" s="1">
        <f t="shared" si="16"/>
        <v>1420</v>
      </c>
      <c r="N75" s="1">
        <f t="shared" si="17"/>
        <v>0</v>
      </c>
      <c r="U75" s="1" t="e">
        <f t="shared" si="18"/>
        <v>#N/A</v>
      </c>
      <c r="V75" s="1" t="e">
        <f t="shared" si="11"/>
        <v>#N/A</v>
      </c>
      <c r="W75" s="1" t="e">
        <f t="shared" si="19"/>
        <v>#N/A</v>
      </c>
      <c r="X75" s="8" t="e" cm="1">
        <f t="array" ref="X75">IF(U75="","", IFERROR(((IF(U$5&lt;&gt;"", U$5*M$5, 0) + SUMPRODUCT(--(U$6:U75&lt;&gt;""), U$6:U75, (M$6:M75-M$5:M74)))/1000)/T$3, ""))</f>
        <v>#N/A</v>
      </c>
    </row>
    <row r="76" spans="1:24" x14ac:dyDescent="0.25">
      <c r="A76" s="1">
        <f t="shared" si="12"/>
        <v>1440</v>
      </c>
      <c r="B76" s="1">
        <f t="shared" si="13"/>
        <v>0</v>
      </c>
      <c r="I76" s="1" t="e">
        <f t="shared" si="14"/>
        <v>#N/A</v>
      </c>
      <c r="J76" s="1" t="e">
        <f t="shared" si="10"/>
        <v>#N/A</v>
      </c>
      <c r="K76" s="1" t="e">
        <f t="shared" si="15"/>
        <v>#N/A</v>
      </c>
      <c r="L76" s="8" t="e" cm="1">
        <f t="array" ref="L76">IF(I76="","", IFERROR(((IF(I$5&lt;&gt;"", I$5*A$5, 0) + SUMPRODUCT(--(I$6:I76&lt;&gt;""), I$6:I76, (A$6:A76-A$5:A75)))/1000)/H$3, ""))</f>
        <v>#N/A</v>
      </c>
      <c r="M76" s="1">
        <f t="shared" si="16"/>
        <v>1440</v>
      </c>
      <c r="N76" s="1">
        <f t="shared" si="17"/>
        <v>0</v>
      </c>
      <c r="U76" s="1" t="e">
        <f t="shared" si="18"/>
        <v>#N/A</v>
      </c>
      <c r="V76" s="1" t="e">
        <f t="shared" si="11"/>
        <v>#N/A</v>
      </c>
      <c r="W76" s="1" t="e">
        <f t="shared" si="19"/>
        <v>#N/A</v>
      </c>
      <c r="X76" s="8" t="e" cm="1">
        <f t="array" ref="X76">IF(U76="","", IFERROR(((IF(U$5&lt;&gt;"", U$5*M$5, 0) + SUMPRODUCT(--(U$6:U76&lt;&gt;""), U$6:U76, (M$6:M76-M$5:M75)))/1000)/T$3, ""))</f>
        <v>#N/A</v>
      </c>
    </row>
    <row r="77" spans="1:24" x14ac:dyDescent="0.25">
      <c r="A77" s="1">
        <f t="shared" si="12"/>
        <v>1460</v>
      </c>
      <c r="B77" s="1">
        <f t="shared" si="13"/>
        <v>0</v>
      </c>
      <c r="I77" s="1" t="e">
        <f t="shared" si="14"/>
        <v>#N/A</v>
      </c>
      <c r="J77" s="1" t="e">
        <f t="shared" si="10"/>
        <v>#N/A</v>
      </c>
      <c r="K77" s="1" t="e">
        <f t="shared" si="15"/>
        <v>#N/A</v>
      </c>
      <c r="L77" s="8" t="e" cm="1">
        <f t="array" ref="L77">IF(I77="","", IFERROR(((IF(I$5&lt;&gt;"", I$5*A$5, 0) + SUMPRODUCT(--(I$6:I77&lt;&gt;""), I$6:I77, (A$6:A77-A$5:A76)))/1000)/H$3, ""))</f>
        <v>#N/A</v>
      </c>
      <c r="M77" s="1">
        <f t="shared" si="16"/>
        <v>1460</v>
      </c>
      <c r="N77" s="1">
        <f t="shared" si="17"/>
        <v>0</v>
      </c>
      <c r="U77" s="1" t="e">
        <f t="shared" si="18"/>
        <v>#N/A</v>
      </c>
      <c r="V77" s="1" t="e">
        <f t="shared" si="11"/>
        <v>#N/A</v>
      </c>
      <c r="W77" s="1" t="e">
        <f t="shared" si="19"/>
        <v>#N/A</v>
      </c>
      <c r="X77" s="8" t="e" cm="1">
        <f t="array" ref="X77">IF(U77="","", IFERROR(((IF(U$5&lt;&gt;"", U$5*M$5, 0) + SUMPRODUCT(--(U$6:U77&lt;&gt;""), U$6:U77, (M$6:M77-M$5:M76)))/1000)/T$3, ""))</f>
        <v>#N/A</v>
      </c>
    </row>
    <row r="78" spans="1:24" x14ac:dyDescent="0.25">
      <c r="A78" s="1">
        <f t="shared" si="12"/>
        <v>1480</v>
      </c>
      <c r="B78" s="1">
        <f t="shared" si="13"/>
        <v>0</v>
      </c>
      <c r="I78" s="1" t="e">
        <f t="shared" si="14"/>
        <v>#N/A</v>
      </c>
      <c r="J78" s="1" t="e">
        <f t="shared" si="10"/>
        <v>#N/A</v>
      </c>
      <c r="K78" s="1" t="e">
        <f t="shared" si="15"/>
        <v>#N/A</v>
      </c>
      <c r="L78" s="8" t="e" cm="1">
        <f t="array" ref="L78">IF(I78="","", IFERROR(((IF(I$5&lt;&gt;"", I$5*A$5, 0) + SUMPRODUCT(--(I$6:I78&lt;&gt;""), I$6:I78, (A$6:A78-A$5:A77)))/1000)/H$3, ""))</f>
        <v>#N/A</v>
      </c>
      <c r="M78" s="1">
        <f t="shared" si="16"/>
        <v>1480</v>
      </c>
      <c r="N78" s="1">
        <f t="shared" si="17"/>
        <v>0</v>
      </c>
      <c r="U78" s="1" t="e">
        <f t="shared" si="18"/>
        <v>#N/A</v>
      </c>
      <c r="V78" s="1" t="e">
        <f t="shared" si="11"/>
        <v>#N/A</v>
      </c>
      <c r="W78" s="1" t="e">
        <f t="shared" si="19"/>
        <v>#N/A</v>
      </c>
      <c r="X78" s="8" t="e" cm="1">
        <f t="array" ref="X78">IF(U78="","", IFERROR(((IF(U$5&lt;&gt;"", U$5*M$5, 0) + SUMPRODUCT(--(U$6:U78&lt;&gt;""), U$6:U78, (M$6:M78-M$5:M77)))/1000)/T$3, ""))</f>
        <v>#N/A</v>
      </c>
    </row>
    <row r="79" spans="1:24" x14ac:dyDescent="0.25">
      <c r="A79" s="1">
        <f t="shared" si="12"/>
        <v>1500</v>
      </c>
      <c r="B79" s="1">
        <f t="shared" si="13"/>
        <v>0</v>
      </c>
      <c r="I79" s="1" t="e">
        <f t="shared" si="14"/>
        <v>#N/A</v>
      </c>
      <c r="J79" s="1" t="e">
        <f t="shared" si="10"/>
        <v>#N/A</v>
      </c>
      <c r="K79" s="1" t="e">
        <f t="shared" si="15"/>
        <v>#N/A</v>
      </c>
      <c r="L79" s="8" t="e" cm="1">
        <f t="array" ref="L79">IF(I79="","", IFERROR(((IF(I$5&lt;&gt;"", I$5*A$5, 0) + SUMPRODUCT(--(I$6:I79&lt;&gt;""), I$6:I79, (A$6:A79-A$5:A78)))/1000)/H$3, ""))</f>
        <v>#N/A</v>
      </c>
      <c r="M79" s="1">
        <f t="shared" si="16"/>
        <v>1500</v>
      </c>
      <c r="N79" s="1">
        <f t="shared" si="17"/>
        <v>0</v>
      </c>
      <c r="U79" s="1" t="e">
        <f t="shared" si="18"/>
        <v>#N/A</v>
      </c>
      <c r="V79" s="1" t="e">
        <f t="shared" si="11"/>
        <v>#N/A</v>
      </c>
      <c r="W79" s="1" t="e">
        <f t="shared" si="19"/>
        <v>#N/A</v>
      </c>
      <c r="X79" s="8" t="e" cm="1">
        <f t="array" ref="X79">IF(U79="","", IFERROR(((IF(U$5&lt;&gt;"", U$5*M$5, 0) + SUMPRODUCT(--(U$6:U79&lt;&gt;""), U$6:U79, (M$6:M79-M$5:M78)))/1000)/T$3, ""))</f>
        <v>#N/A</v>
      </c>
    </row>
    <row r="80" spans="1:24" x14ac:dyDescent="0.25">
      <c r="A80" s="1">
        <f t="shared" si="12"/>
        <v>1520</v>
      </c>
      <c r="B80" s="1">
        <f t="shared" si="13"/>
        <v>0</v>
      </c>
      <c r="I80" s="1" t="e">
        <f t="shared" si="14"/>
        <v>#N/A</v>
      </c>
      <c r="J80" s="1" t="e">
        <f t="shared" si="10"/>
        <v>#N/A</v>
      </c>
      <c r="K80" s="1" t="e">
        <f t="shared" si="15"/>
        <v>#N/A</v>
      </c>
      <c r="L80" s="8" t="e" cm="1">
        <f t="array" ref="L80">IF(I80="","", IFERROR(((IF(I$5&lt;&gt;"", I$5*A$5, 0) + SUMPRODUCT(--(I$6:I80&lt;&gt;""), I$6:I80, (A$6:A80-A$5:A79)))/1000)/H$3, ""))</f>
        <v>#N/A</v>
      </c>
      <c r="M80" s="1">
        <f t="shared" si="16"/>
        <v>1520</v>
      </c>
      <c r="N80" s="1">
        <f t="shared" si="17"/>
        <v>0</v>
      </c>
      <c r="U80" s="1" t="e">
        <f t="shared" si="18"/>
        <v>#N/A</v>
      </c>
      <c r="V80" s="1" t="e">
        <f t="shared" si="11"/>
        <v>#N/A</v>
      </c>
      <c r="W80" s="1" t="e">
        <f t="shared" si="19"/>
        <v>#N/A</v>
      </c>
      <c r="X80" s="8" t="e" cm="1">
        <f t="array" ref="X80">IF(U80="","", IFERROR(((IF(U$5&lt;&gt;"", U$5*M$5, 0) + SUMPRODUCT(--(U$6:U80&lt;&gt;""), U$6:U80, (M$6:M80-M$5:M79)))/1000)/T$3, ""))</f>
        <v>#N/A</v>
      </c>
    </row>
    <row r="81" spans="1:24" x14ac:dyDescent="0.25">
      <c r="A81" s="1">
        <f t="shared" si="12"/>
        <v>1540</v>
      </c>
      <c r="B81" s="1">
        <f t="shared" si="13"/>
        <v>0</v>
      </c>
      <c r="I81" s="1" t="e">
        <f t="shared" si="14"/>
        <v>#N/A</v>
      </c>
      <c r="J81" s="1" t="e">
        <f t="shared" si="10"/>
        <v>#N/A</v>
      </c>
      <c r="K81" s="1" t="e">
        <f t="shared" si="15"/>
        <v>#N/A</v>
      </c>
      <c r="L81" s="8" t="e" cm="1">
        <f t="array" ref="L81">IF(I81="","", IFERROR(((IF(I$5&lt;&gt;"", I$5*A$5, 0) + SUMPRODUCT(--(I$6:I81&lt;&gt;""), I$6:I81, (A$6:A81-A$5:A80)))/1000)/H$3, ""))</f>
        <v>#N/A</v>
      </c>
      <c r="M81" s="1">
        <f t="shared" si="16"/>
        <v>1540</v>
      </c>
      <c r="N81" s="1">
        <f t="shared" si="17"/>
        <v>0</v>
      </c>
      <c r="U81" s="1" t="e">
        <f t="shared" si="18"/>
        <v>#N/A</v>
      </c>
      <c r="V81" s="1" t="e">
        <f t="shared" si="11"/>
        <v>#N/A</v>
      </c>
      <c r="W81" s="1" t="e">
        <f t="shared" si="19"/>
        <v>#N/A</v>
      </c>
      <c r="X81" s="8" t="e" cm="1">
        <f t="array" ref="X81">IF(U81="","", IFERROR(((IF(U$5&lt;&gt;"", U$5*M$5, 0) + SUMPRODUCT(--(U$6:U81&lt;&gt;""), U$6:U81, (M$6:M81-M$5:M80)))/1000)/T$3, ""))</f>
        <v>#N/A</v>
      </c>
    </row>
    <row r="82" spans="1:24" x14ac:dyDescent="0.25">
      <c r="A82" s="1">
        <f t="shared" si="12"/>
        <v>1560</v>
      </c>
      <c r="B82" s="1">
        <f t="shared" si="13"/>
        <v>0</v>
      </c>
      <c r="I82" s="1" t="e">
        <f t="shared" si="14"/>
        <v>#N/A</v>
      </c>
      <c r="J82" s="1" t="e">
        <f t="shared" si="10"/>
        <v>#N/A</v>
      </c>
      <c r="K82" s="1" t="e">
        <f t="shared" si="15"/>
        <v>#N/A</v>
      </c>
      <c r="L82" s="8" t="e" cm="1">
        <f t="array" ref="L82">IF(I82="","", IFERROR(((IF(I$5&lt;&gt;"", I$5*A$5, 0) + SUMPRODUCT(--(I$6:I82&lt;&gt;""), I$6:I82, (A$6:A82-A$5:A81)))/1000)/H$3, ""))</f>
        <v>#N/A</v>
      </c>
      <c r="M82" s="1">
        <f t="shared" si="16"/>
        <v>1560</v>
      </c>
      <c r="N82" s="1">
        <f t="shared" si="17"/>
        <v>0</v>
      </c>
      <c r="U82" s="1" t="e">
        <f t="shared" si="18"/>
        <v>#N/A</v>
      </c>
      <c r="V82" s="1" t="e">
        <f t="shared" si="11"/>
        <v>#N/A</v>
      </c>
      <c r="W82" s="1" t="e">
        <f t="shared" si="19"/>
        <v>#N/A</v>
      </c>
      <c r="X82" s="8" t="e" cm="1">
        <f t="array" ref="X82">IF(U82="","", IFERROR(((IF(U$5&lt;&gt;"", U$5*M$5, 0) + SUMPRODUCT(--(U$6:U82&lt;&gt;""), U$6:U82, (M$6:M82-M$5:M81)))/1000)/T$3, ""))</f>
        <v>#N/A</v>
      </c>
    </row>
    <row r="83" spans="1:24" x14ac:dyDescent="0.25">
      <c r="A83" s="1">
        <f t="shared" si="12"/>
        <v>1580</v>
      </c>
      <c r="B83" s="1">
        <f t="shared" si="13"/>
        <v>0</v>
      </c>
      <c r="I83" s="1" t="e">
        <f t="shared" si="14"/>
        <v>#N/A</v>
      </c>
      <c r="J83" s="1" t="e">
        <f t="shared" si="10"/>
        <v>#N/A</v>
      </c>
      <c r="K83" s="1" t="e">
        <f t="shared" si="15"/>
        <v>#N/A</v>
      </c>
      <c r="L83" s="8" t="e" cm="1">
        <f t="array" ref="L83">IF(I83="","", IFERROR(((IF(I$5&lt;&gt;"", I$5*A$5, 0) + SUMPRODUCT(--(I$6:I83&lt;&gt;""), I$6:I83, (A$6:A83-A$5:A82)))/1000)/H$3, ""))</f>
        <v>#N/A</v>
      </c>
      <c r="M83" s="1">
        <f t="shared" si="16"/>
        <v>1580</v>
      </c>
      <c r="N83" s="1">
        <f t="shared" si="17"/>
        <v>0</v>
      </c>
      <c r="U83" s="1" t="e">
        <f t="shared" si="18"/>
        <v>#N/A</v>
      </c>
      <c r="V83" s="1" t="e">
        <f t="shared" si="11"/>
        <v>#N/A</v>
      </c>
      <c r="W83" s="1" t="e">
        <f t="shared" si="19"/>
        <v>#N/A</v>
      </c>
      <c r="X83" s="8" t="e" cm="1">
        <f t="array" ref="X83">IF(U83="","", IFERROR(((IF(U$5&lt;&gt;"", U$5*M$5, 0) + SUMPRODUCT(--(U$6:U83&lt;&gt;""), U$6:U83, (M$6:M83-M$5:M82)))/1000)/T$3, ""))</f>
        <v>#N/A</v>
      </c>
    </row>
    <row r="84" spans="1:24" x14ac:dyDescent="0.25">
      <c r="A84" s="1">
        <f t="shared" si="12"/>
        <v>1600</v>
      </c>
      <c r="B84" s="1">
        <f t="shared" si="13"/>
        <v>0</v>
      </c>
      <c r="I84" s="1" t="e">
        <f t="shared" si="14"/>
        <v>#N/A</v>
      </c>
      <c r="J84" s="1" t="e">
        <f t="shared" si="10"/>
        <v>#N/A</v>
      </c>
      <c r="K84" s="1" t="e">
        <f t="shared" si="15"/>
        <v>#N/A</v>
      </c>
      <c r="L84" s="8" t="e" cm="1">
        <f t="array" ref="L84">IF(I84="","", IFERROR(((IF(I$5&lt;&gt;"", I$5*A$5, 0) + SUMPRODUCT(--(I$6:I84&lt;&gt;""), I$6:I84, (A$6:A84-A$5:A83)))/1000)/H$3, ""))</f>
        <v>#N/A</v>
      </c>
      <c r="M84" s="1">
        <f t="shared" si="16"/>
        <v>1600</v>
      </c>
      <c r="N84" s="1">
        <f t="shared" si="17"/>
        <v>0</v>
      </c>
      <c r="U84" s="1" t="e">
        <f t="shared" si="18"/>
        <v>#N/A</v>
      </c>
      <c r="V84" s="1" t="e">
        <f t="shared" si="11"/>
        <v>#N/A</v>
      </c>
      <c r="W84" s="1" t="e">
        <f t="shared" si="19"/>
        <v>#N/A</v>
      </c>
      <c r="X84" s="8" t="e" cm="1">
        <f t="array" ref="X84">IF(U84="","", IFERROR(((IF(U$5&lt;&gt;"", U$5*M$5, 0) + SUMPRODUCT(--(U$6:U84&lt;&gt;""), U$6:U84, (M$6:M84-M$5:M83)))/1000)/T$3, ""))</f>
        <v>#N/A</v>
      </c>
    </row>
    <row r="85" spans="1:24" x14ac:dyDescent="0.25">
      <c r="A85" s="1">
        <f t="shared" si="12"/>
        <v>1620</v>
      </c>
      <c r="B85" s="1">
        <f t="shared" si="13"/>
        <v>0</v>
      </c>
      <c r="I85" s="1" t="e">
        <f t="shared" si="14"/>
        <v>#N/A</v>
      </c>
      <c r="J85" s="1" t="e">
        <f t="shared" si="10"/>
        <v>#N/A</v>
      </c>
      <c r="K85" s="1" t="e">
        <f t="shared" si="15"/>
        <v>#N/A</v>
      </c>
      <c r="L85" s="8" t="e" cm="1">
        <f t="array" ref="L85">IF(I85="","", IFERROR(((IF(I$5&lt;&gt;"", I$5*A$5, 0) + SUMPRODUCT(--(I$6:I85&lt;&gt;""), I$6:I85, (A$6:A85-A$5:A84)))/1000)/H$3, ""))</f>
        <v>#N/A</v>
      </c>
      <c r="M85" s="1">
        <f t="shared" si="16"/>
        <v>1620</v>
      </c>
      <c r="N85" s="1">
        <f t="shared" si="17"/>
        <v>0</v>
      </c>
      <c r="U85" s="1" t="e">
        <f t="shared" si="18"/>
        <v>#N/A</v>
      </c>
      <c r="V85" s="1" t="e">
        <f t="shared" si="11"/>
        <v>#N/A</v>
      </c>
      <c r="W85" s="1" t="e">
        <f t="shared" si="19"/>
        <v>#N/A</v>
      </c>
      <c r="X85" s="8" t="e" cm="1">
        <f t="array" ref="X85">IF(U85="","", IFERROR(((IF(U$5&lt;&gt;"", U$5*M$5, 0) + SUMPRODUCT(--(U$6:U85&lt;&gt;""), U$6:U85, (M$6:M85-M$5:M84)))/1000)/T$3, ""))</f>
        <v>#N/A</v>
      </c>
    </row>
    <row r="86" spans="1:24" x14ac:dyDescent="0.25">
      <c r="A86" s="1">
        <f t="shared" si="12"/>
        <v>1640</v>
      </c>
      <c r="B86" s="1">
        <f t="shared" si="13"/>
        <v>0</v>
      </c>
      <c r="I86" s="1" t="e">
        <f t="shared" si="14"/>
        <v>#N/A</v>
      </c>
      <c r="J86" s="1" t="e">
        <f t="shared" si="10"/>
        <v>#N/A</v>
      </c>
      <c r="K86" s="1" t="e">
        <f t="shared" si="15"/>
        <v>#N/A</v>
      </c>
      <c r="L86" s="8" t="e" cm="1">
        <f t="array" ref="L86">IF(I86="","", IFERROR(((IF(I$5&lt;&gt;"", I$5*A$5, 0) + SUMPRODUCT(--(I$6:I86&lt;&gt;""), I$6:I86, (A$6:A86-A$5:A85)))/1000)/H$3, ""))</f>
        <v>#N/A</v>
      </c>
      <c r="M86" s="1">
        <f t="shared" si="16"/>
        <v>1640</v>
      </c>
      <c r="N86" s="1">
        <f t="shared" si="17"/>
        <v>0</v>
      </c>
      <c r="U86" s="1" t="e">
        <f t="shared" si="18"/>
        <v>#N/A</v>
      </c>
      <c r="V86" s="1" t="e">
        <f t="shared" si="11"/>
        <v>#N/A</v>
      </c>
      <c r="W86" s="1" t="e">
        <f t="shared" si="19"/>
        <v>#N/A</v>
      </c>
      <c r="X86" s="8" t="e" cm="1">
        <f t="array" ref="X86">IF(U86="","", IFERROR(((IF(U$5&lt;&gt;"", U$5*M$5, 0) + SUMPRODUCT(--(U$6:U86&lt;&gt;""), U$6:U86, (M$6:M86-M$5:M85)))/1000)/T$3, ""))</f>
        <v>#N/A</v>
      </c>
    </row>
    <row r="87" spans="1:24" x14ac:dyDescent="0.25">
      <c r="A87" s="1">
        <f t="shared" si="12"/>
        <v>1660</v>
      </c>
      <c r="B87" s="1">
        <f t="shared" si="13"/>
        <v>0</v>
      </c>
      <c r="I87" s="1" t="e">
        <f t="shared" si="14"/>
        <v>#N/A</v>
      </c>
      <c r="J87" s="1" t="e">
        <f t="shared" si="10"/>
        <v>#N/A</v>
      </c>
      <c r="K87" s="1" t="e">
        <f t="shared" si="15"/>
        <v>#N/A</v>
      </c>
      <c r="L87" s="8" t="e" cm="1">
        <f t="array" ref="L87">IF(I87="","", IFERROR(((IF(I$5&lt;&gt;"", I$5*A$5, 0) + SUMPRODUCT(--(I$6:I87&lt;&gt;""), I$6:I87, (A$6:A87-A$5:A86)))/1000)/H$3, ""))</f>
        <v>#N/A</v>
      </c>
      <c r="M87" s="1">
        <f t="shared" si="16"/>
        <v>1660</v>
      </c>
      <c r="N87" s="1">
        <f t="shared" si="17"/>
        <v>0</v>
      </c>
      <c r="U87" s="1" t="e">
        <f t="shared" si="18"/>
        <v>#N/A</v>
      </c>
      <c r="V87" s="1" t="e">
        <f t="shared" si="11"/>
        <v>#N/A</v>
      </c>
      <c r="W87" s="1" t="e">
        <f t="shared" si="19"/>
        <v>#N/A</v>
      </c>
      <c r="X87" s="8" t="e" cm="1">
        <f t="array" ref="X87">IF(U87="","", IFERROR(((IF(U$5&lt;&gt;"", U$5*M$5, 0) + SUMPRODUCT(--(U$6:U87&lt;&gt;""), U$6:U87, (M$6:M87-M$5:M86)))/1000)/T$3, ""))</f>
        <v>#N/A</v>
      </c>
    </row>
    <row r="88" spans="1:24" x14ac:dyDescent="0.25">
      <c r="A88" s="1">
        <f t="shared" si="12"/>
        <v>1680</v>
      </c>
      <c r="B88" s="1">
        <f t="shared" si="13"/>
        <v>0</v>
      </c>
      <c r="I88" s="1" t="e">
        <f t="shared" si="14"/>
        <v>#N/A</v>
      </c>
      <c r="J88" s="1" t="e">
        <f t="shared" si="10"/>
        <v>#N/A</v>
      </c>
      <c r="K88" s="1" t="e">
        <f t="shared" si="15"/>
        <v>#N/A</v>
      </c>
      <c r="L88" s="8" t="e" cm="1">
        <f t="array" ref="L88">IF(I88="","", IFERROR(((IF(I$5&lt;&gt;"", I$5*A$5, 0) + SUMPRODUCT(--(I$6:I88&lt;&gt;""), I$6:I88, (A$6:A88-A$5:A87)))/1000)/H$3, ""))</f>
        <v>#N/A</v>
      </c>
      <c r="M88" s="1">
        <f t="shared" si="16"/>
        <v>1680</v>
      </c>
      <c r="N88" s="1">
        <f t="shared" si="17"/>
        <v>0</v>
      </c>
      <c r="U88" s="1" t="e">
        <f t="shared" si="18"/>
        <v>#N/A</v>
      </c>
      <c r="V88" s="1" t="e">
        <f t="shared" si="11"/>
        <v>#N/A</v>
      </c>
      <c r="W88" s="1" t="e">
        <f t="shared" si="19"/>
        <v>#N/A</v>
      </c>
      <c r="X88" s="8" t="e" cm="1">
        <f t="array" ref="X88">IF(U88="","", IFERROR(((IF(U$5&lt;&gt;"", U$5*M$5, 0) + SUMPRODUCT(--(U$6:U88&lt;&gt;""), U$6:U88, (M$6:M88-M$5:M87)))/1000)/T$3, ""))</f>
        <v>#N/A</v>
      </c>
    </row>
    <row r="89" spans="1:24" x14ac:dyDescent="0.25">
      <c r="A89" s="1">
        <f t="shared" si="12"/>
        <v>1700</v>
      </c>
      <c r="B89" s="1">
        <f t="shared" si="13"/>
        <v>0</v>
      </c>
      <c r="I89" s="1" t="e">
        <f t="shared" si="14"/>
        <v>#N/A</v>
      </c>
      <c r="J89" s="1" t="e">
        <f t="shared" si="10"/>
        <v>#N/A</v>
      </c>
      <c r="K89" s="1" t="e">
        <f t="shared" si="15"/>
        <v>#N/A</v>
      </c>
      <c r="L89" s="8" t="e" cm="1">
        <f t="array" ref="L89">IF(I89="","", IFERROR(((IF(I$5&lt;&gt;"", I$5*A$5, 0) + SUMPRODUCT(--(I$6:I89&lt;&gt;""), I$6:I89, (A$6:A89-A$5:A88)))/1000)/H$3, ""))</f>
        <v>#N/A</v>
      </c>
      <c r="M89" s="1">
        <f t="shared" si="16"/>
        <v>1700</v>
      </c>
      <c r="N89" s="1">
        <f t="shared" si="17"/>
        <v>0</v>
      </c>
      <c r="U89" s="1" t="e">
        <f t="shared" si="18"/>
        <v>#N/A</v>
      </c>
      <c r="V89" s="1" t="e">
        <f t="shared" si="11"/>
        <v>#N/A</v>
      </c>
      <c r="W89" s="1" t="e">
        <f t="shared" si="19"/>
        <v>#N/A</v>
      </c>
      <c r="X89" s="8" t="e" cm="1">
        <f t="array" ref="X89">IF(U89="","", IFERROR(((IF(U$5&lt;&gt;"", U$5*M$5, 0) + SUMPRODUCT(--(U$6:U89&lt;&gt;""), U$6:U89, (M$6:M89-M$5:M88)))/1000)/T$3, ""))</f>
        <v>#N/A</v>
      </c>
    </row>
    <row r="90" spans="1:24" x14ac:dyDescent="0.25">
      <c r="A90" s="1">
        <f t="shared" si="12"/>
        <v>1720</v>
      </c>
      <c r="B90" s="1">
        <f t="shared" si="13"/>
        <v>0</v>
      </c>
      <c r="I90" s="1" t="e">
        <f t="shared" si="14"/>
        <v>#N/A</v>
      </c>
      <c r="J90" s="1" t="e">
        <f t="shared" si="10"/>
        <v>#N/A</v>
      </c>
      <c r="K90" s="1" t="e">
        <f t="shared" si="15"/>
        <v>#N/A</v>
      </c>
      <c r="L90" s="8" t="e" cm="1">
        <f t="array" ref="L90">IF(I90="","", IFERROR(((IF(I$5&lt;&gt;"", I$5*A$5, 0) + SUMPRODUCT(--(I$6:I90&lt;&gt;""), I$6:I90, (A$6:A90-A$5:A89)))/1000)/H$3, ""))</f>
        <v>#N/A</v>
      </c>
      <c r="M90" s="1">
        <f t="shared" si="16"/>
        <v>1720</v>
      </c>
      <c r="N90" s="1">
        <f t="shared" si="17"/>
        <v>0</v>
      </c>
      <c r="U90" s="1" t="e">
        <f t="shared" si="18"/>
        <v>#N/A</v>
      </c>
      <c r="V90" s="1" t="e">
        <f t="shared" si="11"/>
        <v>#N/A</v>
      </c>
      <c r="W90" s="1" t="e">
        <f t="shared" si="19"/>
        <v>#N/A</v>
      </c>
      <c r="X90" s="8" t="e" cm="1">
        <f t="array" ref="X90">IF(U90="","", IFERROR(((IF(U$5&lt;&gt;"", U$5*M$5, 0) + SUMPRODUCT(--(U$6:U90&lt;&gt;""), U$6:U90, (M$6:M90-M$5:M89)))/1000)/T$3, ""))</f>
        <v>#N/A</v>
      </c>
    </row>
    <row r="91" spans="1:24" x14ac:dyDescent="0.25">
      <c r="A91" s="1">
        <f t="shared" si="12"/>
        <v>1740</v>
      </c>
      <c r="B91" s="1">
        <f t="shared" si="13"/>
        <v>0</v>
      </c>
      <c r="I91" s="1" t="e">
        <f t="shared" si="14"/>
        <v>#N/A</v>
      </c>
      <c r="J91" s="1" t="e">
        <f t="shared" si="10"/>
        <v>#N/A</v>
      </c>
      <c r="K91" s="1" t="e">
        <f t="shared" si="15"/>
        <v>#N/A</v>
      </c>
      <c r="L91" s="8" t="e" cm="1">
        <f t="array" ref="L91">IF(I91="","", IFERROR(((IF(I$5&lt;&gt;"", I$5*A$5, 0) + SUMPRODUCT(--(I$6:I91&lt;&gt;""), I$6:I91, (A$6:A91-A$5:A90)))/1000)/H$3, ""))</f>
        <v>#N/A</v>
      </c>
      <c r="M91" s="1">
        <f t="shared" si="16"/>
        <v>1740</v>
      </c>
      <c r="N91" s="1">
        <f t="shared" si="17"/>
        <v>0</v>
      </c>
      <c r="U91" s="1" t="e">
        <f t="shared" si="18"/>
        <v>#N/A</v>
      </c>
      <c r="V91" s="1" t="e">
        <f t="shared" si="11"/>
        <v>#N/A</v>
      </c>
      <c r="W91" s="1" t="e">
        <f t="shared" si="19"/>
        <v>#N/A</v>
      </c>
      <c r="X91" s="8" t="e" cm="1">
        <f t="array" ref="X91">IF(U91="","", IFERROR(((IF(U$5&lt;&gt;"", U$5*M$5, 0) + SUMPRODUCT(--(U$6:U91&lt;&gt;""), U$6:U91, (M$6:M91-M$5:M90)))/1000)/T$3, ""))</f>
        <v>#N/A</v>
      </c>
    </row>
    <row r="92" spans="1:24" x14ac:dyDescent="0.25">
      <c r="A92" s="1">
        <f t="shared" si="12"/>
        <v>1760</v>
      </c>
      <c r="B92" s="1">
        <f t="shared" si="13"/>
        <v>0</v>
      </c>
      <c r="I92" s="1" t="e">
        <f t="shared" si="14"/>
        <v>#N/A</v>
      </c>
      <c r="J92" s="1" t="e">
        <f t="shared" si="10"/>
        <v>#N/A</v>
      </c>
      <c r="K92" s="1" t="e">
        <f t="shared" si="15"/>
        <v>#N/A</v>
      </c>
      <c r="L92" s="8" t="e" cm="1">
        <f t="array" ref="L92">IF(I92="","", IFERROR(((IF(I$5&lt;&gt;"", I$5*A$5, 0) + SUMPRODUCT(--(I$6:I92&lt;&gt;""), I$6:I92, (A$6:A92-A$5:A91)))/1000)/H$3, ""))</f>
        <v>#N/A</v>
      </c>
      <c r="M92" s="1">
        <f t="shared" si="16"/>
        <v>1760</v>
      </c>
      <c r="N92" s="1">
        <f t="shared" si="17"/>
        <v>0</v>
      </c>
      <c r="U92" s="1" t="e">
        <f t="shared" si="18"/>
        <v>#N/A</v>
      </c>
      <c r="V92" s="1" t="e">
        <f t="shared" si="11"/>
        <v>#N/A</v>
      </c>
      <c r="W92" s="1" t="e">
        <f t="shared" si="19"/>
        <v>#N/A</v>
      </c>
      <c r="X92" s="8" t="e" cm="1">
        <f t="array" ref="X92">IF(U92="","", IFERROR(((IF(U$5&lt;&gt;"", U$5*M$5, 0) + SUMPRODUCT(--(U$6:U92&lt;&gt;""), U$6:U92, (M$6:M92-M$5:M91)))/1000)/T$3, ""))</f>
        <v>#N/A</v>
      </c>
    </row>
    <row r="93" spans="1:24" x14ac:dyDescent="0.25">
      <c r="A93" s="1">
        <f t="shared" si="12"/>
        <v>1780</v>
      </c>
      <c r="B93" s="1">
        <f t="shared" si="13"/>
        <v>0</v>
      </c>
      <c r="I93" s="1" t="e">
        <f t="shared" si="14"/>
        <v>#N/A</v>
      </c>
      <c r="J93" s="1" t="e">
        <f t="shared" si="10"/>
        <v>#N/A</v>
      </c>
      <c r="K93" s="1" t="e">
        <f t="shared" si="15"/>
        <v>#N/A</v>
      </c>
      <c r="L93" s="8" t="e" cm="1">
        <f t="array" ref="L93">IF(I93="","", IFERROR(((IF(I$5&lt;&gt;"", I$5*A$5, 0) + SUMPRODUCT(--(I$6:I93&lt;&gt;""), I$6:I93, (A$6:A93-A$5:A92)))/1000)/H$3, ""))</f>
        <v>#N/A</v>
      </c>
      <c r="M93" s="1">
        <f t="shared" si="16"/>
        <v>1780</v>
      </c>
      <c r="N93" s="1">
        <f t="shared" si="17"/>
        <v>0</v>
      </c>
      <c r="U93" s="1" t="e">
        <f t="shared" si="18"/>
        <v>#N/A</v>
      </c>
      <c r="V93" s="1" t="e">
        <f t="shared" si="11"/>
        <v>#N/A</v>
      </c>
      <c r="W93" s="1" t="e">
        <f t="shared" si="19"/>
        <v>#N/A</v>
      </c>
      <c r="X93" s="8" t="e" cm="1">
        <f t="array" ref="X93">IF(U93="","", IFERROR(((IF(U$5&lt;&gt;"", U$5*M$5, 0) + SUMPRODUCT(--(U$6:U93&lt;&gt;""), U$6:U93, (M$6:M93-M$5:M92)))/1000)/T$3, ""))</f>
        <v>#N/A</v>
      </c>
    </row>
    <row r="94" spans="1:24" x14ac:dyDescent="0.25">
      <c r="A94" s="1">
        <f t="shared" si="12"/>
        <v>1800</v>
      </c>
      <c r="B94" s="1">
        <f t="shared" si="13"/>
        <v>0</v>
      </c>
      <c r="I94" s="1" t="e">
        <f t="shared" si="14"/>
        <v>#N/A</v>
      </c>
      <c r="J94" s="1" t="e">
        <f t="shared" si="10"/>
        <v>#N/A</v>
      </c>
      <c r="K94" s="1" t="e">
        <f t="shared" si="15"/>
        <v>#N/A</v>
      </c>
      <c r="L94" s="8" t="e" cm="1">
        <f t="array" ref="L94">IF(I94="","", IFERROR(((IF(I$5&lt;&gt;"", I$5*A$5, 0) + SUMPRODUCT(--(I$6:I94&lt;&gt;""), I$6:I94, (A$6:A94-A$5:A93)))/1000)/H$3, ""))</f>
        <v>#N/A</v>
      </c>
      <c r="M94" s="1">
        <f t="shared" si="16"/>
        <v>1800</v>
      </c>
      <c r="N94" s="1">
        <f t="shared" si="17"/>
        <v>0</v>
      </c>
      <c r="U94" s="1" t="e">
        <f t="shared" si="18"/>
        <v>#N/A</v>
      </c>
      <c r="V94" s="1" t="e">
        <f t="shared" si="11"/>
        <v>#N/A</v>
      </c>
      <c r="W94" s="1" t="e">
        <f t="shared" si="19"/>
        <v>#N/A</v>
      </c>
      <c r="X94" s="8" t="e" cm="1">
        <f t="array" ref="X94">IF(U94="","", IFERROR(((IF(U$5&lt;&gt;"", U$5*M$5, 0) + SUMPRODUCT(--(U$6:U94&lt;&gt;""), U$6:U94, (M$6:M94-M$5:M93)))/1000)/T$3, ""))</f>
        <v>#N/A</v>
      </c>
    </row>
    <row r="95" spans="1:24" x14ac:dyDescent="0.25">
      <c r="A95" s="1">
        <f t="shared" si="12"/>
        <v>1820</v>
      </c>
      <c r="B95" s="1">
        <f t="shared" si="13"/>
        <v>0</v>
      </c>
      <c r="I95" s="1" t="e">
        <f t="shared" si="14"/>
        <v>#N/A</v>
      </c>
      <c r="J95" s="1" t="e">
        <f t="shared" si="10"/>
        <v>#N/A</v>
      </c>
      <c r="K95" s="1" t="e">
        <f t="shared" si="15"/>
        <v>#N/A</v>
      </c>
      <c r="L95" s="8" t="e" cm="1">
        <f t="array" ref="L95">IF(I95="","", IFERROR(((IF(I$5&lt;&gt;"", I$5*A$5, 0) + SUMPRODUCT(--(I$6:I95&lt;&gt;""), I$6:I95, (A$6:A95-A$5:A94)))/1000)/H$3, ""))</f>
        <v>#N/A</v>
      </c>
      <c r="M95" s="1">
        <f t="shared" si="16"/>
        <v>1820</v>
      </c>
      <c r="N95" s="1">
        <f t="shared" si="17"/>
        <v>0</v>
      </c>
      <c r="U95" s="1" t="e">
        <f t="shared" si="18"/>
        <v>#N/A</v>
      </c>
      <c r="V95" s="1" t="e">
        <f t="shared" si="11"/>
        <v>#N/A</v>
      </c>
      <c r="W95" s="1" t="e">
        <f t="shared" si="19"/>
        <v>#N/A</v>
      </c>
      <c r="X95" s="8" t="e" cm="1">
        <f t="array" ref="X95">IF(U95="","", IFERROR(((IF(U$5&lt;&gt;"", U$5*M$5, 0) + SUMPRODUCT(--(U$6:U95&lt;&gt;""), U$6:U95, (M$6:M95-M$5:M94)))/1000)/T$3, ""))</f>
        <v>#N/A</v>
      </c>
    </row>
    <row r="96" spans="1:24" x14ac:dyDescent="0.25">
      <c r="A96" s="1">
        <f t="shared" si="12"/>
        <v>1840</v>
      </c>
      <c r="B96" s="1">
        <f t="shared" si="13"/>
        <v>0</v>
      </c>
      <c r="I96" s="1" t="e">
        <f t="shared" si="14"/>
        <v>#N/A</v>
      </c>
      <c r="J96" s="1" t="e">
        <f t="shared" si="10"/>
        <v>#N/A</v>
      </c>
      <c r="K96" s="1" t="e">
        <f t="shared" si="15"/>
        <v>#N/A</v>
      </c>
      <c r="L96" s="8" t="e" cm="1">
        <f t="array" ref="L96">IF(I96="","", IFERROR(((IF(I$5&lt;&gt;"", I$5*A$5, 0) + SUMPRODUCT(--(I$6:I96&lt;&gt;""), I$6:I96, (A$6:A96-A$5:A95)))/1000)/H$3, ""))</f>
        <v>#N/A</v>
      </c>
      <c r="M96" s="1">
        <f t="shared" si="16"/>
        <v>1840</v>
      </c>
      <c r="N96" s="1">
        <f t="shared" si="17"/>
        <v>0</v>
      </c>
      <c r="U96" s="1" t="e">
        <f t="shared" si="18"/>
        <v>#N/A</v>
      </c>
      <c r="V96" s="1" t="e">
        <f t="shared" si="11"/>
        <v>#N/A</v>
      </c>
      <c r="W96" s="1" t="e">
        <f t="shared" si="19"/>
        <v>#N/A</v>
      </c>
      <c r="X96" s="8" t="e" cm="1">
        <f t="array" ref="X96">IF(U96="","", IFERROR(((IF(U$5&lt;&gt;"", U$5*M$5, 0) + SUMPRODUCT(--(U$6:U96&lt;&gt;""), U$6:U96, (M$6:M96-M$5:M95)))/1000)/T$3, ""))</f>
        <v>#N/A</v>
      </c>
    </row>
    <row r="97" spans="1:24" x14ac:dyDescent="0.25">
      <c r="A97" s="1">
        <f t="shared" si="12"/>
        <v>1860</v>
      </c>
      <c r="B97" s="1">
        <f t="shared" si="13"/>
        <v>0</v>
      </c>
      <c r="I97" s="1" t="e">
        <f t="shared" si="14"/>
        <v>#N/A</v>
      </c>
      <c r="J97" s="1" t="e">
        <f t="shared" si="10"/>
        <v>#N/A</v>
      </c>
      <c r="K97" s="1" t="e">
        <f t="shared" si="15"/>
        <v>#N/A</v>
      </c>
      <c r="L97" s="8" t="e" cm="1">
        <f t="array" ref="L97">IF(I97="","", IFERROR(((IF(I$5&lt;&gt;"", I$5*A$5, 0) + SUMPRODUCT(--(I$6:I97&lt;&gt;""), I$6:I97, (A$6:A97-A$5:A96)))/1000)/H$3, ""))</f>
        <v>#N/A</v>
      </c>
      <c r="M97" s="1">
        <f t="shared" si="16"/>
        <v>1860</v>
      </c>
      <c r="N97" s="1">
        <f t="shared" si="17"/>
        <v>0</v>
      </c>
      <c r="U97" s="1" t="e">
        <f t="shared" si="18"/>
        <v>#N/A</v>
      </c>
      <c r="V97" s="1" t="e">
        <f t="shared" si="11"/>
        <v>#N/A</v>
      </c>
      <c r="W97" s="1" t="e">
        <f t="shared" si="19"/>
        <v>#N/A</v>
      </c>
      <c r="X97" s="8" t="e" cm="1">
        <f t="array" ref="X97">IF(U97="","", IFERROR(((IF(U$5&lt;&gt;"", U$5*M$5, 0) + SUMPRODUCT(--(U$6:U97&lt;&gt;""), U$6:U97, (M$6:M97-M$5:M96)))/1000)/T$3, ""))</f>
        <v>#N/A</v>
      </c>
    </row>
    <row r="98" spans="1:24" x14ac:dyDescent="0.25">
      <c r="A98" s="1">
        <f t="shared" si="12"/>
        <v>1880</v>
      </c>
      <c r="B98" s="1">
        <f t="shared" si="13"/>
        <v>0</v>
      </c>
      <c r="I98" s="1" t="e">
        <f t="shared" si="14"/>
        <v>#N/A</v>
      </c>
      <c r="J98" s="1" t="e">
        <f t="shared" si="10"/>
        <v>#N/A</v>
      </c>
      <c r="K98" s="1" t="e">
        <f t="shared" si="15"/>
        <v>#N/A</v>
      </c>
      <c r="L98" s="8" t="e" cm="1">
        <f t="array" ref="L98">IF(I98="","", IFERROR(((IF(I$5&lt;&gt;"", I$5*A$5, 0) + SUMPRODUCT(--(I$6:I98&lt;&gt;""), I$6:I98, (A$6:A98-A$5:A97)))/1000)/H$3, ""))</f>
        <v>#N/A</v>
      </c>
      <c r="M98" s="1">
        <f t="shared" si="16"/>
        <v>1880</v>
      </c>
      <c r="N98" s="1">
        <f t="shared" si="17"/>
        <v>0</v>
      </c>
      <c r="U98" s="1" t="e">
        <f t="shared" si="18"/>
        <v>#N/A</v>
      </c>
      <c r="V98" s="1" t="e">
        <f t="shared" si="11"/>
        <v>#N/A</v>
      </c>
      <c r="W98" s="1" t="e">
        <f t="shared" si="19"/>
        <v>#N/A</v>
      </c>
      <c r="X98" s="8" t="e" cm="1">
        <f t="array" ref="X98">IF(U98="","", IFERROR(((IF(U$5&lt;&gt;"", U$5*M$5, 0) + SUMPRODUCT(--(U$6:U98&lt;&gt;""), U$6:U98, (M$6:M98-M$5:M97)))/1000)/T$3, ""))</f>
        <v>#N/A</v>
      </c>
    </row>
    <row r="99" spans="1:24" x14ac:dyDescent="0.25">
      <c r="A99" s="1">
        <f t="shared" si="12"/>
        <v>1900</v>
      </c>
      <c r="B99" s="1">
        <f t="shared" si="13"/>
        <v>0</v>
      </c>
      <c r="I99" s="1" t="e">
        <f t="shared" si="14"/>
        <v>#N/A</v>
      </c>
      <c r="J99" s="1" t="e">
        <f t="shared" si="10"/>
        <v>#N/A</v>
      </c>
      <c r="K99" s="1" t="e">
        <f t="shared" si="15"/>
        <v>#N/A</v>
      </c>
      <c r="L99" s="8" t="e" cm="1">
        <f t="array" ref="L99">IF(I99="","", IFERROR(((IF(I$5&lt;&gt;"", I$5*A$5, 0) + SUMPRODUCT(--(I$6:I99&lt;&gt;""), I$6:I99, (A$6:A99-A$5:A98)))/1000)/H$3, ""))</f>
        <v>#N/A</v>
      </c>
      <c r="M99" s="1">
        <f t="shared" si="16"/>
        <v>1900</v>
      </c>
      <c r="N99" s="1">
        <f t="shared" si="17"/>
        <v>0</v>
      </c>
      <c r="U99" s="1" t="e">
        <f t="shared" si="18"/>
        <v>#N/A</v>
      </c>
      <c r="V99" s="1" t="e">
        <f t="shared" si="11"/>
        <v>#N/A</v>
      </c>
      <c r="W99" s="1" t="e">
        <f t="shared" si="19"/>
        <v>#N/A</v>
      </c>
      <c r="X99" s="8" t="e" cm="1">
        <f t="array" ref="X99">IF(U99="","", IFERROR(((IF(U$5&lt;&gt;"", U$5*M$5, 0) + SUMPRODUCT(--(U$6:U99&lt;&gt;""), U$6:U99, (M$6:M99-M$5:M98)))/1000)/T$3, ""))</f>
        <v>#N/A</v>
      </c>
    </row>
    <row r="100" spans="1:24" x14ac:dyDescent="0.25">
      <c r="A100" s="1">
        <f t="shared" si="12"/>
        <v>1920</v>
      </c>
      <c r="B100" s="1">
        <f t="shared" si="13"/>
        <v>0</v>
      </c>
      <c r="I100" s="1" t="e">
        <f t="shared" si="14"/>
        <v>#N/A</v>
      </c>
      <c r="J100" s="1" t="e">
        <f t="shared" si="10"/>
        <v>#N/A</v>
      </c>
      <c r="K100" s="1" t="e">
        <f t="shared" si="15"/>
        <v>#N/A</v>
      </c>
      <c r="L100" s="8" t="e" cm="1">
        <f t="array" ref="L100">IF(I100="","", IFERROR(((IF(I$5&lt;&gt;"", I$5*A$5, 0) + SUMPRODUCT(--(I$6:I100&lt;&gt;""), I$6:I100, (A$6:A100-A$5:A99)))/1000)/H$3, ""))</f>
        <v>#N/A</v>
      </c>
      <c r="M100" s="1">
        <f t="shared" si="16"/>
        <v>1920</v>
      </c>
      <c r="N100" s="1">
        <f t="shared" si="17"/>
        <v>0</v>
      </c>
      <c r="U100" s="1" t="e">
        <f t="shared" si="18"/>
        <v>#N/A</v>
      </c>
      <c r="V100" s="1" t="e">
        <f t="shared" si="11"/>
        <v>#N/A</v>
      </c>
      <c r="W100" s="1" t="e">
        <f t="shared" si="19"/>
        <v>#N/A</v>
      </c>
      <c r="X100" s="8" t="e" cm="1">
        <f t="array" ref="X100">IF(U100="","", IFERROR(((IF(U$5&lt;&gt;"", U$5*M$5, 0) + SUMPRODUCT(--(U$6:U100&lt;&gt;""), U$6:U100, (M$6:M100-M$5:M99)))/1000)/T$3, ""))</f>
        <v>#N/A</v>
      </c>
    </row>
    <row r="101" spans="1:24" x14ac:dyDescent="0.25">
      <c r="A101" s="1">
        <f t="shared" si="12"/>
        <v>1940</v>
      </c>
      <c r="B101" s="1">
        <f t="shared" si="13"/>
        <v>0</v>
      </c>
      <c r="I101" s="1" t="e">
        <f t="shared" si="14"/>
        <v>#N/A</v>
      </c>
      <c r="J101" s="1" t="e">
        <f t="shared" si="10"/>
        <v>#N/A</v>
      </c>
      <c r="K101" s="1" t="e">
        <f t="shared" si="15"/>
        <v>#N/A</v>
      </c>
      <c r="L101" s="8" t="e" cm="1">
        <f t="array" ref="L101">IF(I101="","", IFERROR(((IF(I$5&lt;&gt;"", I$5*A$5, 0) + SUMPRODUCT(--(I$6:I101&lt;&gt;""), I$6:I101, (A$6:A101-A$5:A100)))/1000)/H$3, ""))</f>
        <v>#N/A</v>
      </c>
      <c r="M101" s="1">
        <f t="shared" si="16"/>
        <v>1940</v>
      </c>
      <c r="N101" s="1">
        <f t="shared" si="17"/>
        <v>0</v>
      </c>
      <c r="U101" s="1" t="e">
        <f t="shared" si="18"/>
        <v>#N/A</v>
      </c>
      <c r="V101" s="1" t="e">
        <f t="shared" si="11"/>
        <v>#N/A</v>
      </c>
      <c r="W101" s="1" t="e">
        <f t="shared" si="19"/>
        <v>#N/A</v>
      </c>
      <c r="X101" s="8" t="e" cm="1">
        <f t="array" ref="X101">IF(U101="","", IFERROR(((IF(U$5&lt;&gt;"", U$5*M$5, 0) + SUMPRODUCT(--(U$6:U101&lt;&gt;""), U$6:U101, (M$6:M101-M$5:M100)))/1000)/T$3, ""))</f>
        <v>#N/A</v>
      </c>
    </row>
    <row r="102" spans="1:24" x14ac:dyDescent="0.25">
      <c r="A102" s="1">
        <f t="shared" si="12"/>
        <v>1960</v>
      </c>
      <c r="B102" s="1">
        <f t="shared" si="13"/>
        <v>0</v>
      </c>
      <c r="I102" s="1" t="e">
        <f t="shared" si="14"/>
        <v>#N/A</v>
      </c>
      <c r="J102" s="1" t="e">
        <f t="shared" si="10"/>
        <v>#N/A</v>
      </c>
      <c r="K102" s="1" t="e">
        <f t="shared" si="15"/>
        <v>#N/A</v>
      </c>
      <c r="L102" s="8" t="e" cm="1">
        <f t="array" ref="L102">IF(I102="","", IFERROR(((IF(I$5&lt;&gt;"", I$5*A$5, 0) + SUMPRODUCT(--(I$6:I102&lt;&gt;""), I$6:I102, (A$6:A102-A$5:A101)))/1000)/H$3, ""))</f>
        <v>#N/A</v>
      </c>
      <c r="M102" s="1">
        <f t="shared" si="16"/>
        <v>1960</v>
      </c>
      <c r="N102" s="1">
        <f t="shared" si="17"/>
        <v>0</v>
      </c>
      <c r="U102" s="1" t="e">
        <f t="shared" si="18"/>
        <v>#N/A</v>
      </c>
      <c r="V102" s="1" t="e">
        <f t="shared" si="11"/>
        <v>#N/A</v>
      </c>
      <c r="W102" s="1" t="e">
        <f t="shared" si="19"/>
        <v>#N/A</v>
      </c>
      <c r="X102" s="8" t="e" cm="1">
        <f t="array" ref="X102">IF(U102="","", IFERROR(((IF(U$5&lt;&gt;"", U$5*M$5, 0) + SUMPRODUCT(--(U$6:U102&lt;&gt;""), U$6:U102, (M$6:M102-M$5:M101)))/1000)/T$3, ""))</f>
        <v>#N/A</v>
      </c>
    </row>
    <row r="103" spans="1:24" x14ac:dyDescent="0.25">
      <c r="A103" s="1">
        <f t="shared" si="12"/>
        <v>1980</v>
      </c>
      <c r="B103" s="1">
        <f t="shared" si="13"/>
        <v>0</v>
      </c>
      <c r="I103" s="1" t="e">
        <f t="shared" si="14"/>
        <v>#N/A</v>
      </c>
      <c r="J103" s="1" t="e">
        <f t="shared" si="10"/>
        <v>#N/A</v>
      </c>
      <c r="K103" s="1" t="e">
        <f t="shared" si="15"/>
        <v>#N/A</v>
      </c>
      <c r="L103" s="8" t="e" cm="1">
        <f t="array" ref="L103">IF(I103="","", IFERROR(((IF(I$5&lt;&gt;"", I$5*A$5, 0) + SUMPRODUCT(--(I$6:I103&lt;&gt;""), I$6:I103, (A$6:A103-A$5:A102)))/1000)/H$3, ""))</f>
        <v>#N/A</v>
      </c>
      <c r="M103" s="1">
        <f t="shared" si="16"/>
        <v>1980</v>
      </c>
      <c r="N103" s="1">
        <f t="shared" si="17"/>
        <v>0</v>
      </c>
      <c r="U103" s="1" t="e">
        <f t="shared" si="18"/>
        <v>#N/A</v>
      </c>
      <c r="V103" s="1" t="e">
        <f t="shared" si="11"/>
        <v>#N/A</v>
      </c>
      <c r="W103" s="1" t="e">
        <f t="shared" si="19"/>
        <v>#N/A</v>
      </c>
      <c r="X103" s="8" t="e" cm="1">
        <f t="array" ref="X103">IF(U103="","", IFERROR(((IF(U$5&lt;&gt;"", U$5*M$5, 0) + SUMPRODUCT(--(U$6:U103&lt;&gt;""), U$6:U103, (M$6:M103-M$5:M102)))/1000)/T$3, ""))</f>
        <v>#N/A</v>
      </c>
    </row>
    <row r="104" spans="1:24" x14ac:dyDescent="0.25">
      <c r="A104" s="1">
        <f t="shared" si="12"/>
        <v>2000</v>
      </c>
      <c r="B104" s="1">
        <f t="shared" si="13"/>
        <v>0</v>
      </c>
      <c r="I104" s="1" t="e">
        <f t="shared" si="14"/>
        <v>#N/A</v>
      </c>
      <c r="J104" s="1" t="e">
        <f t="shared" si="10"/>
        <v>#N/A</v>
      </c>
      <c r="K104" s="1" t="e">
        <f t="shared" si="15"/>
        <v>#N/A</v>
      </c>
      <c r="L104" s="8" t="e" cm="1">
        <f t="array" ref="L104">IF(I104="","", IFERROR(((IF(I$5&lt;&gt;"", I$5*A$5, 0) + SUMPRODUCT(--(I$6:I104&lt;&gt;""), I$6:I104, (A$6:A104-A$5:A103)))/1000)/H$3, ""))</f>
        <v>#N/A</v>
      </c>
      <c r="M104" s="1">
        <f t="shared" si="16"/>
        <v>2000</v>
      </c>
      <c r="N104" s="1">
        <f t="shared" si="17"/>
        <v>0</v>
      </c>
      <c r="U104" s="1" t="e">
        <f t="shared" si="18"/>
        <v>#N/A</v>
      </c>
      <c r="V104" s="1" t="e">
        <f t="shared" si="11"/>
        <v>#N/A</v>
      </c>
      <c r="W104" s="1" t="e">
        <f t="shared" si="19"/>
        <v>#N/A</v>
      </c>
      <c r="X104" s="8" t="e" cm="1">
        <f t="array" ref="X104">IF(U104="","", IFERROR(((IF(U$5&lt;&gt;"", U$5*M$5, 0) + SUMPRODUCT(--(U$6:U104&lt;&gt;""), U$6:U104, (M$6:M104-M$5:M103)))/1000)/T$3, ""))</f>
        <v>#N/A</v>
      </c>
    </row>
    <row r="105" spans="1:24" x14ac:dyDescent="0.25">
      <c r="A105" s="1">
        <f t="shared" si="12"/>
        <v>2020</v>
      </c>
      <c r="B105" s="1">
        <f t="shared" si="13"/>
        <v>0</v>
      </c>
      <c r="I105" s="1" t="e">
        <f t="shared" si="14"/>
        <v>#N/A</v>
      </c>
      <c r="J105" s="1" t="e">
        <f t="shared" si="10"/>
        <v>#N/A</v>
      </c>
      <c r="K105" s="1" t="e">
        <f t="shared" si="15"/>
        <v>#N/A</v>
      </c>
      <c r="L105" s="8" t="e" cm="1">
        <f t="array" ref="L105">IF(I105="","", IFERROR(((IF(I$5&lt;&gt;"", I$5*A$5, 0) + SUMPRODUCT(--(I$6:I105&lt;&gt;""), I$6:I105, (A$6:A105-A$5:A104)))/1000)/H$3, ""))</f>
        <v>#N/A</v>
      </c>
      <c r="M105" s="1">
        <f t="shared" si="16"/>
        <v>2020</v>
      </c>
      <c r="N105" s="1">
        <f t="shared" si="17"/>
        <v>0</v>
      </c>
      <c r="U105" s="1" t="e">
        <f t="shared" si="18"/>
        <v>#N/A</v>
      </c>
      <c r="V105" s="1" t="e">
        <f t="shared" si="11"/>
        <v>#N/A</v>
      </c>
      <c r="W105" s="1" t="e">
        <f t="shared" si="19"/>
        <v>#N/A</v>
      </c>
      <c r="X105" s="8" t="e" cm="1">
        <f t="array" ref="X105">IF(U105="","", IFERROR(((IF(U$5&lt;&gt;"", U$5*M$5, 0) + SUMPRODUCT(--(U$6:U105&lt;&gt;""), U$6:U105, (M$6:M105-M$5:M104)))/1000)/T$3, ""))</f>
        <v>#N/A</v>
      </c>
    </row>
    <row r="106" spans="1:24" x14ac:dyDescent="0.25">
      <c r="A106" s="1">
        <f t="shared" si="12"/>
        <v>2040</v>
      </c>
      <c r="B106" s="1">
        <f t="shared" si="13"/>
        <v>0</v>
      </c>
      <c r="I106" s="1" t="e">
        <f t="shared" si="14"/>
        <v>#N/A</v>
      </c>
      <c r="J106" s="1" t="e">
        <f t="shared" si="10"/>
        <v>#N/A</v>
      </c>
      <c r="K106" s="1" t="e">
        <f t="shared" si="15"/>
        <v>#N/A</v>
      </c>
      <c r="L106" s="8" t="e" cm="1">
        <f t="array" ref="L106">IF(I106="","", IFERROR(((IF(I$5&lt;&gt;"", I$5*A$5, 0) + SUMPRODUCT(--(I$6:I106&lt;&gt;""), I$6:I106, (A$6:A106-A$5:A105)))/1000)/H$3, ""))</f>
        <v>#N/A</v>
      </c>
      <c r="M106" s="1">
        <f t="shared" si="16"/>
        <v>2040</v>
      </c>
      <c r="N106" s="1">
        <f t="shared" si="17"/>
        <v>0</v>
      </c>
      <c r="U106" s="1" t="e">
        <f t="shared" si="18"/>
        <v>#N/A</v>
      </c>
      <c r="V106" s="1" t="e">
        <f t="shared" si="11"/>
        <v>#N/A</v>
      </c>
      <c r="W106" s="1" t="e">
        <f t="shared" si="19"/>
        <v>#N/A</v>
      </c>
      <c r="X106" s="8" t="e" cm="1">
        <f t="array" ref="X106">IF(U106="","", IFERROR(((IF(U$5&lt;&gt;"", U$5*M$5, 0) + SUMPRODUCT(--(U$6:U106&lt;&gt;""), U$6:U106, (M$6:M106-M$5:M105)))/1000)/T$3, ""))</f>
        <v>#N/A</v>
      </c>
    </row>
    <row r="107" spans="1:24" x14ac:dyDescent="0.25">
      <c r="A107" s="1">
        <f t="shared" si="12"/>
        <v>2060</v>
      </c>
      <c r="B107" s="1">
        <f t="shared" si="13"/>
        <v>0</v>
      </c>
      <c r="I107" s="1" t="e">
        <f t="shared" si="14"/>
        <v>#N/A</v>
      </c>
      <c r="J107" s="1" t="e">
        <f t="shared" si="10"/>
        <v>#N/A</v>
      </c>
      <c r="K107" s="1" t="e">
        <f t="shared" si="15"/>
        <v>#N/A</v>
      </c>
      <c r="L107" s="8" t="e" cm="1">
        <f t="array" ref="L107">IF(I107="","", IFERROR(((IF(I$5&lt;&gt;"", I$5*A$5, 0) + SUMPRODUCT(--(I$6:I107&lt;&gt;""), I$6:I107, (A$6:A107-A$5:A106)))/1000)/H$3, ""))</f>
        <v>#N/A</v>
      </c>
      <c r="M107" s="1">
        <f t="shared" si="16"/>
        <v>2060</v>
      </c>
      <c r="N107" s="1">
        <f t="shared" si="17"/>
        <v>0</v>
      </c>
      <c r="U107" s="1" t="e">
        <f t="shared" si="18"/>
        <v>#N/A</v>
      </c>
      <c r="V107" s="1" t="e">
        <f t="shared" si="11"/>
        <v>#N/A</v>
      </c>
      <c r="W107" s="1" t="e">
        <f t="shared" si="19"/>
        <v>#N/A</v>
      </c>
      <c r="X107" s="8" t="e" cm="1">
        <f t="array" ref="X107">IF(U107="","", IFERROR(((IF(U$5&lt;&gt;"", U$5*M$5, 0) + SUMPRODUCT(--(U$6:U107&lt;&gt;""), U$6:U107, (M$6:M107-M$5:M106)))/1000)/T$3, ""))</f>
        <v>#N/A</v>
      </c>
    </row>
    <row r="108" spans="1:24" x14ac:dyDescent="0.25">
      <c r="A108" s="1">
        <f t="shared" si="12"/>
        <v>2080</v>
      </c>
      <c r="B108" s="1">
        <f t="shared" si="13"/>
        <v>0</v>
      </c>
      <c r="I108" s="1" t="e">
        <f t="shared" si="14"/>
        <v>#N/A</v>
      </c>
      <c r="J108" s="1" t="e">
        <f t="shared" si="10"/>
        <v>#N/A</v>
      </c>
      <c r="K108" s="1" t="e">
        <f t="shared" si="15"/>
        <v>#N/A</v>
      </c>
      <c r="L108" s="8" t="e" cm="1">
        <f t="array" ref="L108">IF(I108="","", IFERROR(((IF(I$5&lt;&gt;"", I$5*A$5, 0) + SUMPRODUCT(--(I$6:I108&lt;&gt;""), I$6:I108, (A$6:A108-A$5:A107)))/1000)/H$3, ""))</f>
        <v>#N/A</v>
      </c>
      <c r="M108" s="1">
        <f t="shared" si="16"/>
        <v>2080</v>
      </c>
      <c r="N108" s="1">
        <f t="shared" si="17"/>
        <v>0</v>
      </c>
      <c r="U108" s="1" t="e">
        <f t="shared" si="18"/>
        <v>#N/A</v>
      </c>
      <c r="V108" s="1" t="e">
        <f t="shared" si="11"/>
        <v>#N/A</v>
      </c>
      <c r="W108" s="1" t="e">
        <f t="shared" si="19"/>
        <v>#N/A</v>
      </c>
      <c r="X108" s="8" t="e" cm="1">
        <f t="array" ref="X108">IF(U108="","", IFERROR(((IF(U$5&lt;&gt;"", U$5*M$5, 0) + SUMPRODUCT(--(U$6:U108&lt;&gt;""), U$6:U108, (M$6:M108-M$5:M107)))/1000)/T$3, ""))</f>
        <v>#N/A</v>
      </c>
    </row>
    <row r="109" spans="1:24" x14ac:dyDescent="0.25">
      <c r="A109" s="1">
        <f t="shared" si="12"/>
        <v>2100</v>
      </c>
      <c r="B109" s="1">
        <f t="shared" si="13"/>
        <v>0</v>
      </c>
      <c r="I109" s="1" t="e">
        <f t="shared" si="14"/>
        <v>#N/A</v>
      </c>
      <c r="J109" s="1" t="e">
        <f t="shared" si="10"/>
        <v>#N/A</v>
      </c>
      <c r="K109" s="1" t="e">
        <f t="shared" si="15"/>
        <v>#N/A</v>
      </c>
      <c r="L109" s="8" t="e" cm="1">
        <f t="array" ref="L109">IF(I109="","", IFERROR(((IF(I$5&lt;&gt;"", I$5*A$5, 0) + SUMPRODUCT(--(I$6:I109&lt;&gt;""), I$6:I109, (A$6:A109-A$5:A108)))/1000)/H$3, ""))</f>
        <v>#N/A</v>
      </c>
      <c r="M109" s="1">
        <f t="shared" si="16"/>
        <v>2100</v>
      </c>
      <c r="N109" s="1">
        <f t="shared" si="17"/>
        <v>0</v>
      </c>
      <c r="U109" s="1" t="e">
        <f t="shared" si="18"/>
        <v>#N/A</v>
      </c>
      <c r="V109" s="1" t="e">
        <f t="shared" si="11"/>
        <v>#N/A</v>
      </c>
      <c r="W109" s="1" t="e">
        <f t="shared" si="19"/>
        <v>#N/A</v>
      </c>
      <c r="X109" s="8" t="e" cm="1">
        <f t="array" ref="X109">IF(U109="","", IFERROR(((IF(U$5&lt;&gt;"", U$5*M$5, 0) + SUMPRODUCT(--(U$6:U109&lt;&gt;""), U$6:U109, (M$6:M109-M$5:M108)))/1000)/T$3, ""))</f>
        <v>#N/A</v>
      </c>
    </row>
    <row r="110" spans="1:24" x14ac:dyDescent="0.25">
      <c r="A110" s="1">
        <f t="shared" si="12"/>
        <v>2120</v>
      </c>
      <c r="B110" s="1">
        <f t="shared" si="13"/>
        <v>0</v>
      </c>
      <c r="I110" s="1" t="e">
        <f t="shared" si="14"/>
        <v>#N/A</v>
      </c>
      <c r="J110" s="1" t="e">
        <f t="shared" si="10"/>
        <v>#N/A</v>
      </c>
      <c r="K110" s="1" t="e">
        <f t="shared" si="15"/>
        <v>#N/A</v>
      </c>
      <c r="L110" s="8" t="e" cm="1">
        <f t="array" ref="L110">IF(I110="","", IFERROR(((IF(I$5&lt;&gt;"", I$5*A$5, 0) + SUMPRODUCT(--(I$6:I110&lt;&gt;""), I$6:I110, (A$6:A110-A$5:A109)))/1000)/H$3, ""))</f>
        <v>#N/A</v>
      </c>
      <c r="M110" s="1">
        <f t="shared" si="16"/>
        <v>2120</v>
      </c>
      <c r="N110" s="1">
        <f t="shared" si="17"/>
        <v>0</v>
      </c>
      <c r="U110" s="1" t="e">
        <f t="shared" si="18"/>
        <v>#N/A</v>
      </c>
      <c r="V110" s="1" t="e">
        <f t="shared" si="11"/>
        <v>#N/A</v>
      </c>
      <c r="W110" s="1" t="e">
        <f t="shared" si="19"/>
        <v>#N/A</v>
      </c>
      <c r="X110" s="8" t="e" cm="1">
        <f t="array" ref="X110">IF(U110="","", IFERROR(((IF(U$5&lt;&gt;"", U$5*M$5, 0) + SUMPRODUCT(--(U$6:U110&lt;&gt;""), U$6:U110, (M$6:M110-M$5:M109)))/1000)/T$3, ""))</f>
        <v>#N/A</v>
      </c>
    </row>
    <row r="111" spans="1:24" x14ac:dyDescent="0.25">
      <c r="A111" s="1">
        <f t="shared" si="12"/>
        <v>2140</v>
      </c>
      <c r="B111" s="1">
        <f t="shared" si="13"/>
        <v>0</v>
      </c>
      <c r="I111" s="1" t="e">
        <f t="shared" si="14"/>
        <v>#N/A</v>
      </c>
      <c r="J111" s="1" t="e">
        <f t="shared" si="10"/>
        <v>#N/A</v>
      </c>
      <c r="K111" s="1" t="e">
        <f t="shared" si="15"/>
        <v>#N/A</v>
      </c>
      <c r="L111" s="8" t="e" cm="1">
        <f t="array" ref="L111">IF(I111="","", IFERROR(((IF(I$5&lt;&gt;"", I$5*A$5, 0) + SUMPRODUCT(--(I$6:I111&lt;&gt;""), I$6:I111, (A$6:A111-A$5:A110)))/1000)/H$3, ""))</f>
        <v>#N/A</v>
      </c>
      <c r="M111" s="1">
        <f t="shared" si="16"/>
        <v>2140</v>
      </c>
      <c r="N111" s="1">
        <f t="shared" si="17"/>
        <v>0</v>
      </c>
      <c r="U111" s="1" t="e">
        <f t="shared" si="18"/>
        <v>#N/A</v>
      </c>
      <c r="V111" s="1" t="e">
        <f t="shared" si="11"/>
        <v>#N/A</v>
      </c>
      <c r="W111" s="1" t="e">
        <f t="shared" si="19"/>
        <v>#N/A</v>
      </c>
      <c r="X111" s="8" t="e" cm="1">
        <f t="array" ref="X111">IF(U111="","", IFERROR(((IF(U$5&lt;&gt;"", U$5*M$5, 0) + SUMPRODUCT(--(U$6:U111&lt;&gt;""), U$6:U111, (M$6:M111-M$5:M110)))/1000)/T$3, ""))</f>
        <v>#N/A</v>
      </c>
    </row>
    <row r="112" spans="1:24" x14ac:dyDescent="0.25">
      <c r="A112" s="1">
        <f t="shared" si="12"/>
        <v>2160</v>
      </c>
      <c r="B112" s="1">
        <f t="shared" si="13"/>
        <v>0</v>
      </c>
      <c r="I112" s="1" t="e">
        <f t="shared" si="14"/>
        <v>#N/A</v>
      </c>
      <c r="J112" s="1" t="e">
        <f t="shared" si="10"/>
        <v>#N/A</v>
      </c>
      <c r="K112" s="1" t="e">
        <f t="shared" si="15"/>
        <v>#N/A</v>
      </c>
      <c r="L112" s="8" t="e" cm="1">
        <f t="array" ref="L112">IF(I112="","", IFERROR(((IF(I$5&lt;&gt;"", I$5*A$5, 0) + SUMPRODUCT(--(I$6:I112&lt;&gt;""), I$6:I112, (A$6:A112-A$5:A111)))/1000)/H$3, ""))</f>
        <v>#N/A</v>
      </c>
      <c r="M112" s="1">
        <f t="shared" si="16"/>
        <v>2160</v>
      </c>
      <c r="N112" s="1">
        <f t="shared" si="17"/>
        <v>0</v>
      </c>
      <c r="U112" s="1" t="e">
        <f t="shared" si="18"/>
        <v>#N/A</v>
      </c>
      <c r="V112" s="1" t="e">
        <f t="shared" si="11"/>
        <v>#N/A</v>
      </c>
      <c r="W112" s="1" t="e">
        <f t="shared" si="19"/>
        <v>#N/A</v>
      </c>
      <c r="X112" s="8" t="e" cm="1">
        <f t="array" ref="X112">IF(U112="","", IFERROR(((IF(U$5&lt;&gt;"", U$5*M$5, 0) + SUMPRODUCT(--(U$6:U112&lt;&gt;""), U$6:U112, (M$6:M112-M$5:M111)))/1000)/T$3, ""))</f>
        <v>#N/A</v>
      </c>
    </row>
    <row r="113" spans="1:24" x14ac:dyDescent="0.25">
      <c r="A113" s="1">
        <f t="shared" si="12"/>
        <v>2180</v>
      </c>
      <c r="B113" s="1">
        <f t="shared" si="13"/>
        <v>0</v>
      </c>
      <c r="I113" s="1" t="e">
        <f t="shared" si="14"/>
        <v>#N/A</v>
      </c>
      <c r="J113" s="1" t="e">
        <f t="shared" si="10"/>
        <v>#N/A</v>
      </c>
      <c r="K113" s="1" t="e">
        <f t="shared" si="15"/>
        <v>#N/A</v>
      </c>
      <c r="L113" s="8" t="e" cm="1">
        <f t="array" ref="L113">IF(I113="","", IFERROR(((IF(I$5&lt;&gt;"", I$5*A$5, 0) + SUMPRODUCT(--(I$6:I113&lt;&gt;""), I$6:I113, (A$6:A113-A$5:A112)))/1000)/H$3, ""))</f>
        <v>#N/A</v>
      </c>
      <c r="M113" s="1">
        <f t="shared" si="16"/>
        <v>2180</v>
      </c>
      <c r="N113" s="1">
        <f t="shared" si="17"/>
        <v>0</v>
      </c>
      <c r="U113" s="1" t="e">
        <f t="shared" si="18"/>
        <v>#N/A</v>
      </c>
      <c r="V113" s="1" t="e">
        <f t="shared" si="11"/>
        <v>#N/A</v>
      </c>
      <c r="W113" s="1" t="e">
        <f t="shared" si="19"/>
        <v>#N/A</v>
      </c>
      <c r="X113" s="8" t="e" cm="1">
        <f t="array" ref="X113">IF(U113="","", IFERROR(((IF(U$5&lt;&gt;"", U$5*M$5, 0) + SUMPRODUCT(--(U$6:U113&lt;&gt;""), U$6:U113, (M$6:M113-M$5:M112)))/1000)/T$3, ""))</f>
        <v>#N/A</v>
      </c>
    </row>
    <row r="114" spans="1:24" x14ac:dyDescent="0.25">
      <c r="A114" s="1">
        <f t="shared" si="12"/>
        <v>2200</v>
      </c>
      <c r="B114" s="1">
        <f t="shared" si="13"/>
        <v>0</v>
      </c>
      <c r="I114" s="1" t="e">
        <f t="shared" si="14"/>
        <v>#N/A</v>
      </c>
      <c r="J114" s="1" t="e">
        <f t="shared" si="10"/>
        <v>#N/A</v>
      </c>
      <c r="K114" s="1" t="e">
        <f t="shared" si="15"/>
        <v>#N/A</v>
      </c>
      <c r="L114" s="8" t="e" cm="1">
        <f t="array" ref="L114">IF(I114="","", IFERROR(((IF(I$5&lt;&gt;"", I$5*A$5, 0) + SUMPRODUCT(--(I$6:I114&lt;&gt;""), I$6:I114, (A$6:A114-A$5:A113)))/1000)/H$3, ""))</f>
        <v>#N/A</v>
      </c>
      <c r="M114" s="1">
        <f t="shared" si="16"/>
        <v>2200</v>
      </c>
      <c r="N114" s="1">
        <f t="shared" si="17"/>
        <v>0</v>
      </c>
      <c r="U114" s="1" t="e">
        <f t="shared" si="18"/>
        <v>#N/A</v>
      </c>
      <c r="V114" s="1" t="e">
        <f t="shared" si="11"/>
        <v>#N/A</v>
      </c>
      <c r="W114" s="1" t="e">
        <f t="shared" si="19"/>
        <v>#N/A</v>
      </c>
      <c r="X114" s="8" t="e" cm="1">
        <f t="array" ref="X114">IF(U114="","", IFERROR(((IF(U$5&lt;&gt;"", U$5*M$5, 0) + SUMPRODUCT(--(U$6:U114&lt;&gt;""), U$6:U114, (M$6:M114-M$5:M113)))/1000)/T$3, ""))</f>
        <v>#N/A</v>
      </c>
    </row>
    <row r="115" spans="1:24" x14ac:dyDescent="0.25">
      <c r="A115" s="1">
        <f t="shared" si="12"/>
        <v>2220</v>
      </c>
      <c r="B115" s="1">
        <f t="shared" si="13"/>
        <v>0</v>
      </c>
      <c r="I115" s="1" t="e">
        <f t="shared" si="14"/>
        <v>#N/A</v>
      </c>
      <c r="J115" s="1" t="e">
        <f t="shared" si="10"/>
        <v>#N/A</v>
      </c>
      <c r="K115" s="1" t="e">
        <f t="shared" si="15"/>
        <v>#N/A</v>
      </c>
      <c r="L115" s="8" t="e" cm="1">
        <f t="array" ref="L115">IF(I115="","", IFERROR(((IF(I$5&lt;&gt;"", I$5*A$5, 0) + SUMPRODUCT(--(I$6:I115&lt;&gt;""), I$6:I115, (A$6:A115-A$5:A114)))/1000)/H$3, ""))</f>
        <v>#N/A</v>
      </c>
      <c r="M115" s="1">
        <f t="shared" si="16"/>
        <v>2220</v>
      </c>
      <c r="N115" s="1">
        <f t="shared" si="17"/>
        <v>0</v>
      </c>
      <c r="U115" s="1" t="e">
        <f t="shared" si="18"/>
        <v>#N/A</v>
      </c>
      <c r="V115" s="1" t="e">
        <f t="shared" si="11"/>
        <v>#N/A</v>
      </c>
      <c r="W115" s="1" t="e">
        <f t="shared" si="19"/>
        <v>#N/A</v>
      </c>
      <c r="X115" s="8" t="e" cm="1">
        <f t="array" ref="X115">IF(U115="","", IFERROR(((IF(U$5&lt;&gt;"", U$5*M$5, 0) + SUMPRODUCT(--(U$6:U115&lt;&gt;""), U$6:U115, (M$6:M115-M$5:M114)))/1000)/T$3, ""))</f>
        <v>#N/A</v>
      </c>
    </row>
  </sheetData>
  <conditionalFormatting sqref="I5:L115">
    <cfRule type="containsErrors" dxfId="155" priority="3">
      <formula>ISERROR(I5)</formula>
    </cfRule>
  </conditionalFormatting>
  <conditionalFormatting sqref="K6:K115">
    <cfRule type="cellIs" dxfId="154" priority="12" operator="between">
      <formula>0</formula>
      <formula>15</formula>
    </cfRule>
    <cfRule type="cellIs" dxfId="153" priority="13" operator="between">
      <formula>15</formula>
      <formula>25</formula>
    </cfRule>
    <cfRule type="cellIs" dxfId="152" priority="14" operator="between">
      <formula>25</formula>
      <formula>1000</formula>
    </cfRule>
  </conditionalFormatting>
  <conditionalFormatting sqref="L2:L3 X2:X3">
    <cfRule type="containsErrors" dxfId="151" priority="5">
      <formula>ISERROR(L2)</formula>
    </cfRule>
  </conditionalFormatting>
  <conditionalFormatting sqref="U5:X115">
    <cfRule type="containsErrors" dxfId="150" priority="1">
      <formula>ISERROR(U5)</formula>
    </cfRule>
  </conditionalFormatting>
  <conditionalFormatting sqref="W6:W115">
    <cfRule type="cellIs" dxfId="149" priority="9" operator="between">
      <formula>0</formula>
      <formula>15</formula>
    </cfRule>
    <cfRule type="cellIs" dxfId="148" priority="10" operator="between">
      <formula>15</formula>
      <formula>25</formula>
    </cfRule>
    <cfRule type="cellIs" dxfId="147" priority="11" operator="between">
      <formula>25</formula>
      <formula>1000</formula>
    </cfRule>
  </conditionalFormatting>
  <pageMargins left="0.7" right="0.7" top="0.75" bottom="0.75" header="0.3" footer="0.3"/>
  <ignoredErrors>
    <ignoredError sqref="A1:XFD1 A5:XFD1048576 Y4:XFD4 A3:XFD3 A2:B2 D2:N2 P2:XFD2" evalError="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C8D7-BAD7-4C04-9B65-F8E6F22F7611}">
  <dimension ref="A1:X115"/>
  <sheetViews>
    <sheetView zoomScale="85" zoomScaleNormal="85" workbookViewId="0">
      <selection sqref="A1:XFD4"/>
    </sheetView>
  </sheetViews>
  <sheetFormatPr defaultRowHeight="15" x14ac:dyDescent="0.25"/>
  <cols>
    <col min="1" max="1" width="11.710937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1.71093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16384" width="9.140625" style="1"/>
  </cols>
  <sheetData>
    <row r="1" spans="1:24" s="2" customFormat="1" ht="45" x14ac:dyDescent="0.25">
      <c r="A1" s="3" t="s">
        <v>56</v>
      </c>
      <c r="C1" s="4" t="s">
        <v>6</v>
      </c>
      <c r="E1" s="4" t="s">
        <v>43</v>
      </c>
      <c r="G1" s="4" t="s">
        <v>54</v>
      </c>
      <c r="H1" s="2" t="s">
        <v>53</v>
      </c>
      <c r="J1" s="4" t="s">
        <v>7</v>
      </c>
      <c r="L1" s="6" t="s">
        <v>20</v>
      </c>
      <c r="M1" s="3" t="s">
        <v>56</v>
      </c>
      <c r="O1" s="4" t="s">
        <v>6</v>
      </c>
      <c r="Q1" s="4" t="s">
        <v>43</v>
      </c>
      <c r="S1" s="4" t="s">
        <v>54</v>
      </c>
      <c r="T1" s="2" t="s">
        <v>53</v>
      </c>
      <c r="V1" s="4" t="s">
        <v>7</v>
      </c>
      <c r="X1" s="6" t="s">
        <v>20</v>
      </c>
    </row>
    <row r="2" spans="1:24"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48</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48</v>
      </c>
      <c r="U2" s="4" t="s">
        <v>9</v>
      </c>
      <c r="V2" s="4" t="s">
        <v>10</v>
      </c>
      <c r="X2" s="20" t="e">
        <f>IF(U5="","",AVERAGEIFS(U5:U115,U5:U115,"&lt;&gt;0",U5:U115,"&lt;&gt;"))</f>
        <v>#N/A</v>
      </c>
    </row>
    <row r="3" spans="1:24"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row>
    <row r="4" spans="1:24"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row>
    <row r="5" spans="1:24" x14ac:dyDescent="0.25">
      <c r="A5" s="1">
        <v>2</v>
      </c>
      <c r="B5" s="1">
        <v>0</v>
      </c>
      <c r="I5" s="1" t="e">
        <f>IF(C5="", NA(), (B5-C5)*1000/A5)</f>
        <v>#N/A</v>
      </c>
      <c r="J5" s="1" t="e">
        <f>IF(I5="","",I5/F$2/2.5)</f>
        <v>#N/A</v>
      </c>
      <c r="L5" s="8" t="e">
        <f>IF(I5="","", IFERROR(((IF(I$5&lt;&gt;"", I$5*A$5, 0))/1000)/H$3, ""))</f>
        <v>#N/A</v>
      </c>
      <c r="M5" s="1">
        <v>2</v>
      </c>
      <c r="U5" s="1" t="e">
        <f>IF(O5="", NA(), (N5-O5)*1000/M5)</f>
        <v>#N/A</v>
      </c>
      <c r="V5" s="1" t="e">
        <f>IF(U5="","",U5/R$2/2.5)</f>
        <v>#N/A</v>
      </c>
      <c r="X5" s="8" t="e">
        <f>IF(U5="","", IFERROR(((IF(U$5&lt;&gt;"", U$5*M$5, 0))/1000)/T$3, ""))</f>
        <v>#N/A</v>
      </c>
    </row>
    <row r="6" spans="1:24" x14ac:dyDescent="0.25">
      <c r="A6" s="1">
        <f>A5+2</f>
        <v>4</v>
      </c>
      <c r="B6" s="1">
        <f>C5</f>
        <v>0</v>
      </c>
      <c r="I6" s="1" t="e">
        <f>IF(C6="", NA(), (B6-C6)*1000/(A6-A5))</f>
        <v>#N/A</v>
      </c>
      <c r="J6" s="1" t="e">
        <f t="shared" ref="J6:J69" si="0">IF(I6="","",I6/F$2/2.5)</f>
        <v>#N/A</v>
      </c>
      <c r="K6" s="1" t="e">
        <f>IF(I6="","", 100*_xlfn.STDEV.P(I5:I6)/AVERAGE(I5:I6))</f>
        <v>#N/A</v>
      </c>
      <c r="L6" s="8" t="e" cm="1">
        <f t="array" ref="L6">IF(I6="","", IFERROR(((IF(I$5&lt;&gt;"", I$5*A$5, 0) + SUMPRODUCT(--(I$6:I6&lt;&gt;""), I$6:I6, (A$6:A6-A$5:A5)))/1000)/H$3, ""))</f>
        <v>#N/A</v>
      </c>
      <c r="M6" s="1">
        <f>M5+2</f>
        <v>4</v>
      </c>
      <c r="N6" s="1">
        <f>O5</f>
        <v>0</v>
      </c>
      <c r="U6" s="1" t="e">
        <f>IF(O6="", NA(), (N6-O6)*1000/(M6-M5))</f>
        <v>#N/A</v>
      </c>
      <c r="V6" s="1" t="e">
        <f t="shared" ref="V6:V69" si="1">IF(U6="","",U6/R$2/2.5)</f>
        <v>#N/A</v>
      </c>
      <c r="W6" s="1" t="e">
        <f>IF(U6="","", 100*_xlfn.STDEV.P(U5:U6)/AVERAGE(U5:U6))</f>
        <v>#N/A</v>
      </c>
      <c r="X6" s="8" t="e" cm="1">
        <f t="array" ref="X6">IF(U6="","", IFERROR(((IF(U$5&lt;&gt;"", U$5*M$5, 0) + SUMPRODUCT(--(U$6:U6&lt;&gt;""), U$6:U6, (M$6:M6-M$5:M5)))/1000)/T$3, ""))</f>
        <v>#N/A</v>
      </c>
    </row>
    <row r="7" spans="1:24" x14ac:dyDescent="0.25">
      <c r="A7" s="1">
        <f t="shared" ref="A7:A70" si="2">A6+2</f>
        <v>6</v>
      </c>
      <c r="B7" s="1">
        <f t="shared" ref="B7:B70" si="3">C6</f>
        <v>0</v>
      </c>
      <c r="I7" s="1" t="e">
        <f t="shared" ref="I7:I70" si="4">IF(C7="", NA(), (B7-C7)*1000/(A7-A6))</f>
        <v>#N/A</v>
      </c>
      <c r="J7" s="1" t="e">
        <f t="shared" si="0"/>
        <v>#N/A</v>
      </c>
      <c r="K7" s="1" t="e">
        <f t="shared" ref="K7:K70" si="5">IF(I7="","", 100*_xlfn.STDEV.P(I6:I7)/AVERAGE(I6:I7))</f>
        <v>#N/A</v>
      </c>
      <c r="L7" s="8" t="e" cm="1">
        <f t="array" ref="L7">IF(I7="","", IFERROR(((IF(I$5&lt;&gt;"", I$5*A$5, 0) + SUMPRODUCT(--(I$6:I7&lt;&gt;""), I$6:I7, (A$6:A7-A$5:A6)))/1000)/H$3, ""))</f>
        <v>#N/A</v>
      </c>
      <c r="M7" s="1">
        <f t="shared" ref="M7:M70" si="6">M6+2</f>
        <v>6</v>
      </c>
      <c r="N7" s="1">
        <f t="shared" ref="N7:N70" si="7">O6</f>
        <v>0</v>
      </c>
      <c r="U7" s="1" t="e">
        <f t="shared" ref="U7:U70" si="8">IF(O7="", NA(), (N7-O7)*1000/(M7-M6))</f>
        <v>#N/A</v>
      </c>
      <c r="V7" s="1" t="e">
        <f t="shared" si="1"/>
        <v>#N/A</v>
      </c>
      <c r="W7" s="1" t="e">
        <f t="shared" ref="W7:W70" si="9">IF(U7="","", 100*_xlfn.STDEV.P(U6:U7)/AVERAGE(U6:U7))</f>
        <v>#N/A</v>
      </c>
      <c r="X7" s="8" t="e" cm="1">
        <f t="array" ref="X7">IF(U7="","", IFERROR(((IF(U$5&lt;&gt;"", U$5*M$5, 0) + SUMPRODUCT(--(U$6:U7&lt;&gt;""), U$6:U7, (M$6:M7-M$5:M6)))/1000)/T$3, ""))</f>
        <v>#N/A</v>
      </c>
    </row>
    <row r="8" spans="1:24" x14ac:dyDescent="0.25">
      <c r="A8" s="1">
        <f t="shared" si="2"/>
        <v>8</v>
      </c>
      <c r="B8" s="1">
        <f t="shared" si="3"/>
        <v>0</v>
      </c>
      <c r="I8" s="1" t="e">
        <f t="shared" si="4"/>
        <v>#N/A</v>
      </c>
      <c r="J8" s="1" t="e">
        <f t="shared" si="0"/>
        <v>#N/A</v>
      </c>
      <c r="K8" s="1" t="e">
        <f t="shared" si="5"/>
        <v>#N/A</v>
      </c>
      <c r="L8" s="8" t="e" cm="1">
        <f t="array" ref="L8">IF(I8="","", IFERROR(((IF(I$5&lt;&gt;"", I$5*A$5, 0) + SUMPRODUCT(--(I$6:I8&lt;&gt;""), I$6:I8, (A$6:A8-A$5:A7)))/1000)/H$3, ""))</f>
        <v>#N/A</v>
      </c>
      <c r="M8" s="1">
        <f t="shared" si="6"/>
        <v>8</v>
      </c>
      <c r="N8" s="1">
        <f t="shared" si="7"/>
        <v>0</v>
      </c>
      <c r="U8" s="1" t="e">
        <f t="shared" si="8"/>
        <v>#N/A</v>
      </c>
      <c r="V8" s="1" t="e">
        <f t="shared" si="1"/>
        <v>#N/A</v>
      </c>
      <c r="W8" s="1" t="e">
        <f t="shared" si="9"/>
        <v>#N/A</v>
      </c>
      <c r="X8" s="8" t="e" cm="1">
        <f t="array" ref="X8">IF(U8="","", IFERROR(((IF(U$5&lt;&gt;"", U$5*M$5, 0) + SUMPRODUCT(--(U$6:U8&lt;&gt;""), U$6:U8, (M$6:M8-M$5:M7)))/1000)/T$3, ""))</f>
        <v>#N/A</v>
      </c>
    </row>
    <row r="9" spans="1:24" x14ac:dyDescent="0.25">
      <c r="A9" s="1">
        <f t="shared" si="2"/>
        <v>10</v>
      </c>
      <c r="B9" s="1">
        <f t="shared" si="3"/>
        <v>0</v>
      </c>
      <c r="I9" s="1" t="e">
        <f t="shared" si="4"/>
        <v>#N/A</v>
      </c>
      <c r="J9" s="1" t="e">
        <f t="shared" si="0"/>
        <v>#N/A</v>
      </c>
      <c r="K9" s="1" t="e">
        <f t="shared" si="5"/>
        <v>#N/A</v>
      </c>
      <c r="L9" s="8" t="e" cm="1">
        <f t="array" ref="L9">IF(I9="","", IFERROR(((IF(I$5&lt;&gt;"", I$5*A$5, 0) + SUMPRODUCT(--(I$6:I9&lt;&gt;""), I$6:I9, (A$6:A9-A$5:A8)))/1000)/H$3, ""))</f>
        <v>#N/A</v>
      </c>
      <c r="M9" s="1">
        <f t="shared" si="6"/>
        <v>10</v>
      </c>
      <c r="N9" s="1">
        <f t="shared" si="7"/>
        <v>0</v>
      </c>
      <c r="U9" s="1" t="e">
        <f t="shared" si="8"/>
        <v>#N/A</v>
      </c>
      <c r="V9" s="1" t="e">
        <f t="shared" si="1"/>
        <v>#N/A</v>
      </c>
      <c r="W9" s="1" t="e">
        <f t="shared" si="9"/>
        <v>#N/A</v>
      </c>
      <c r="X9" s="8" t="e" cm="1">
        <f t="array" ref="X9">IF(U9="","", IFERROR(((IF(U$5&lt;&gt;"", U$5*M$5, 0) + SUMPRODUCT(--(U$6:U9&lt;&gt;""), U$6:U9, (M$6:M9-M$5:M8)))/1000)/T$3, ""))</f>
        <v>#N/A</v>
      </c>
    </row>
    <row r="10" spans="1:24" x14ac:dyDescent="0.25">
      <c r="A10" s="1">
        <f t="shared" si="2"/>
        <v>12</v>
      </c>
      <c r="B10" s="1">
        <f t="shared" si="3"/>
        <v>0</v>
      </c>
      <c r="I10" s="1" t="e">
        <f t="shared" si="4"/>
        <v>#N/A</v>
      </c>
      <c r="J10" s="1" t="e">
        <f t="shared" si="0"/>
        <v>#N/A</v>
      </c>
      <c r="K10" s="1" t="e">
        <f t="shared" si="5"/>
        <v>#N/A</v>
      </c>
      <c r="L10" s="8" t="e" cm="1">
        <f t="array" ref="L10">IF(I10="","", IFERROR(((IF(I$5&lt;&gt;"", I$5*A$5, 0) + SUMPRODUCT(--(I$6:I10&lt;&gt;""), I$6:I10, (A$6:A10-A$5:A9)))/1000)/H$3, ""))</f>
        <v>#N/A</v>
      </c>
      <c r="M10" s="1">
        <f t="shared" si="6"/>
        <v>12</v>
      </c>
      <c r="N10" s="1">
        <f t="shared" si="7"/>
        <v>0</v>
      </c>
      <c r="U10" s="1" t="e">
        <f t="shared" si="8"/>
        <v>#N/A</v>
      </c>
      <c r="V10" s="1" t="e">
        <f t="shared" si="1"/>
        <v>#N/A</v>
      </c>
      <c r="W10" s="1" t="e">
        <f t="shared" si="9"/>
        <v>#N/A</v>
      </c>
      <c r="X10" s="8" t="e" cm="1">
        <f t="array" ref="X10">IF(U10="","", IFERROR(((IF(U$5&lt;&gt;"", U$5*M$5, 0) + SUMPRODUCT(--(U$6:U10&lt;&gt;""), U$6:U10, (M$6:M10-M$5:M9)))/1000)/T$3, ""))</f>
        <v>#N/A</v>
      </c>
    </row>
    <row r="11" spans="1:24" x14ac:dyDescent="0.25">
      <c r="A11" s="1">
        <f t="shared" si="2"/>
        <v>14</v>
      </c>
      <c r="B11" s="1">
        <f t="shared" si="3"/>
        <v>0</v>
      </c>
      <c r="I11" s="1" t="e">
        <f t="shared" si="4"/>
        <v>#N/A</v>
      </c>
      <c r="J11" s="1" t="e">
        <f t="shared" si="0"/>
        <v>#N/A</v>
      </c>
      <c r="K11" s="1" t="e">
        <f t="shared" si="5"/>
        <v>#N/A</v>
      </c>
      <c r="L11" s="8" t="e" cm="1">
        <f t="array" ref="L11">IF(I11="","", IFERROR(((IF(I$5&lt;&gt;"", I$5*A$5, 0) + SUMPRODUCT(--(I$6:I11&lt;&gt;""), I$6:I11, (A$6:A11-A$5:A10)))/1000)/H$3, ""))</f>
        <v>#N/A</v>
      </c>
      <c r="M11" s="1">
        <f t="shared" si="6"/>
        <v>14</v>
      </c>
      <c r="N11" s="1">
        <f t="shared" si="7"/>
        <v>0</v>
      </c>
      <c r="U11" s="1" t="e">
        <f t="shared" si="8"/>
        <v>#N/A</v>
      </c>
      <c r="V11" s="1" t="e">
        <f t="shared" si="1"/>
        <v>#N/A</v>
      </c>
      <c r="W11" s="1" t="e">
        <f t="shared" si="9"/>
        <v>#N/A</v>
      </c>
      <c r="X11" s="8" t="e" cm="1">
        <f t="array" ref="X11">IF(U11="","", IFERROR(((IF(U$5&lt;&gt;"", U$5*M$5, 0) + SUMPRODUCT(--(U$6:U11&lt;&gt;""), U$6:U11, (M$6:M11-M$5:M10)))/1000)/T$3, ""))</f>
        <v>#N/A</v>
      </c>
    </row>
    <row r="12" spans="1:24" x14ac:dyDescent="0.25">
      <c r="A12" s="1">
        <f t="shared" si="2"/>
        <v>16</v>
      </c>
      <c r="B12" s="1">
        <f t="shared" si="3"/>
        <v>0</v>
      </c>
      <c r="I12" s="1" t="e">
        <f t="shared" si="4"/>
        <v>#N/A</v>
      </c>
      <c r="J12" s="1" t="e">
        <f t="shared" si="0"/>
        <v>#N/A</v>
      </c>
      <c r="K12" s="1" t="e">
        <f t="shared" si="5"/>
        <v>#N/A</v>
      </c>
      <c r="L12" s="8" t="e" cm="1">
        <f t="array" ref="L12">IF(I12="","", IFERROR(((IF(I$5&lt;&gt;"", I$5*A$5, 0) + SUMPRODUCT(--(I$6:I12&lt;&gt;""), I$6:I12, (A$6:A12-A$5:A11)))/1000)/H$3, ""))</f>
        <v>#N/A</v>
      </c>
      <c r="M12" s="1">
        <f t="shared" si="6"/>
        <v>16</v>
      </c>
      <c r="N12" s="1">
        <f t="shared" si="7"/>
        <v>0</v>
      </c>
      <c r="U12" s="1" t="e">
        <f t="shared" si="8"/>
        <v>#N/A</v>
      </c>
      <c r="V12" s="1" t="e">
        <f t="shared" si="1"/>
        <v>#N/A</v>
      </c>
      <c r="W12" s="1" t="e">
        <f t="shared" si="9"/>
        <v>#N/A</v>
      </c>
      <c r="X12" s="8" t="e" cm="1">
        <f t="array" ref="X12">IF(U12="","", IFERROR(((IF(U$5&lt;&gt;"", U$5*M$5, 0) + SUMPRODUCT(--(U$6:U12&lt;&gt;""), U$6:U12, (M$6:M12-M$5:M11)))/1000)/T$3, ""))</f>
        <v>#N/A</v>
      </c>
    </row>
    <row r="13" spans="1:24" x14ac:dyDescent="0.25">
      <c r="A13" s="1">
        <f t="shared" si="2"/>
        <v>18</v>
      </c>
      <c r="B13" s="1">
        <f t="shared" si="3"/>
        <v>0</v>
      </c>
      <c r="I13" s="1" t="e">
        <f t="shared" si="4"/>
        <v>#N/A</v>
      </c>
      <c r="J13" s="1" t="e">
        <f t="shared" si="0"/>
        <v>#N/A</v>
      </c>
      <c r="K13" s="1" t="e">
        <f t="shared" si="5"/>
        <v>#N/A</v>
      </c>
      <c r="L13" s="8" t="e" cm="1">
        <f t="array" ref="L13">IF(I13="","", IFERROR(((IF(I$5&lt;&gt;"", I$5*A$5, 0) + SUMPRODUCT(--(I$6:I13&lt;&gt;""), I$6:I13, (A$6:A13-A$5:A12)))/1000)/H$3, ""))</f>
        <v>#N/A</v>
      </c>
      <c r="M13" s="1">
        <f t="shared" si="6"/>
        <v>18</v>
      </c>
      <c r="N13" s="1">
        <f t="shared" si="7"/>
        <v>0</v>
      </c>
      <c r="U13" s="1" t="e">
        <f t="shared" si="8"/>
        <v>#N/A</v>
      </c>
      <c r="V13" s="1" t="e">
        <f t="shared" si="1"/>
        <v>#N/A</v>
      </c>
      <c r="W13" s="1" t="e">
        <f t="shared" si="9"/>
        <v>#N/A</v>
      </c>
      <c r="X13" s="8" t="e" cm="1">
        <f t="array" ref="X13">IF(U13="","", IFERROR(((IF(U$5&lt;&gt;"", U$5*M$5, 0) + SUMPRODUCT(--(U$6:U13&lt;&gt;""), U$6:U13, (M$6:M13-M$5:M12)))/1000)/T$3, ""))</f>
        <v>#N/A</v>
      </c>
    </row>
    <row r="14" spans="1:24" x14ac:dyDescent="0.25">
      <c r="A14" s="1">
        <f t="shared" si="2"/>
        <v>20</v>
      </c>
      <c r="B14" s="1">
        <f t="shared" si="3"/>
        <v>0</v>
      </c>
      <c r="I14" s="1" t="e">
        <f t="shared" si="4"/>
        <v>#N/A</v>
      </c>
      <c r="J14" s="1" t="e">
        <f t="shared" si="0"/>
        <v>#N/A</v>
      </c>
      <c r="K14" s="1" t="e">
        <f t="shared" si="5"/>
        <v>#N/A</v>
      </c>
      <c r="L14" s="8" t="e" cm="1">
        <f t="array" ref="L14">IF(I14="","", IFERROR(((IF(I$5&lt;&gt;"", I$5*A$5, 0) + SUMPRODUCT(--(I$6:I14&lt;&gt;""), I$6:I14, (A$6:A14-A$5:A13)))/1000)/H$3, ""))</f>
        <v>#N/A</v>
      </c>
      <c r="M14" s="1">
        <f t="shared" si="6"/>
        <v>20</v>
      </c>
      <c r="N14" s="1">
        <f t="shared" si="7"/>
        <v>0</v>
      </c>
      <c r="U14" s="1" t="e">
        <f t="shared" si="8"/>
        <v>#N/A</v>
      </c>
      <c r="V14" s="1" t="e">
        <f t="shared" si="1"/>
        <v>#N/A</v>
      </c>
      <c r="W14" s="1" t="e">
        <f t="shared" si="9"/>
        <v>#N/A</v>
      </c>
      <c r="X14" s="8" t="e" cm="1">
        <f t="array" ref="X14">IF(U14="","", IFERROR(((IF(U$5&lt;&gt;"", U$5*M$5, 0) + SUMPRODUCT(--(U$6:U14&lt;&gt;""), U$6:U14, (M$6:M14-M$5:M13)))/1000)/T$3, ""))</f>
        <v>#N/A</v>
      </c>
    </row>
    <row r="15" spans="1:24" x14ac:dyDescent="0.25">
      <c r="A15" s="1">
        <f t="shared" si="2"/>
        <v>22</v>
      </c>
      <c r="B15" s="1">
        <f t="shared" si="3"/>
        <v>0</v>
      </c>
      <c r="I15" s="1" t="e">
        <f t="shared" si="4"/>
        <v>#N/A</v>
      </c>
      <c r="J15" s="1" t="e">
        <f t="shared" si="0"/>
        <v>#N/A</v>
      </c>
      <c r="K15" s="1" t="e">
        <f t="shared" si="5"/>
        <v>#N/A</v>
      </c>
      <c r="L15" s="8" t="e" cm="1">
        <f t="array" ref="L15">IF(I15="","", IFERROR(((IF(I$5&lt;&gt;"", I$5*A$5, 0) + SUMPRODUCT(--(I$6:I15&lt;&gt;""), I$6:I15, (A$6:A15-A$5:A14)))/1000)/H$3, ""))</f>
        <v>#N/A</v>
      </c>
      <c r="M15" s="1">
        <f t="shared" si="6"/>
        <v>22</v>
      </c>
      <c r="N15" s="1">
        <f t="shared" si="7"/>
        <v>0</v>
      </c>
      <c r="U15" s="1" t="e">
        <f t="shared" si="8"/>
        <v>#N/A</v>
      </c>
      <c r="V15" s="1" t="e">
        <f t="shared" si="1"/>
        <v>#N/A</v>
      </c>
      <c r="W15" s="1" t="e">
        <f t="shared" si="9"/>
        <v>#N/A</v>
      </c>
      <c r="X15" s="8" t="e" cm="1">
        <f t="array" ref="X15">IF(U15="","", IFERROR(((IF(U$5&lt;&gt;"", U$5*M$5, 0) + SUMPRODUCT(--(U$6:U15&lt;&gt;""), U$6:U15, (M$6:M15-M$5:M14)))/1000)/T$3, ""))</f>
        <v>#N/A</v>
      </c>
    </row>
    <row r="16" spans="1:24" x14ac:dyDescent="0.25">
      <c r="A16" s="1">
        <f t="shared" si="2"/>
        <v>24</v>
      </c>
      <c r="B16" s="1">
        <f t="shared" si="3"/>
        <v>0</v>
      </c>
      <c r="I16" s="1" t="e">
        <f t="shared" si="4"/>
        <v>#N/A</v>
      </c>
      <c r="J16" s="1" t="e">
        <f t="shared" si="0"/>
        <v>#N/A</v>
      </c>
      <c r="K16" s="1" t="e">
        <f t="shared" si="5"/>
        <v>#N/A</v>
      </c>
      <c r="L16" s="8" t="e" cm="1">
        <f t="array" ref="L16">IF(I16="","", IFERROR(((IF(I$5&lt;&gt;"", I$5*A$5, 0) + SUMPRODUCT(--(I$6:I16&lt;&gt;""), I$6:I16, (A$6:A16-A$5:A15)))/1000)/H$3, ""))</f>
        <v>#N/A</v>
      </c>
      <c r="M16" s="1">
        <f t="shared" si="6"/>
        <v>24</v>
      </c>
      <c r="N16" s="1">
        <f t="shared" si="7"/>
        <v>0</v>
      </c>
      <c r="U16" s="1" t="e">
        <f t="shared" si="8"/>
        <v>#N/A</v>
      </c>
      <c r="V16" s="1" t="e">
        <f t="shared" si="1"/>
        <v>#N/A</v>
      </c>
      <c r="W16" s="1" t="e">
        <f t="shared" si="9"/>
        <v>#N/A</v>
      </c>
      <c r="X16" s="8" t="e" cm="1">
        <f t="array" ref="X16">IF(U16="","", IFERROR(((IF(U$5&lt;&gt;"", U$5*M$5, 0) + SUMPRODUCT(--(U$6:U16&lt;&gt;""), U$6:U16, (M$6:M16-M$5:M15)))/1000)/T$3, ""))</f>
        <v>#N/A</v>
      </c>
    </row>
    <row r="17" spans="1:24" x14ac:dyDescent="0.25">
      <c r="A17" s="1">
        <f t="shared" si="2"/>
        <v>26</v>
      </c>
      <c r="B17" s="1">
        <f t="shared" si="3"/>
        <v>0</v>
      </c>
      <c r="I17" s="1" t="e">
        <f t="shared" si="4"/>
        <v>#N/A</v>
      </c>
      <c r="J17" s="1" t="e">
        <f t="shared" si="0"/>
        <v>#N/A</v>
      </c>
      <c r="K17" s="1" t="e">
        <f t="shared" si="5"/>
        <v>#N/A</v>
      </c>
      <c r="L17" s="8" t="e" cm="1">
        <f t="array" ref="L17">IF(I17="","", IFERROR(((IF(I$5&lt;&gt;"", I$5*A$5, 0) + SUMPRODUCT(--(I$6:I17&lt;&gt;""), I$6:I17, (A$6:A17-A$5:A16)))/1000)/H$3, ""))</f>
        <v>#N/A</v>
      </c>
      <c r="M17" s="1">
        <f t="shared" si="6"/>
        <v>26</v>
      </c>
      <c r="N17" s="1">
        <f t="shared" si="7"/>
        <v>0</v>
      </c>
      <c r="U17" s="1" t="e">
        <f t="shared" si="8"/>
        <v>#N/A</v>
      </c>
      <c r="V17" s="1" t="e">
        <f t="shared" si="1"/>
        <v>#N/A</v>
      </c>
      <c r="W17" s="1" t="e">
        <f t="shared" si="9"/>
        <v>#N/A</v>
      </c>
      <c r="X17" s="8" t="e" cm="1">
        <f t="array" ref="X17">IF(U17="","", IFERROR(((IF(U$5&lt;&gt;"", U$5*M$5, 0) + SUMPRODUCT(--(U$6:U17&lt;&gt;""), U$6:U17, (M$6:M17-M$5:M16)))/1000)/T$3, ""))</f>
        <v>#N/A</v>
      </c>
    </row>
    <row r="18" spans="1:24" x14ac:dyDescent="0.25">
      <c r="A18" s="1">
        <f t="shared" si="2"/>
        <v>28</v>
      </c>
      <c r="B18" s="1">
        <f t="shared" si="3"/>
        <v>0</v>
      </c>
      <c r="I18" s="1" t="e">
        <f t="shared" si="4"/>
        <v>#N/A</v>
      </c>
      <c r="J18" s="1" t="e">
        <f t="shared" si="0"/>
        <v>#N/A</v>
      </c>
      <c r="K18" s="1" t="e">
        <f t="shared" si="5"/>
        <v>#N/A</v>
      </c>
      <c r="L18" s="8" t="e" cm="1">
        <f t="array" ref="L18">IF(I18="","", IFERROR(((IF(I$5&lt;&gt;"", I$5*A$5, 0) + SUMPRODUCT(--(I$6:I18&lt;&gt;""), I$6:I18, (A$6:A18-A$5:A17)))/1000)/H$3, ""))</f>
        <v>#N/A</v>
      </c>
      <c r="M18" s="1">
        <f t="shared" si="6"/>
        <v>28</v>
      </c>
      <c r="N18" s="1">
        <f t="shared" si="7"/>
        <v>0</v>
      </c>
      <c r="U18" s="1" t="e">
        <f t="shared" si="8"/>
        <v>#N/A</v>
      </c>
      <c r="V18" s="1" t="e">
        <f t="shared" si="1"/>
        <v>#N/A</v>
      </c>
      <c r="W18" s="1" t="e">
        <f t="shared" si="9"/>
        <v>#N/A</v>
      </c>
      <c r="X18" s="8" t="e" cm="1">
        <f t="array" ref="X18">IF(U18="","", IFERROR(((IF(U$5&lt;&gt;"", U$5*M$5, 0) + SUMPRODUCT(--(U$6:U18&lt;&gt;""), U$6:U18, (M$6:M18-M$5:M17)))/1000)/T$3, ""))</f>
        <v>#N/A</v>
      </c>
    </row>
    <row r="19" spans="1:24" x14ac:dyDescent="0.25">
      <c r="A19" s="1">
        <f t="shared" si="2"/>
        <v>30</v>
      </c>
      <c r="B19" s="1">
        <f t="shared" si="3"/>
        <v>0</v>
      </c>
      <c r="I19" s="1" t="e">
        <f t="shared" si="4"/>
        <v>#N/A</v>
      </c>
      <c r="J19" s="1" t="e">
        <f t="shared" si="0"/>
        <v>#N/A</v>
      </c>
      <c r="K19" s="1" t="e">
        <f t="shared" si="5"/>
        <v>#N/A</v>
      </c>
      <c r="L19" s="8" t="e" cm="1">
        <f t="array" ref="L19">IF(I19="","", IFERROR(((IF(I$5&lt;&gt;"", I$5*A$5, 0) + SUMPRODUCT(--(I$6:I19&lt;&gt;""), I$6:I19, (A$6:A19-A$5:A18)))/1000)/H$3, ""))</f>
        <v>#N/A</v>
      </c>
      <c r="M19" s="1">
        <f t="shared" si="6"/>
        <v>30</v>
      </c>
      <c r="N19" s="1">
        <f t="shared" si="7"/>
        <v>0</v>
      </c>
      <c r="U19" s="1" t="e">
        <f t="shared" si="8"/>
        <v>#N/A</v>
      </c>
      <c r="V19" s="1" t="e">
        <f t="shared" si="1"/>
        <v>#N/A</v>
      </c>
      <c r="W19" s="1" t="e">
        <f t="shared" si="9"/>
        <v>#N/A</v>
      </c>
      <c r="X19" s="8" t="e" cm="1">
        <f t="array" ref="X19">IF(U19="","", IFERROR(((IF(U$5&lt;&gt;"", U$5*M$5, 0) + SUMPRODUCT(--(U$6:U19&lt;&gt;""), U$6:U19, (M$6:M19-M$5:M18)))/1000)/T$3, ""))</f>
        <v>#N/A</v>
      </c>
    </row>
    <row r="20" spans="1:24" x14ac:dyDescent="0.25">
      <c r="A20" s="1">
        <f t="shared" si="2"/>
        <v>32</v>
      </c>
      <c r="B20" s="1">
        <f t="shared" si="3"/>
        <v>0</v>
      </c>
      <c r="I20" s="1" t="e">
        <f t="shared" si="4"/>
        <v>#N/A</v>
      </c>
      <c r="J20" s="1" t="e">
        <f t="shared" si="0"/>
        <v>#N/A</v>
      </c>
      <c r="K20" s="1" t="e">
        <f t="shared" si="5"/>
        <v>#N/A</v>
      </c>
      <c r="L20" s="8" t="e" cm="1">
        <f t="array" ref="L20">IF(I20="","", IFERROR(((IF(I$5&lt;&gt;"", I$5*A$5, 0) + SUMPRODUCT(--(I$6:I20&lt;&gt;""), I$6:I20, (A$6:A20-A$5:A19)))/1000)/H$3, ""))</f>
        <v>#N/A</v>
      </c>
      <c r="M20" s="1">
        <f t="shared" si="6"/>
        <v>32</v>
      </c>
      <c r="N20" s="1">
        <f t="shared" si="7"/>
        <v>0</v>
      </c>
      <c r="U20" s="1" t="e">
        <f t="shared" si="8"/>
        <v>#N/A</v>
      </c>
      <c r="V20" s="1" t="e">
        <f t="shared" si="1"/>
        <v>#N/A</v>
      </c>
      <c r="W20" s="1" t="e">
        <f t="shared" si="9"/>
        <v>#N/A</v>
      </c>
      <c r="X20" s="8" t="e" cm="1">
        <f t="array" ref="X20">IF(U20="","", IFERROR(((IF(U$5&lt;&gt;"", U$5*M$5, 0) + SUMPRODUCT(--(U$6:U20&lt;&gt;""), U$6:U20, (M$6:M20-M$5:M19)))/1000)/T$3, ""))</f>
        <v>#N/A</v>
      </c>
    </row>
    <row r="21" spans="1:24" x14ac:dyDescent="0.25">
      <c r="A21" s="1">
        <f t="shared" si="2"/>
        <v>34</v>
      </c>
      <c r="B21" s="1">
        <f t="shared" si="3"/>
        <v>0</v>
      </c>
      <c r="I21" s="1" t="e">
        <f t="shared" si="4"/>
        <v>#N/A</v>
      </c>
      <c r="J21" s="1" t="e">
        <f t="shared" si="0"/>
        <v>#N/A</v>
      </c>
      <c r="K21" s="1" t="e">
        <f t="shared" si="5"/>
        <v>#N/A</v>
      </c>
      <c r="L21" s="8" t="e" cm="1">
        <f t="array" ref="L21">IF(I21="","", IFERROR(((IF(I$5&lt;&gt;"", I$5*A$5, 0) + SUMPRODUCT(--(I$6:I21&lt;&gt;""), I$6:I21, (A$6:A21-A$5:A20)))/1000)/H$3, ""))</f>
        <v>#N/A</v>
      </c>
      <c r="M21" s="1">
        <f t="shared" si="6"/>
        <v>34</v>
      </c>
      <c r="N21" s="1">
        <f t="shared" si="7"/>
        <v>0</v>
      </c>
      <c r="U21" s="1" t="e">
        <f t="shared" si="8"/>
        <v>#N/A</v>
      </c>
      <c r="V21" s="1" t="e">
        <f t="shared" si="1"/>
        <v>#N/A</v>
      </c>
      <c r="W21" s="1" t="e">
        <f t="shared" si="9"/>
        <v>#N/A</v>
      </c>
      <c r="X21" s="8" t="e" cm="1">
        <f t="array" ref="X21">IF(U21="","", IFERROR(((IF(U$5&lt;&gt;"", U$5*M$5, 0) + SUMPRODUCT(--(U$6:U21&lt;&gt;""), U$6:U21, (M$6:M21-M$5:M20)))/1000)/T$3, ""))</f>
        <v>#N/A</v>
      </c>
    </row>
    <row r="22" spans="1:24" x14ac:dyDescent="0.25">
      <c r="A22" s="1">
        <f t="shared" si="2"/>
        <v>36</v>
      </c>
      <c r="B22" s="1">
        <f t="shared" si="3"/>
        <v>0</v>
      </c>
      <c r="I22" s="1" t="e">
        <f t="shared" si="4"/>
        <v>#N/A</v>
      </c>
      <c r="J22" s="1" t="e">
        <f t="shared" si="0"/>
        <v>#N/A</v>
      </c>
      <c r="K22" s="1" t="e">
        <f t="shared" si="5"/>
        <v>#N/A</v>
      </c>
      <c r="L22" s="8" t="e" cm="1">
        <f t="array" ref="L22">IF(I22="","", IFERROR(((IF(I$5&lt;&gt;"", I$5*A$5, 0) + SUMPRODUCT(--(I$6:I22&lt;&gt;""), I$6:I22, (A$6:A22-A$5:A21)))/1000)/H$3, ""))</f>
        <v>#N/A</v>
      </c>
      <c r="M22" s="1">
        <f t="shared" si="6"/>
        <v>36</v>
      </c>
      <c r="N22" s="1">
        <f t="shared" si="7"/>
        <v>0</v>
      </c>
      <c r="U22" s="1" t="e">
        <f t="shared" si="8"/>
        <v>#N/A</v>
      </c>
      <c r="V22" s="1" t="e">
        <f t="shared" si="1"/>
        <v>#N/A</v>
      </c>
      <c r="W22" s="1" t="e">
        <f t="shared" si="9"/>
        <v>#N/A</v>
      </c>
      <c r="X22" s="8" t="e" cm="1">
        <f t="array" ref="X22">IF(U22="","", IFERROR(((IF(U$5&lt;&gt;"", U$5*M$5, 0) + SUMPRODUCT(--(U$6:U22&lt;&gt;""), U$6:U22, (M$6:M22-M$5:M21)))/1000)/T$3, ""))</f>
        <v>#N/A</v>
      </c>
    </row>
    <row r="23" spans="1:24" x14ac:dyDescent="0.25">
      <c r="A23" s="1">
        <f t="shared" si="2"/>
        <v>38</v>
      </c>
      <c r="B23" s="1">
        <f t="shared" si="3"/>
        <v>0</v>
      </c>
      <c r="I23" s="1" t="e">
        <f t="shared" si="4"/>
        <v>#N/A</v>
      </c>
      <c r="J23" s="1" t="e">
        <f t="shared" si="0"/>
        <v>#N/A</v>
      </c>
      <c r="K23" s="1" t="e">
        <f t="shared" si="5"/>
        <v>#N/A</v>
      </c>
      <c r="L23" s="8" t="e" cm="1">
        <f t="array" ref="L23">IF(I23="","", IFERROR(((IF(I$5&lt;&gt;"", I$5*A$5, 0) + SUMPRODUCT(--(I$6:I23&lt;&gt;""), I$6:I23, (A$6:A23-A$5:A22)))/1000)/H$3, ""))</f>
        <v>#N/A</v>
      </c>
      <c r="M23" s="1">
        <f t="shared" si="6"/>
        <v>38</v>
      </c>
      <c r="N23" s="1">
        <f t="shared" si="7"/>
        <v>0</v>
      </c>
      <c r="U23" s="1" t="e">
        <f t="shared" si="8"/>
        <v>#N/A</v>
      </c>
      <c r="V23" s="1" t="e">
        <f t="shared" si="1"/>
        <v>#N/A</v>
      </c>
      <c r="W23" s="1" t="e">
        <f t="shared" si="9"/>
        <v>#N/A</v>
      </c>
      <c r="X23" s="8" t="e" cm="1">
        <f t="array" ref="X23">IF(U23="","", IFERROR(((IF(U$5&lt;&gt;"", U$5*M$5, 0) + SUMPRODUCT(--(U$6:U23&lt;&gt;""), U$6:U23, (M$6:M23-M$5:M22)))/1000)/T$3, ""))</f>
        <v>#N/A</v>
      </c>
    </row>
    <row r="24" spans="1:24" x14ac:dyDescent="0.25">
      <c r="A24" s="1">
        <f t="shared" si="2"/>
        <v>40</v>
      </c>
      <c r="B24" s="1">
        <f t="shared" si="3"/>
        <v>0</v>
      </c>
      <c r="I24" s="1" t="e">
        <f t="shared" si="4"/>
        <v>#N/A</v>
      </c>
      <c r="J24" s="1" t="e">
        <f t="shared" si="0"/>
        <v>#N/A</v>
      </c>
      <c r="K24" s="1" t="e">
        <f t="shared" si="5"/>
        <v>#N/A</v>
      </c>
      <c r="L24" s="8" t="e" cm="1">
        <f t="array" ref="L24">IF(I24="","", IFERROR(((IF(I$5&lt;&gt;"", I$5*A$5, 0) + SUMPRODUCT(--(I$6:I24&lt;&gt;""), I$6:I24, (A$6:A24-A$5:A23)))/1000)/H$3, ""))</f>
        <v>#N/A</v>
      </c>
      <c r="M24" s="1">
        <f t="shared" si="6"/>
        <v>40</v>
      </c>
      <c r="N24" s="1">
        <f t="shared" si="7"/>
        <v>0</v>
      </c>
      <c r="U24" s="1" t="e">
        <f t="shared" si="8"/>
        <v>#N/A</v>
      </c>
      <c r="V24" s="1" t="e">
        <f t="shared" si="1"/>
        <v>#N/A</v>
      </c>
      <c r="W24" s="1" t="e">
        <f t="shared" si="9"/>
        <v>#N/A</v>
      </c>
      <c r="X24" s="8" t="e" cm="1">
        <f t="array" ref="X24">IF(U24="","", IFERROR(((IF(U$5&lt;&gt;"", U$5*M$5, 0) + SUMPRODUCT(--(U$6:U24&lt;&gt;""), U$6:U24, (M$6:M24-M$5:M23)))/1000)/T$3, ""))</f>
        <v>#N/A</v>
      </c>
    </row>
    <row r="25" spans="1:24" x14ac:dyDescent="0.25">
      <c r="A25" s="1">
        <f t="shared" si="2"/>
        <v>42</v>
      </c>
      <c r="B25" s="1">
        <f t="shared" si="3"/>
        <v>0</v>
      </c>
      <c r="I25" s="1" t="e">
        <f t="shared" si="4"/>
        <v>#N/A</v>
      </c>
      <c r="J25" s="1" t="e">
        <f t="shared" si="0"/>
        <v>#N/A</v>
      </c>
      <c r="K25" s="1" t="e">
        <f t="shared" si="5"/>
        <v>#N/A</v>
      </c>
      <c r="L25" s="8" t="e" cm="1">
        <f t="array" ref="L25">IF(I25="","", IFERROR(((IF(I$5&lt;&gt;"", I$5*A$5, 0) + SUMPRODUCT(--(I$6:I25&lt;&gt;""), I$6:I25, (A$6:A25-A$5:A24)))/1000)/H$3, ""))</f>
        <v>#N/A</v>
      </c>
      <c r="M25" s="1">
        <f t="shared" si="6"/>
        <v>42</v>
      </c>
      <c r="N25" s="1">
        <f t="shared" si="7"/>
        <v>0</v>
      </c>
      <c r="U25" s="1" t="e">
        <f t="shared" si="8"/>
        <v>#N/A</v>
      </c>
      <c r="V25" s="1" t="e">
        <f t="shared" si="1"/>
        <v>#N/A</v>
      </c>
      <c r="W25" s="1" t="e">
        <f t="shared" si="9"/>
        <v>#N/A</v>
      </c>
      <c r="X25" s="8" t="e" cm="1">
        <f t="array" ref="X25">IF(U25="","", IFERROR(((IF(U$5&lt;&gt;"", U$5*M$5, 0) + SUMPRODUCT(--(U$6:U25&lt;&gt;""), U$6:U25, (M$6:M25-M$5:M24)))/1000)/T$3, ""))</f>
        <v>#N/A</v>
      </c>
    </row>
    <row r="26" spans="1:24" x14ac:dyDescent="0.25">
      <c r="A26" s="1">
        <f t="shared" si="2"/>
        <v>44</v>
      </c>
      <c r="B26" s="1">
        <f t="shared" si="3"/>
        <v>0</v>
      </c>
      <c r="I26" s="1" t="e">
        <f t="shared" si="4"/>
        <v>#N/A</v>
      </c>
      <c r="J26" s="1" t="e">
        <f t="shared" si="0"/>
        <v>#N/A</v>
      </c>
      <c r="K26" s="1" t="e">
        <f t="shared" si="5"/>
        <v>#N/A</v>
      </c>
      <c r="L26" s="8" t="e" cm="1">
        <f t="array" ref="L26">IF(I26="","", IFERROR(((IF(I$5&lt;&gt;"", I$5*A$5, 0) + SUMPRODUCT(--(I$6:I26&lt;&gt;""), I$6:I26, (A$6:A26-A$5:A25)))/1000)/H$3, ""))</f>
        <v>#N/A</v>
      </c>
      <c r="M26" s="1">
        <f t="shared" si="6"/>
        <v>44</v>
      </c>
      <c r="N26" s="1">
        <f t="shared" si="7"/>
        <v>0</v>
      </c>
      <c r="U26" s="1" t="e">
        <f t="shared" si="8"/>
        <v>#N/A</v>
      </c>
      <c r="V26" s="1" t="e">
        <f t="shared" si="1"/>
        <v>#N/A</v>
      </c>
      <c r="W26" s="1" t="e">
        <f t="shared" si="9"/>
        <v>#N/A</v>
      </c>
      <c r="X26" s="8" t="e" cm="1">
        <f t="array" ref="X26">IF(U26="","", IFERROR(((IF(U$5&lt;&gt;"", U$5*M$5, 0) + SUMPRODUCT(--(U$6:U26&lt;&gt;""), U$6:U26, (M$6:M26-M$5:M25)))/1000)/T$3, ""))</f>
        <v>#N/A</v>
      </c>
    </row>
    <row r="27" spans="1:24" x14ac:dyDescent="0.25">
      <c r="A27" s="1">
        <f t="shared" si="2"/>
        <v>46</v>
      </c>
      <c r="B27" s="1">
        <f t="shared" si="3"/>
        <v>0</v>
      </c>
      <c r="I27" s="1" t="e">
        <f t="shared" si="4"/>
        <v>#N/A</v>
      </c>
      <c r="J27" s="1" t="e">
        <f t="shared" si="0"/>
        <v>#N/A</v>
      </c>
      <c r="K27" s="1" t="e">
        <f t="shared" si="5"/>
        <v>#N/A</v>
      </c>
      <c r="L27" s="8" t="e" cm="1">
        <f t="array" ref="L27">IF(I27="","", IFERROR(((IF(I$5&lt;&gt;"", I$5*A$5, 0) + SUMPRODUCT(--(I$6:I27&lt;&gt;""), I$6:I27, (A$6:A27-A$5:A26)))/1000)/H$3, ""))</f>
        <v>#N/A</v>
      </c>
      <c r="M27" s="1">
        <f t="shared" si="6"/>
        <v>46</v>
      </c>
      <c r="N27" s="1">
        <f t="shared" si="7"/>
        <v>0</v>
      </c>
      <c r="U27" s="1" t="e">
        <f t="shared" si="8"/>
        <v>#N/A</v>
      </c>
      <c r="V27" s="1" t="e">
        <f t="shared" si="1"/>
        <v>#N/A</v>
      </c>
      <c r="W27" s="1" t="e">
        <f t="shared" si="9"/>
        <v>#N/A</v>
      </c>
      <c r="X27" s="8" t="e" cm="1">
        <f t="array" ref="X27">IF(U27="","", IFERROR(((IF(U$5&lt;&gt;"", U$5*M$5, 0) + SUMPRODUCT(--(U$6:U27&lt;&gt;""), U$6:U27, (M$6:M27-M$5:M26)))/1000)/T$3, ""))</f>
        <v>#N/A</v>
      </c>
    </row>
    <row r="28" spans="1:24" x14ac:dyDescent="0.25">
      <c r="A28" s="1">
        <f t="shared" si="2"/>
        <v>48</v>
      </c>
      <c r="B28" s="1">
        <f t="shared" si="3"/>
        <v>0</v>
      </c>
      <c r="I28" s="1" t="e">
        <f t="shared" si="4"/>
        <v>#N/A</v>
      </c>
      <c r="J28" s="1" t="e">
        <f t="shared" si="0"/>
        <v>#N/A</v>
      </c>
      <c r="K28" s="1" t="e">
        <f t="shared" si="5"/>
        <v>#N/A</v>
      </c>
      <c r="L28" s="8" t="e" cm="1">
        <f t="array" ref="L28">IF(I28="","", IFERROR(((IF(I$5&lt;&gt;"", I$5*A$5, 0) + SUMPRODUCT(--(I$6:I28&lt;&gt;""), I$6:I28, (A$6:A28-A$5:A27)))/1000)/H$3, ""))</f>
        <v>#N/A</v>
      </c>
      <c r="M28" s="1">
        <f t="shared" si="6"/>
        <v>48</v>
      </c>
      <c r="N28" s="1">
        <f t="shared" si="7"/>
        <v>0</v>
      </c>
      <c r="U28" s="1" t="e">
        <f t="shared" si="8"/>
        <v>#N/A</v>
      </c>
      <c r="V28" s="1" t="e">
        <f t="shared" si="1"/>
        <v>#N/A</v>
      </c>
      <c r="W28" s="1" t="e">
        <f t="shared" si="9"/>
        <v>#N/A</v>
      </c>
      <c r="X28" s="8" t="e" cm="1">
        <f t="array" ref="X28">IF(U28="","", IFERROR(((IF(U$5&lt;&gt;"", U$5*M$5, 0) + SUMPRODUCT(--(U$6:U28&lt;&gt;""), U$6:U28, (M$6:M28-M$5:M27)))/1000)/T$3, ""))</f>
        <v>#N/A</v>
      </c>
    </row>
    <row r="29" spans="1:24" x14ac:dyDescent="0.25">
      <c r="A29" s="1">
        <f t="shared" si="2"/>
        <v>50</v>
      </c>
      <c r="B29" s="1">
        <f t="shared" si="3"/>
        <v>0</v>
      </c>
      <c r="F29" s="9"/>
      <c r="G29" s="9"/>
      <c r="H29" s="9"/>
      <c r="I29" s="1" t="e">
        <f t="shared" si="4"/>
        <v>#N/A</v>
      </c>
      <c r="J29" s="1" t="e">
        <f t="shared" si="0"/>
        <v>#N/A</v>
      </c>
      <c r="K29" s="1" t="e">
        <f t="shared" si="5"/>
        <v>#N/A</v>
      </c>
      <c r="L29" s="8" t="e" cm="1">
        <f t="array" ref="L29">IF(I29="","", IFERROR(((IF(I$5&lt;&gt;"", I$5*A$5, 0) + SUMPRODUCT(--(I$6:I29&lt;&gt;""), I$6:I29, (A$6:A29-A$5:A28)))/1000)/H$3, ""))</f>
        <v>#N/A</v>
      </c>
      <c r="M29" s="1">
        <f t="shared" si="6"/>
        <v>50</v>
      </c>
      <c r="N29" s="1">
        <f t="shared" si="7"/>
        <v>0</v>
      </c>
      <c r="R29" s="9"/>
      <c r="S29" s="9"/>
      <c r="T29" s="9"/>
      <c r="U29" s="1" t="e">
        <f t="shared" si="8"/>
        <v>#N/A</v>
      </c>
      <c r="V29" s="1" t="e">
        <f t="shared" si="1"/>
        <v>#N/A</v>
      </c>
      <c r="W29" s="1" t="e">
        <f t="shared" si="9"/>
        <v>#N/A</v>
      </c>
      <c r="X29" s="8" t="e" cm="1">
        <f t="array" ref="X29">IF(U29="","", IFERROR(((IF(U$5&lt;&gt;"", U$5*M$5, 0) + SUMPRODUCT(--(U$6:U29&lt;&gt;""), U$6:U29, (M$6:M29-M$5:M28)))/1000)/T$3, ""))</f>
        <v>#N/A</v>
      </c>
    </row>
    <row r="30" spans="1:24" x14ac:dyDescent="0.25">
      <c r="A30" s="1">
        <f t="shared" si="2"/>
        <v>52</v>
      </c>
      <c r="B30" s="1">
        <f t="shared" si="3"/>
        <v>0</v>
      </c>
      <c r="I30" s="1" t="e">
        <f t="shared" si="4"/>
        <v>#N/A</v>
      </c>
      <c r="J30" s="1" t="e">
        <f t="shared" si="0"/>
        <v>#N/A</v>
      </c>
      <c r="K30" s="1" t="e">
        <f t="shared" si="5"/>
        <v>#N/A</v>
      </c>
      <c r="L30" s="8" t="e" cm="1">
        <f t="array" ref="L30">IF(I30="","", IFERROR(((IF(I$5&lt;&gt;"", I$5*A$5, 0) + SUMPRODUCT(--(I$6:I30&lt;&gt;""), I$6:I30, (A$6:A30-A$5:A29)))/1000)/H$3, ""))</f>
        <v>#N/A</v>
      </c>
      <c r="M30" s="1">
        <f t="shared" si="6"/>
        <v>52</v>
      </c>
      <c r="N30" s="1">
        <f t="shared" si="7"/>
        <v>0</v>
      </c>
      <c r="U30" s="1" t="e">
        <f t="shared" si="8"/>
        <v>#N/A</v>
      </c>
      <c r="V30" s="1" t="e">
        <f t="shared" si="1"/>
        <v>#N/A</v>
      </c>
      <c r="W30" s="1" t="e">
        <f t="shared" si="9"/>
        <v>#N/A</v>
      </c>
      <c r="X30" s="8" t="e" cm="1">
        <f t="array" ref="X30">IF(U30="","", IFERROR(((IF(U$5&lt;&gt;"", U$5*M$5, 0) + SUMPRODUCT(--(U$6:U30&lt;&gt;""), U$6:U30, (M$6:M30-M$5:M29)))/1000)/T$3, ""))</f>
        <v>#N/A</v>
      </c>
    </row>
    <row r="31" spans="1:24" x14ac:dyDescent="0.25">
      <c r="A31" s="1">
        <f t="shared" si="2"/>
        <v>54</v>
      </c>
      <c r="B31" s="1">
        <f t="shared" si="3"/>
        <v>0</v>
      </c>
      <c r="I31" s="1" t="e">
        <f t="shared" si="4"/>
        <v>#N/A</v>
      </c>
      <c r="J31" s="1" t="e">
        <f t="shared" si="0"/>
        <v>#N/A</v>
      </c>
      <c r="K31" s="1" t="e">
        <f t="shared" si="5"/>
        <v>#N/A</v>
      </c>
      <c r="L31" s="8" t="e" cm="1">
        <f t="array" ref="L31">IF(I31="","", IFERROR(((IF(I$5&lt;&gt;"", I$5*A$5, 0) + SUMPRODUCT(--(I$6:I31&lt;&gt;""), I$6:I31, (A$6:A31-A$5:A30)))/1000)/H$3, ""))</f>
        <v>#N/A</v>
      </c>
      <c r="M31" s="1">
        <f t="shared" si="6"/>
        <v>54</v>
      </c>
      <c r="N31" s="1">
        <f t="shared" si="7"/>
        <v>0</v>
      </c>
      <c r="U31" s="1" t="e">
        <f t="shared" si="8"/>
        <v>#N/A</v>
      </c>
      <c r="V31" s="1" t="e">
        <f t="shared" si="1"/>
        <v>#N/A</v>
      </c>
      <c r="W31" s="1" t="e">
        <f t="shared" si="9"/>
        <v>#N/A</v>
      </c>
      <c r="X31" s="8" t="e" cm="1">
        <f t="array" ref="X31">IF(U31="","", IFERROR(((IF(U$5&lt;&gt;"", U$5*M$5, 0) + SUMPRODUCT(--(U$6:U31&lt;&gt;""), U$6:U31, (M$6:M31-M$5:M30)))/1000)/T$3, ""))</f>
        <v>#N/A</v>
      </c>
    </row>
    <row r="32" spans="1:24" x14ac:dyDescent="0.25">
      <c r="A32" s="1">
        <f t="shared" si="2"/>
        <v>56</v>
      </c>
      <c r="B32" s="1">
        <f t="shared" si="3"/>
        <v>0</v>
      </c>
      <c r="I32" s="1" t="e">
        <f t="shared" si="4"/>
        <v>#N/A</v>
      </c>
      <c r="J32" s="1" t="e">
        <f t="shared" si="0"/>
        <v>#N/A</v>
      </c>
      <c r="K32" s="1" t="e">
        <f t="shared" si="5"/>
        <v>#N/A</v>
      </c>
      <c r="L32" s="8" t="e" cm="1">
        <f t="array" ref="L32">IF(I32="","", IFERROR(((IF(I$5&lt;&gt;"", I$5*A$5, 0) + SUMPRODUCT(--(I$6:I32&lt;&gt;""), I$6:I32, (A$6:A32-A$5:A31)))/1000)/H$3, ""))</f>
        <v>#N/A</v>
      </c>
      <c r="M32" s="1">
        <f t="shared" si="6"/>
        <v>56</v>
      </c>
      <c r="N32" s="1">
        <f t="shared" si="7"/>
        <v>0</v>
      </c>
      <c r="U32" s="1" t="e">
        <f t="shared" si="8"/>
        <v>#N/A</v>
      </c>
      <c r="V32" s="1" t="e">
        <f t="shared" si="1"/>
        <v>#N/A</v>
      </c>
      <c r="W32" s="1" t="e">
        <f t="shared" si="9"/>
        <v>#N/A</v>
      </c>
      <c r="X32" s="8" t="e" cm="1">
        <f t="array" ref="X32">IF(U32="","", IFERROR(((IF(U$5&lt;&gt;"", U$5*M$5, 0) + SUMPRODUCT(--(U$6:U32&lt;&gt;""), U$6:U32, (M$6:M32-M$5:M31)))/1000)/T$3, ""))</f>
        <v>#N/A</v>
      </c>
    </row>
    <row r="33" spans="1:24" x14ac:dyDescent="0.25">
      <c r="A33" s="1">
        <f t="shared" si="2"/>
        <v>58</v>
      </c>
      <c r="B33" s="1">
        <f t="shared" si="3"/>
        <v>0</v>
      </c>
      <c r="I33" s="1" t="e">
        <f t="shared" si="4"/>
        <v>#N/A</v>
      </c>
      <c r="J33" s="1" t="e">
        <f t="shared" si="0"/>
        <v>#N/A</v>
      </c>
      <c r="K33" s="1" t="e">
        <f t="shared" si="5"/>
        <v>#N/A</v>
      </c>
      <c r="L33" s="8" t="e" cm="1">
        <f t="array" ref="L33">IF(I33="","", IFERROR(((IF(I$5&lt;&gt;"", I$5*A$5, 0) + SUMPRODUCT(--(I$6:I33&lt;&gt;""), I$6:I33, (A$6:A33-A$5:A32)))/1000)/H$3, ""))</f>
        <v>#N/A</v>
      </c>
      <c r="M33" s="1">
        <f t="shared" si="6"/>
        <v>58</v>
      </c>
      <c r="N33" s="1">
        <f t="shared" si="7"/>
        <v>0</v>
      </c>
      <c r="U33" s="1" t="e">
        <f t="shared" si="8"/>
        <v>#N/A</v>
      </c>
      <c r="V33" s="1" t="e">
        <f t="shared" si="1"/>
        <v>#N/A</v>
      </c>
      <c r="W33" s="1" t="e">
        <f t="shared" si="9"/>
        <v>#N/A</v>
      </c>
      <c r="X33" s="8" t="e" cm="1">
        <f t="array" ref="X33">IF(U33="","", IFERROR(((IF(U$5&lt;&gt;"", U$5*M$5, 0) + SUMPRODUCT(--(U$6:U33&lt;&gt;""), U$6:U33, (M$6:M33-M$5:M32)))/1000)/T$3, ""))</f>
        <v>#N/A</v>
      </c>
    </row>
    <row r="34" spans="1:24" x14ac:dyDescent="0.25">
      <c r="A34" s="1">
        <f t="shared" si="2"/>
        <v>60</v>
      </c>
      <c r="B34" s="1">
        <f t="shared" si="3"/>
        <v>0</v>
      </c>
      <c r="I34" s="1" t="e">
        <f t="shared" si="4"/>
        <v>#N/A</v>
      </c>
      <c r="J34" s="1" t="e">
        <f t="shared" si="0"/>
        <v>#N/A</v>
      </c>
      <c r="K34" s="1" t="e">
        <f t="shared" si="5"/>
        <v>#N/A</v>
      </c>
      <c r="L34" s="8" t="e" cm="1">
        <f t="array" ref="L34">IF(I34="","", IFERROR(((IF(I$5&lt;&gt;"", I$5*A$5, 0) + SUMPRODUCT(--(I$6:I34&lt;&gt;""), I$6:I34, (A$6:A34-A$5:A33)))/1000)/H$3, ""))</f>
        <v>#N/A</v>
      </c>
      <c r="M34" s="1">
        <f t="shared" si="6"/>
        <v>60</v>
      </c>
      <c r="N34" s="1">
        <f t="shared" si="7"/>
        <v>0</v>
      </c>
      <c r="U34" s="1" t="e">
        <f t="shared" si="8"/>
        <v>#N/A</v>
      </c>
      <c r="V34" s="1" t="e">
        <f t="shared" si="1"/>
        <v>#N/A</v>
      </c>
      <c r="W34" s="1" t="e">
        <f t="shared" si="9"/>
        <v>#N/A</v>
      </c>
      <c r="X34" s="8" t="e" cm="1">
        <f t="array" ref="X34">IF(U34="","", IFERROR(((IF(U$5&lt;&gt;"", U$5*M$5, 0) + SUMPRODUCT(--(U$6:U34&lt;&gt;""), U$6:U34, (M$6:M34-M$5:M33)))/1000)/T$3, ""))</f>
        <v>#N/A</v>
      </c>
    </row>
    <row r="35" spans="1:24" x14ac:dyDescent="0.25">
      <c r="A35" s="1">
        <f t="shared" si="2"/>
        <v>62</v>
      </c>
      <c r="B35" s="1">
        <f t="shared" si="3"/>
        <v>0</v>
      </c>
      <c r="I35" s="1" t="e">
        <f t="shared" si="4"/>
        <v>#N/A</v>
      </c>
      <c r="J35" s="1" t="e">
        <f t="shared" si="0"/>
        <v>#N/A</v>
      </c>
      <c r="K35" s="1" t="e">
        <f t="shared" si="5"/>
        <v>#N/A</v>
      </c>
      <c r="L35" s="8" t="e" cm="1">
        <f t="array" ref="L35">IF(I35="","", IFERROR(((IF(I$5&lt;&gt;"", I$5*A$5, 0) + SUMPRODUCT(--(I$6:I35&lt;&gt;""), I$6:I35, (A$6:A35-A$5:A34)))/1000)/H$3, ""))</f>
        <v>#N/A</v>
      </c>
      <c r="M35" s="1">
        <f t="shared" si="6"/>
        <v>62</v>
      </c>
      <c r="N35" s="1">
        <f t="shared" si="7"/>
        <v>0</v>
      </c>
      <c r="U35" s="1" t="e">
        <f t="shared" si="8"/>
        <v>#N/A</v>
      </c>
      <c r="V35" s="1" t="e">
        <f t="shared" si="1"/>
        <v>#N/A</v>
      </c>
      <c r="W35" s="1" t="e">
        <f t="shared" si="9"/>
        <v>#N/A</v>
      </c>
      <c r="X35" s="8" t="e" cm="1">
        <f t="array" ref="X35">IF(U35="","", IFERROR(((IF(U$5&lt;&gt;"", U$5*M$5, 0) + SUMPRODUCT(--(U$6:U35&lt;&gt;""), U$6:U35, (M$6:M35-M$5:M34)))/1000)/T$3, ""))</f>
        <v>#N/A</v>
      </c>
    </row>
    <row r="36" spans="1:24" x14ac:dyDescent="0.25">
      <c r="A36" s="1">
        <f t="shared" si="2"/>
        <v>64</v>
      </c>
      <c r="B36" s="1">
        <f t="shared" si="3"/>
        <v>0</v>
      </c>
      <c r="I36" s="1" t="e">
        <f t="shared" si="4"/>
        <v>#N/A</v>
      </c>
      <c r="J36" s="1" t="e">
        <f t="shared" si="0"/>
        <v>#N/A</v>
      </c>
      <c r="K36" s="1" t="e">
        <f t="shared" si="5"/>
        <v>#N/A</v>
      </c>
      <c r="L36" s="8" t="e" cm="1">
        <f t="array" ref="L36">IF(I36="","", IFERROR(((IF(I$5&lt;&gt;"", I$5*A$5, 0) + SUMPRODUCT(--(I$6:I36&lt;&gt;""), I$6:I36, (A$6:A36-A$5:A35)))/1000)/H$3, ""))</f>
        <v>#N/A</v>
      </c>
      <c r="M36" s="1">
        <f t="shared" si="6"/>
        <v>64</v>
      </c>
      <c r="N36" s="1">
        <f t="shared" si="7"/>
        <v>0</v>
      </c>
      <c r="U36" s="1" t="e">
        <f t="shared" si="8"/>
        <v>#N/A</v>
      </c>
      <c r="V36" s="1" t="e">
        <f t="shared" si="1"/>
        <v>#N/A</v>
      </c>
      <c r="W36" s="1" t="e">
        <f t="shared" si="9"/>
        <v>#N/A</v>
      </c>
      <c r="X36" s="8" t="e" cm="1">
        <f t="array" ref="X36">IF(U36="","", IFERROR(((IF(U$5&lt;&gt;"", U$5*M$5, 0) + SUMPRODUCT(--(U$6:U36&lt;&gt;""), U$6:U36, (M$6:M36-M$5:M35)))/1000)/T$3, ""))</f>
        <v>#N/A</v>
      </c>
    </row>
    <row r="37" spans="1:24" x14ac:dyDescent="0.25">
      <c r="A37" s="1">
        <f t="shared" si="2"/>
        <v>66</v>
      </c>
      <c r="B37" s="1">
        <f t="shared" si="3"/>
        <v>0</v>
      </c>
      <c r="I37" s="1" t="e">
        <f t="shared" si="4"/>
        <v>#N/A</v>
      </c>
      <c r="J37" s="1" t="e">
        <f t="shared" si="0"/>
        <v>#N/A</v>
      </c>
      <c r="K37" s="1" t="e">
        <f t="shared" si="5"/>
        <v>#N/A</v>
      </c>
      <c r="L37" s="8" t="e" cm="1">
        <f t="array" ref="L37">IF(I37="","", IFERROR(((IF(I$5&lt;&gt;"", I$5*A$5, 0) + SUMPRODUCT(--(I$6:I37&lt;&gt;""), I$6:I37, (A$6:A37-A$5:A36)))/1000)/H$3, ""))</f>
        <v>#N/A</v>
      </c>
      <c r="M37" s="1">
        <f t="shared" si="6"/>
        <v>66</v>
      </c>
      <c r="N37" s="1">
        <f t="shared" si="7"/>
        <v>0</v>
      </c>
      <c r="U37" s="1" t="e">
        <f t="shared" si="8"/>
        <v>#N/A</v>
      </c>
      <c r="V37" s="1" t="e">
        <f t="shared" si="1"/>
        <v>#N/A</v>
      </c>
      <c r="W37" s="1" t="e">
        <f t="shared" si="9"/>
        <v>#N/A</v>
      </c>
      <c r="X37" s="8" t="e" cm="1">
        <f t="array" ref="X37">IF(U37="","", IFERROR(((IF(U$5&lt;&gt;"", U$5*M$5, 0) + SUMPRODUCT(--(U$6:U37&lt;&gt;""), U$6:U37, (M$6:M37-M$5:M36)))/1000)/T$3, ""))</f>
        <v>#N/A</v>
      </c>
    </row>
    <row r="38" spans="1:24" x14ac:dyDescent="0.25">
      <c r="A38" s="1">
        <f t="shared" si="2"/>
        <v>68</v>
      </c>
      <c r="B38" s="1">
        <f t="shared" si="3"/>
        <v>0</v>
      </c>
      <c r="I38" s="1" t="e">
        <f t="shared" si="4"/>
        <v>#N/A</v>
      </c>
      <c r="J38" s="1" t="e">
        <f t="shared" si="0"/>
        <v>#N/A</v>
      </c>
      <c r="K38" s="1" t="e">
        <f t="shared" si="5"/>
        <v>#N/A</v>
      </c>
      <c r="L38" s="8" t="e" cm="1">
        <f t="array" ref="L38">IF(I38="","", IFERROR(((IF(I$5&lt;&gt;"", I$5*A$5, 0) + SUMPRODUCT(--(I$6:I38&lt;&gt;""), I$6:I38, (A$6:A38-A$5:A37)))/1000)/H$3, ""))</f>
        <v>#N/A</v>
      </c>
      <c r="M38" s="1">
        <f t="shared" si="6"/>
        <v>68</v>
      </c>
      <c r="N38" s="1">
        <f t="shared" si="7"/>
        <v>0</v>
      </c>
      <c r="U38" s="1" t="e">
        <f t="shared" si="8"/>
        <v>#N/A</v>
      </c>
      <c r="V38" s="1" t="e">
        <f t="shared" si="1"/>
        <v>#N/A</v>
      </c>
      <c r="W38" s="1" t="e">
        <f t="shared" si="9"/>
        <v>#N/A</v>
      </c>
      <c r="X38" s="8" t="e" cm="1">
        <f t="array" ref="X38">IF(U38="","", IFERROR(((IF(U$5&lt;&gt;"", U$5*M$5, 0) + SUMPRODUCT(--(U$6:U38&lt;&gt;""), U$6:U38, (M$6:M38-M$5:M37)))/1000)/T$3, ""))</f>
        <v>#N/A</v>
      </c>
    </row>
    <row r="39" spans="1:24" x14ac:dyDescent="0.25">
      <c r="A39" s="1">
        <f t="shared" si="2"/>
        <v>70</v>
      </c>
      <c r="B39" s="1">
        <f t="shared" si="3"/>
        <v>0</v>
      </c>
      <c r="I39" s="1" t="e">
        <f t="shared" si="4"/>
        <v>#N/A</v>
      </c>
      <c r="J39" s="1" t="e">
        <f t="shared" si="0"/>
        <v>#N/A</v>
      </c>
      <c r="K39" s="1" t="e">
        <f t="shared" si="5"/>
        <v>#N/A</v>
      </c>
      <c r="L39" s="8" t="e" cm="1">
        <f t="array" ref="L39">IF(I39="","", IFERROR(((IF(I$5&lt;&gt;"", I$5*A$5, 0) + SUMPRODUCT(--(I$6:I39&lt;&gt;""), I$6:I39, (A$6:A39-A$5:A38)))/1000)/H$3, ""))</f>
        <v>#N/A</v>
      </c>
      <c r="M39" s="1">
        <f t="shared" si="6"/>
        <v>70</v>
      </c>
      <c r="N39" s="1">
        <f t="shared" si="7"/>
        <v>0</v>
      </c>
      <c r="U39" s="1" t="e">
        <f t="shared" si="8"/>
        <v>#N/A</v>
      </c>
      <c r="V39" s="1" t="e">
        <f t="shared" si="1"/>
        <v>#N/A</v>
      </c>
      <c r="W39" s="1" t="e">
        <f t="shared" si="9"/>
        <v>#N/A</v>
      </c>
      <c r="X39" s="8" t="e" cm="1">
        <f t="array" ref="X39">IF(U39="","", IFERROR(((IF(U$5&lt;&gt;"", U$5*M$5, 0) + SUMPRODUCT(--(U$6:U39&lt;&gt;""), U$6:U39, (M$6:M39-M$5:M38)))/1000)/T$3, ""))</f>
        <v>#N/A</v>
      </c>
    </row>
    <row r="40" spans="1:24" x14ac:dyDescent="0.25">
      <c r="A40" s="1">
        <f t="shared" si="2"/>
        <v>72</v>
      </c>
      <c r="B40" s="1">
        <f t="shared" si="3"/>
        <v>0</v>
      </c>
      <c r="I40" s="1" t="e">
        <f t="shared" si="4"/>
        <v>#N/A</v>
      </c>
      <c r="J40" s="1" t="e">
        <f t="shared" si="0"/>
        <v>#N/A</v>
      </c>
      <c r="K40" s="1" t="e">
        <f t="shared" si="5"/>
        <v>#N/A</v>
      </c>
      <c r="L40" s="8" t="e" cm="1">
        <f t="array" ref="L40">IF(I40="","", IFERROR(((IF(I$5&lt;&gt;"", I$5*A$5, 0) + SUMPRODUCT(--(I$6:I40&lt;&gt;""), I$6:I40, (A$6:A40-A$5:A39)))/1000)/H$3, ""))</f>
        <v>#N/A</v>
      </c>
      <c r="M40" s="1">
        <f t="shared" si="6"/>
        <v>72</v>
      </c>
      <c r="N40" s="1">
        <f t="shared" si="7"/>
        <v>0</v>
      </c>
      <c r="U40" s="1" t="e">
        <f t="shared" si="8"/>
        <v>#N/A</v>
      </c>
      <c r="V40" s="1" t="e">
        <f t="shared" si="1"/>
        <v>#N/A</v>
      </c>
      <c r="W40" s="1" t="e">
        <f t="shared" si="9"/>
        <v>#N/A</v>
      </c>
      <c r="X40" s="8" t="e" cm="1">
        <f t="array" ref="X40">IF(U40="","", IFERROR(((IF(U$5&lt;&gt;"", U$5*M$5, 0) + SUMPRODUCT(--(U$6:U40&lt;&gt;""), U$6:U40, (M$6:M40-M$5:M39)))/1000)/T$3, ""))</f>
        <v>#N/A</v>
      </c>
    </row>
    <row r="41" spans="1:24" x14ac:dyDescent="0.25">
      <c r="A41" s="1">
        <f t="shared" si="2"/>
        <v>74</v>
      </c>
      <c r="B41" s="1">
        <f t="shared" si="3"/>
        <v>0</v>
      </c>
      <c r="I41" s="1" t="e">
        <f t="shared" si="4"/>
        <v>#N/A</v>
      </c>
      <c r="J41" s="1" t="e">
        <f t="shared" si="0"/>
        <v>#N/A</v>
      </c>
      <c r="K41" s="1" t="e">
        <f t="shared" si="5"/>
        <v>#N/A</v>
      </c>
      <c r="L41" s="8" t="e" cm="1">
        <f t="array" ref="L41">IF(I41="","", IFERROR(((IF(I$5&lt;&gt;"", I$5*A$5, 0) + SUMPRODUCT(--(I$6:I41&lt;&gt;""), I$6:I41, (A$6:A41-A$5:A40)))/1000)/H$3, ""))</f>
        <v>#N/A</v>
      </c>
      <c r="M41" s="1">
        <f t="shared" si="6"/>
        <v>74</v>
      </c>
      <c r="N41" s="1">
        <f t="shared" si="7"/>
        <v>0</v>
      </c>
      <c r="U41" s="1" t="e">
        <f t="shared" si="8"/>
        <v>#N/A</v>
      </c>
      <c r="V41" s="1" t="e">
        <f t="shared" si="1"/>
        <v>#N/A</v>
      </c>
      <c r="W41" s="1" t="e">
        <f t="shared" si="9"/>
        <v>#N/A</v>
      </c>
      <c r="X41" s="8" t="e" cm="1">
        <f t="array" ref="X41">IF(U41="","", IFERROR(((IF(U$5&lt;&gt;"", U$5*M$5, 0) + SUMPRODUCT(--(U$6:U41&lt;&gt;""), U$6:U41, (M$6:M41-M$5:M40)))/1000)/T$3, ""))</f>
        <v>#N/A</v>
      </c>
    </row>
    <row r="42" spans="1:24" x14ac:dyDescent="0.25">
      <c r="A42" s="1">
        <f t="shared" si="2"/>
        <v>76</v>
      </c>
      <c r="B42" s="1">
        <f t="shared" si="3"/>
        <v>0</v>
      </c>
      <c r="I42" s="1" t="e">
        <f t="shared" si="4"/>
        <v>#N/A</v>
      </c>
      <c r="J42" s="1" t="e">
        <f t="shared" si="0"/>
        <v>#N/A</v>
      </c>
      <c r="K42" s="1" t="e">
        <f t="shared" si="5"/>
        <v>#N/A</v>
      </c>
      <c r="L42" s="8" t="e" cm="1">
        <f t="array" ref="L42">IF(I42="","", IFERROR(((IF(I$5&lt;&gt;"", I$5*A$5, 0) + SUMPRODUCT(--(I$6:I42&lt;&gt;""), I$6:I42, (A$6:A42-A$5:A41)))/1000)/H$3, ""))</f>
        <v>#N/A</v>
      </c>
      <c r="M42" s="1">
        <f t="shared" si="6"/>
        <v>76</v>
      </c>
      <c r="N42" s="1">
        <f t="shared" si="7"/>
        <v>0</v>
      </c>
      <c r="U42" s="1" t="e">
        <f t="shared" si="8"/>
        <v>#N/A</v>
      </c>
      <c r="V42" s="1" t="e">
        <f t="shared" si="1"/>
        <v>#N/A</v>
      </c>
      <c r="W42" s="1" t="e">
        <f t="shared" si="9"/>
        <v>#N/A</v>
      </c>
      <c r="X42" s="8" t="e" cm="1">
        <f t="array" ref="X42">IF(U42="","", IFERROR(((IF(U$5&lt;&gt;"", U$5*M$5, 0) + SUMPRODUCT(--(U$6:U42&lt;&gt;""), U$6:U42, (M$6:M42-M$5:M41)))/1000)/T$3, ""))</f>
        <v>#N/A</v>
      </c>
    </row>
    <row r="43" spans="1:24" x14ac:dyDescent="0.25">
      <c r="A43" s="1">
        <f t="shared" si="2"/>
        <v>78</v>
      </c>
      <c r="B43" s="1">
        <f t="shared" si="3"/>
        <v>0</v>
      </c>
      <c r="I43" s="1" t="e">
        <f t="shared" si="4"/>
        <v>#N/A</v>
      </c>
      <c r="J43" s="1" t="e">
        <f t="shared" si="0"/>
        <v>#N/A</v>
      </c>
      <c r="K43" s="1" t="e">
        <f t="shared" si="5"/>
        <v>#N/A</v>
      </c>
      <c r="L43" s="8" t="e" cm="1">
        <f t="array" ref="L43">IF(I43="","", IFERROR(((IF(I$5&lt;&gt;"", I$5*A$5, 0) + SUMPRODUCT(--(I$6:I43&lt;&gt;""), I$6:I43, (A$6:A43-A$5:A42)))/1000)/H$3, ""))</f>
        <v>#N/A</v>
      </c>
      <c r="M43" s="1">
        <f t="shared" si="6"/>
        <v>78</v>
      </c>
      <c r="N43" s="1">
        <f t="shared" si="7"/>
        <v>0</v>
      </c>
      <c r="U43" s="1" t="e">
        <f t="shared" si="8"/>
        <v>#N/A</v>
      </c>
      <c r="V43" s="1" t="e">
        <f t="shared" si="1"/>
        <v>#N/A</v>
      </c>
      <c r="W43" s="1" t="e">
        <f t="shared" si="9"/>
        <v>#N/A</v>
      </c>
      <c r="X43" s="8" t="e" cm="1">
        <f t="array" ref="X43">IF(U43="","", IFERROR(((IF(U$5&lt;&gt;"", U$5*M$5, 0) + SUMPRODUCT(--(U$6:U43&lt;&gt;""), U$6:U43, (M$6:M43-M$5:M42)))/1000)/T$3, ""))</f>
        <v>#N/A</v>
      </c>
    </row>
    <row r="44" spans="1:24" x14ac:dyDescent="0.25">
      <c r="A44" s="1">
        <f t="shared" si="2"/>
        <v>80</v>
      </c>
      <c r="B44" s="1">
        <f t="shared" si="3"/>
        <v>0</v>
      </c>
      <c r="I44" s="1" t="e">
        <f t="shared" si="4"/>
        <v>#N/A</v>
      </c>
      <c r="J44" s="1" t="e">
        <f t="shared" si="0"/>
        <v>#N/A</v>
      </c>
      <c r="K44" s="1" t="e">
        <f t="shared" si="5"/>
        <v>#N/A</v>
      </c>
      <c r="L44" s="8" t="e" cm="1">
        <f t="array" ref="L44">IF(I44="","", IFERROR(((IF(I$5&lt;&gt;"", I$5*A$5, 0) + SUMPRODUCT(--(I$6:I44&lt;&gt;""), I$6:I44, (A$6:A44-A$5:A43)))/1000)/H$3, ""))</f>
        <v>#N/A</v>
      </c>
      <c r="M44" s="1">
        <f t="shared" si="6"/>
        <v>80</v>
      </c>
      <c r="N44" s="1">
        <f t="shared" si="7"/>
        <v>0</v>
      </c>
      <c r="U44" s="1" t="e">
        <f t="shared" si="8"/>
        <v>#N/A</v>
      </c>
      <c r="V44" s="1" t="e">
        <f t="shared" si="1"/>
        <v>#N/A</v>
      </c>
      <c r="W44" s="1" t="e">
        <f t="shared" si="9"/>
        <v>#N/A</v>
      </c>
      <c r="X44" s="8" t="e" cm="1">
        <f t="array" ref="X44">IF(U44="","", IFERROR(((IF(U$5&lt;&gt;"", U$5*M$5, 0) + SUMPRODUCT(--(U$6:U44&lt;&gt;""), U$6:U44, (M$6:M44-M$5:M43)))/1000)/T$3, ""))</f>
        <v>#N/A</v>
      </c>
    </row>
    <row r="45" spans="1:24" x14ac:dyDescent="0.25">
      <c r="A45" s="1">
        <f t="shared" si="2"/>
        <v>82</v>
      </c>
      <c r="B45" s="1">
        <f t="shared" si="3"/>
        <v>0</v>
      </c>
      <c r="I45" s="1" t="e">
        <f t="shared" si="4"/>
        <v>#N/A</v>
      </c>
      <c r="J45" s="1" t="e">
        <f t="shared" si="0"/>
        <v>#N/A</v>
      </c>
      <c r="K45" s="1" t="e">
        <f t="shared" si="5"/>
        <v>#N/A</v>
      </c>
      <c r="L45" s="8" t="e" cm="1">
        <f t="array" ref="L45">IF(I45="","", IFERROR(((IF(I$5&lt;&gt;"", I$5*A$5, 0) + SUMPRODUCT(--(I$6:I45&lt;&gt;""), I$6:I45, (A$6:A45-A$5:A44)))/1000)/H$3, ""))</f>
        <v>#N/A</v>
      </c>
      <c r="M45" s="1">
        <f t="shared" si="6"/>
        <v>82</v>
      </c>
      <c r="N45" s="1">
        <f t="shared" si="7"/>
        <v>0</v>
      </c>
      <c r="U45" s="1" t="e">
        <f t="shared" si="8"/>
        <v>#N/A</v>
      </c>
      <c r="V45" s="1" t="e">
        <f t="shared" si="1"/>
        <v>#N/A</v>
      </c>
      <c r="W45" s="1" t="e">
        <f t="shared" si="9"/>
        <v>#N/A</v>
      </c>
      <c r="X45" s="8" t="e" cm="1">
        <f t="array" ref="X45">IF(U45="","", IFERROR(((IF(U$5&lt;&gt;"", U$5*M$5, 0) + SUMPRODUCT(--(U$6:U45&lt;&gt;""), U$6:U45, (M$6:M45-M$5:M44)))/1000)/T$3, ""))</f>
        <v>#N/A</v>
      </c>
    </row>
    <row r="46" spans="1:24" x14ac:dyDescent="0.25">
      <c r="A46" s="1">
        <f t="shared" si="2"/>
        <v>84</v>
      </c>
      <c r="B46" s="1">
        <f t="shared" si="3"/>
        <v>0</v>
      </c>
      <c r="I46" s="1" t="e">
        <f t="shared" si="4"/>
        <v>#N/A</v>
      </c>
      <c r="J46" s="1" t="e">
        <f t="shared" si="0"/>
        <v>#N/A</v>
      </c>
      <c r="K46" s="1" t="e">
        <f t="shared" si="5"/>
        <v>#N/A</v>
      </c>
      <c r="L46" s="8" t="e" cm="1">
        <f t="array" ref="L46">IF(I46="","", IFERROR(((IF(I$5&lt;&gt;"", I$5*A$5, 0) + SUMPRODUCT(--(I$6:I46&lt;&gt;""), I$6:I46, (A$6:A46-A$5:A45)))/1000)/H$3, ""))</f>
        <v>#N/A</v>
      </c>
      <c r="M46" s="1">
        <f t="shared" si="6"/>
        <v>84</v>
      </c>
      <c r="N46" s="1">
        <f t="shared" si="7"/>
        <v>0</v>
      </c>
      <c r="U46" s="1" t="e">
        <f t="shared" si="8"/>
        <v>#N/A</v>
      </c>
      <c r="V46" s="1" t="e">
        <f t="shared" si="1"/>
        <v>#N/A</v>
      </c>
      <c r="W46" s="1" t="e">
        <f t="shared" si="9"/>
        <v>#N/A</v>
      </c>
      <c r="X46" s="8" t="e" cm="1">
        <f t="array" ref="X46">IF(U46="","", IFERROR(((IF(U$5&lt;&gt;"", U$5*M$5, 0) + SUMPRODUCT(--(U$6:U46&lt;&gt;""), U$6:U46, (M$6:M46-M$5:M45)))/1000)/T$3, ""))</f>
        <v>#N/A</v>
      </c>
    </row>
    <row r="47" spans="1:24" x14ac:dyDescent="0.25">
      <c r="A47" s="1">
        <f t="shared" si="2"/>
        <v>86</v>
      </c>
      <c r="B47" s="1">
        <f t="shared" si="3"/>
        <v>0</v>
      </c>
      <c r="I47" s="1" t="e">
        <f t="shared" si="4"/>
        <v>#N/A</v>
      </c>
      <c r="J47" s="1" t="e">
        <f t="shared" si="0"/>
        <v>#N/A</v>
      </c>
      <c r="K47" s="1" t="e">
        <f t="shared" si="5"/>
        <v>#N/A</v>
      </c>
      <c r="L47" s="8" t="e" cm="1">
        <f t="array" ref="L47">IF(I47="","", IFERROR(((IF(I$5&lt;&gt;"", I$5*A$5, 0) + SUMPRODUCT(--(I$6:I47&lt;&gt;""), I$6:I47, (A$6:A47-A$5:A46)))/1000)/H$3, ""))</f>
        <v>#N/A</v>
      </c>
      <c r="M47" s="1">
        <f t="shared" si="6"/>
        <v>86</v>
      </c>
      <c r="N47" s="1">
        <f t="shared" si="7"/>
        <v>0</v>
      </c>
      <c r="U47" s="1" t="e">
        <f t="shared" si="8"/>
        <v>#N/A</v>
      </c>
      <c r="V47" s="1" t="e">
        <f t="shared" si="1"/>
        <v>#N/A</v>
      </c>
      <c r="W47" s="1" t="e">
        <f t="shared" si="9"/>
        <v>#N/A</v>
      </c>
      <c r="X47" s="8" t="e" cm="1">
        <f t="array" ref="X47">IF(U47="","", IFERROR(((IF(U$5&lt;&gt;"", U$5*M$5, 0) + SUMPRODUCT(--(U$6:U47&lt;&gt;""), U$6:U47, (M$6:M47-M$5:M46)))/1000)/T$3, ""))</f>
        <v>#N/A</v>
      </c>
    </row>
    <row r="48" spans="1:24" x14ac:dyDescent="0.25">
      <c r="A48" s="1">
        <f t="shared" si="2"/>
        <v>88</v>
      </c>
      <c r="B48" s="1">
        <f t="shared" si="3"/>
        <v>0</v>
      </c>
      <c r="I48" s="1" t="e">
        <f t="shared" si="4"/>
        <v>#N/A</v>
      </c>
      <c r="J48" s="1" t="e">
        <f t="shared" si="0"/>
        <v>#N/A</v>
      </c>
      <c r="K48" s="1" t="e">
        <f t="shared" si="5"/>
        <v>#N/A</v>
      </c>
      <c r="L48" s="8" t="e" cm="1">
        <f t="array" ref="L48">IF(I48="","", IFERROR(((IF(I$5&lt;&gt;"", I$5*A$5, 0) + SUMPRODUCT(--(I$6:I48&lt;&gt;""), I$6:I48, (A$6:A48-A$5:A47)))/1000)/H$3, ""))</f>
        <v>#N/A</v>
      </c>
      <c r="M48" s="1">
        <f t="shared" si="6"/>
        <v>88</v>
      </c>
      <c r="N48" s="1">
        <f t="shared" si="7"/>
        <v>0</v>
      </c>
      <c r="U48" s="1" t="e">
        <f t="shared" si="8"/>
        <v>#N/A</v>
      </c>
      <c r="V48" s="1" t="e">
        <f t="shared" si="1"/>
        <v>#N/A</v>
      </c>
      <c r="W48" s="1" t="e">
        <f t="shared" si="9"/>
        <v>#N/A</v>
      </c>
      <c r="X48" s="8" t="e" cm="1">
        <f t="array" ref="X48">IF(U48="","", IFERROR(((IF(U$5&lt;&gt;"", U$5*M$5, 0) + SUMPRODUCT(--(U$6:U48&lt;&gt;""), U$6:U48, (M$6:M48-M$5:M47)))/1000)/T$3, ""))</f>
        <v>#N/A</v>
      </c>
    </row>
    <row r="49" spans="1:24" x14ac:dyDescent="0.25">
      <c r="A49" s="1">
        <f t="shared" si="2"/>
        <v>90</v>
      </c>
      <c r="B49" s="1">
        <f t="shared" si="3"/>
        <v>0</v>
      </c>
      <c r="I49" s="1" t="e">
        <f t="shared" si="4"/>
        <v>#N/A</v>
      </c>
      <c r="J49" s="1" t="e">
        <f t="shared" si="0"/>
        <v>#N/A</v>
      </c>
      <c r="K49" s="1" t="e">
        <f t="shared" si="5"/>
        <v>#N/A</v>
      </c>
      <c r="L49" s="8" t="e" cm="1">
        <f t="array" ref="L49">IF(I49="","", IFERROR(((IF(I$5&lt;&gt;"", I$5*A$5, 0) + SUMPRODUCT(--(I$6:I49&lt;&gt;""), I$6:I49, (A$6:A49-A$5:A48)))/1000)/H$3, ""))</f>
        <v>#N/A</v>
      </c>
      <c r="M49" s="1">
        <f t="shared" si="6"/>
        <v>90</v>
      </c>
      <c r="N49" s="1">
        <f t="shared" si="7"/>
        <v>0</v>
      </c>
      <c r="U49" s="1" t="e">
        <f t="shared" si="8"/>
        <v>#N/A</v>
      </c>
      <c r="V49" s="1" t="e">
        <f t="shared" si="1"/>
        <v>#N/A</v>
      </c>
      <c r="W49" s="1" t="e">
        <f t="shared" si="9"/>
        <v>#N/A</v>
      </c>
      <c r="X49" s="8" t="e" cm="1">
        <f t="array" ref="X49">IF(U49="","", IFERROR(((IF(U$5&lt;&gt;"", U$5*M$5, 0) + SUMPRODUCT(--(U$6:U49&lt;&gt;""), U$6:U49, (M$6:M49-M$5:M48)))/1000)/T$3, ""))</f>
        <v>#N/A</v>
      </c>
    </row>
    <row r="50" spans="1:24" x14ac:dyDescent="0.25">
      <c r="A50" s="1">
        <f t="shared" si="2"/>
        <v>92</v>
      </c>
      <c r="B50" s="1">
        <f t="shared" si="3"/>
        <v>0</v>
      </c>
      <c r="I50" s="1" t="e">
        <f t="shared" si="4"/>
        <v>#N/A</v>
      </c>
      <c r="J50" s="1" t="e">
        <f t="shared" si="0"/>
        <v>#N/A</v>
      </c>
      <c r="K50" s="1" t="e">
        <f t="shared" si="5"/>
        <v>#N/A</v>
      </c>
      <c r="L50" s="8" t="e" cm="1">
        <f t="array" ref="L50">IF(I50="","", IFERROR(((IF(I$5&lt;&gt;"", I$5*A$5, 0) + SUMPRODUCT(--(I$6:I50&lt;&gt;""), I$6:I50, (A$6:A50-A$5:A49)))/1000)/H$3, ""))</f>
        <v>#N/A</v>
      </c>
      <c r="M50" s="1">
        <f t="shared" si="6"/>
        <v>92</v>
      </c>
      <c r="N50" s="1">
        <f t="shared" si="7"/>
        <v>0</v>
      </c>
      <c r="U50" s="1" t="e">
        <f t="shared" si="8"/>
        <v>#N/A</v>
      </c>
      <c r="V50" s="1" t="e">
        <f t="shared" si="1"/>
        <v>#N/A</v>
      </c>
      <c r="W50" s="1" t="e">
        <f t="shared" si="9"/>
        <v>#N/A</v>
      </c>
      <c r="X50" s="8" t="e" cm="1">
        <f t="array" ref="X50">IF(U50="","", IFERROR(((IF(U$5&lt;&gt;"", U$5*M$5, 0) + SUMPRODUCT(--(U$6:U50&lt;&gt;""), U$6:U50, (M$6:M50-M$5:M49)))/1000)/T$3, ""))</f>
        <v>#N/A</v>
      </c>
    </row>
    <row r="51" spans="1:24" x14ac:dyDescent="0.25">
      <c r="A51" s="1">
        <f t="shared" si="2"/>
        <v>94</v>
      </c>
      <c r="B51" s="1">
        <f t="shared" si="3"/>
        <v>0</v>
      </c>
      <c r="I51" s="1" t="e">
        <f t="shared" si="4"/>
        <v>#N/A</v>
      </c>
      <c r="J51" s="1" t="e">
        <f t="shared" si="0"/>
        <v>#N/A</v>
      </c>
      <c r="K51" s="1" t="e">
        <f t="shared" si="5"/>
        <v>#N/A</v>
      </c>
      <c r="L51" s="8" t="e" cm="1">
        <f t="array" ref="L51">IF(I51="","", IFERROR(((IF(I$5&lt;&gt;"", I$5*A$5, 0) + SUMPRODUCT(--(I$6:I51&lt;&gt;""), I$6:I51, (A$6:A51-A$5:A50)))/1000)/H$3, ""))</f>
        <v>#N/A</v>
      </c>
      <c r="M51" s="1">
        <f t="shared" si="6"/>
        <v>94</v>
      </c>
      <c r="N51" s="1">
        <f t="shared" si="7"/>
        <v>0</v>
      </c>
      <c r="U51" s="1" t="e">
        <f t="shared" si="8"/>
        <v>#N/A</v>
      </c>
      <c r="V51" s="1" t="e">
        <f t="shared" si="1"/>
        <v>#N/A</v>
      </c>
      <c r="W51" s="1" t="e">
        <f t="shared" si="9"/>
        <v>#N/A</v>
      </c>
      <c r="X51" s="8" t="e" cm="1">
        <f t="array" ref="X51">IF(U51="","", IFERROR(((IF(U$5&lt;&gt;"", U$5*M$5, 0) + SUMPRODUCT(--(U$6:U51&lt;&gt;""), U$6:U51, (M$6:M51-M$5:M50)))/1000)/T$3, ""))</f>
        <v>#N/A</v>
      </c>
    </row>
    <row r="52" spans="1:24" x14ac:dyDescent="0.25">
      <c r="A52" s="1">
        <f t="shared" si="2"/>
        <v>96</v>
      </c>
      <c r="B52" s="1">
        <f t="shared" si="3"/>
        <v>0</v>
      </c>
      <c r="I52" s="1" t="e">
        <f t="shared" si="4"/>
        <v>#N/A</v>
      </c>
      <c r="J52" s="1" t="e">
        <f t="shared" si="0"/>
        <v>#N/A</v>
      </c>
      <c r="K52" s="1" t="e">
        <f t="shared" si="5"/>
        <v>#N/A</v>
      </c>
      <c r="L52" s="8" t="e" cm="1">
        <f t="array" ref="L52">IF(I52="","", IFERROR(((IF(I$5&lt;&gt;"", I$5*A$5, 0) + SUMPRODUCT(--(I$6:I52&lt;&gt;""), I$6:I52, (A$6:A52-A$5:A51)))/1000)/H$3, ""))</f>
        <v>#N/A</v>
      </c>
      <c r="M52" s="1">
        <f t="shared" si="6"/>
        <v>96</v>
      </c>
      <c r="N52" s="1">
        <f t="shared" si="7"/>
        <v>0</v>
      </c>
      <c r="U52" s="1" t="e">
        <f t="shared" si="8"/>
        <v>#N/A</v>
      </c>
      <c r="V52" s="1" t="e">
        <f t="shared" si="1"/>
        <v>#N/A</v>
      </c>
      <c r="W52" s="1" t="e">
        <f t="shared" si="9"/>
        <v>#N/A</v>
      </c>
      <c r="X52" s="8" t="e" cm="1">
        <f t="array" ref="X52">IF(U52="","", IFERROR(((IF(U$5&lt;&gt;"", U$5*M$5, 0) + SUMPRODUCT(--(U$6:U52&lt;&gt;""), U$6:U52, (M$6:M52-M$5:M51)))/1000)/T$3, ""))</f>
        <v>#N/A</v>
      </c>
    </row>
    <row r="53" spans="1:24" x14ac:dyDescent="0.25">
      <c r="A53" s="1">
        <f t="shared" si="2"/>
        <v>98</v>
      </c>
      <c r="B53" s="1">
        <f t="shared" si="3"/>
        <v>0</v>
      </c>
      <c r="I53" s="1" t="e">
        <f t="shared" si="4"/>
        <v>#N/A</v>
      </c>
      <c r="J53" s="1" t="e">
        <f t="shared" si="0"/>
        <v>#N/A</v>
      </c>
      <c r="K53" s="1" t="e">
        <f t="shared" si="5"/>
        <v>#N/A</v>
      </c>
      <c r="L53" s="8" t="e" cm="1">
        <f t="array" ref="L53">IF(I53="","", IFERROR(((IF(I$5&lt;&gt;"", I$5*A$5, 0) + SUMPRODUCT(--(I$6:I53&lt;&gt;""), I$6:I53, (A$6:A53-A$5:A52)))/1000)/H$3, ""))</f>
        <v>#N/A</v>
      </c>
      <c r="M53" s="1">
        <f t="shared" si="6"/>
        <v>98</v>
      </c>
      <c r="N53" s="1">
        <f t="shared" si="7"/>
        <v>0</v>
      </c>
      <c r="U53" s="1" t="e">
        <f t="shared" si="8"/>
        <v>#N/A</v>
      </c>
      <c r="V53" s="1" t="e">
        <f t="shared" si="1"/>
        <v>#N/A</v>
      </c>
      <c r="W53" s="1" t="e">
        <f t="shared" si="9"/>
        <v>#N/A</v>
      </c>
      <c r="X53" s="8" t="e" cm="1">
        <f t="array" ref="X53">IF(U53="","", IFERROR(((IF(U$5&lt;&gt;"", U$5*M$5, 0) + SUMPRODUCT(--(U$6:U53&lt;&gt;""), U$6:U53, (M$6:M53-M$5:M52)))/1000)/T$3, ""))</f>
        <v>#N/A</v>
      </c>
    </row>
    <row r="54" spans="1:24" x14ac:dyDescent="0.25">
      <c r="A54" s="1">
        <f t="shared" si="2"/>
        <v>100</v>
      </c>
      <c r="B54" s="1">
        <f t="shared" si="3"/>
        <v>0</v>
      </c>
      <c r="I54" s="1" t="e">
        <f t="shared" si="4"/>
        <v>#N/A</v>
      </c>
      <c r="J54" s="1" t="e">
        <f t="shared" si="0"/>
        <v>#N/A</v>
      </c>
      <c r="K54" s="1" t="e">
        <f t="shared" si="5"/>
        <v>#N/A</v>
      </c>
      <c r="L54" s="8" t="e" cm="1">
        <f t="array" ref="L54">IF(I54="","", IFERROR(((IF(I$5&lt;&gt;"", I$5*A$5, 0) + SUMPRODUCT(--(I$6:I54&lt;&gt;""), I$6:I54, (A$6:A54-A$5:A53)))/1000)/H$3, ""))</f>
        <v>#N/A</v>
      </c>
      <c r="M54" s="1">
        <f t="shared" si="6"/>
        <v>100</v>
      </c>
      <c r="N54" s="1">
        <f t="shared" si="7"/>
        <v>0</v>
      </c>
      <c r="U54" s="1" t="e">
        <f t="shared" si="8"/>
        <v>#N/A</v>
      </c>
      <c r="V54" s="1" t="e">
        <f t="shared" si="1"/>
        <v>#N/A</v>
      </c>
      <c r="W54" s="1" t="e">
        <f t="shared" si="9"/>
        <v>#N/A</v>
      </c>
      <c r="X54" s="8" t="e" cm="1">
        <f t="array" ref="X54">IF(U54="","", IFERROR(((IF(U$5&lt;&gt;"", U$5*M$5, 0) + SUMPRODUCT(--(U$6:U54&lt;&gt;""), U$6:U54, (M$6:M54-M$5:M53)))/1000)/T$3, ""))</f>
        <v>#N/A</v>
      </c>
    </row>
    <row r="55" spans="1:24" x14ac:dyDescent="0.25">
      <c r="A55" s="1">
        <f t="shared" si="2"/>
        <v>102</v>
      </c>
      <c r="B55" s="1">
        <f t="shared" si="3"/>
        <v>0</v>
      </c>
      <c r="I55" s="1" t="e">
        <f t="shared" si="4"/>
        <v>#N/A</v>
      </c>
      <c r="J55" s="1" t="e">
        <f t="shared" si="0"/>
        <v>#N/A</v>
      </c>
      <c r="K55" s="1" t="e">
        <f t="shared" si="5"/>
        <v>#N/A</v>
      </c>
      <c r="L55" s="8" t="e" cm="1">
        <f t="array" ref="L55">IF(I55="","", IFERROR(((IF(I$5&lt;&gt;"", I$5*A$5, 0) + SUMPRODUCT(--(I$6:I55&lt;&gt;""), I$6:I55, (A$6:A55-A$5:A54)))/1000)/H$3, ""))</f>
        <v>#N/A</v>
      </c>
      <c r="M55" s="1">
        <f t="shared" si="6"/>
        <v>102</v>
      </c>
      <c r="N55" s="1">
        <f t="shared" si="7"/>
        <v>0</v>
      </c>
      <c r="U55" s="1" t="e">
        <f t="shared" si="8"/>
        <v>#N/A</v>
      </c>
      <c r="V55" s="1" t="e">
        <f t="shared" si="1"/>
        <v>#N/A</v>
      </c>
      <c r="W55" s="1" t="e">
        <f t="shared" si="9"/>
        <v>#N/A</v>
      </c>
      <c r="X55" s="8" t="e" cm="1">
        <f t="array" ref="X55">IF(U55="","", IFERROR(((IF(U$5&lt;&gt;"", U$5*M$5, 0) + SUMPRODUCT(--(U$6:U55&lt;&gt;""), U$6:U55, (M$6:M55-M$5:M54)))/1000)/T$3, ""))</f>
        <v>#N/A</v>
      </c>
    </row>
    <row r="56" spans="1:24" x14ac:dyDescent="0.25">
      <c r="A56" s="1">
        <f t="shared" si="2"/>
        <v>104</v>
      </c>
      <c r="B56" s="1">
        <f t="shared" si="3"/>
        <v>0</v>
      </c>
      <c r="I56" s="1" t="e">
        <f t="shared" si="4"/>
        <v>#N/A</v>
      </c>
      <c r="J56" s="1" t="e">
        <f t="shared" si="0"/>
        <v>#N/A</v>
      </c>
      <c r="K56" s="1" t="e">
        <f t="shared" si="5"/>
        <v>#N/A</v>
      </c>
      <c r="L56" s="8" t="e" cm="1">
        <f t="array" ref="L56">IF(I56="","", IFERROR(((IF(I$5&lt;&gt;"", I$5*A$5, 0) + SUMPRODUCT(--(I$6:I56&lt;&gt;""), I$6:I56, (A$6:A56-A$5:A55)))/1000)/H$3, ""))</f>
        <v>#N/A</v>
      </c>
      <c r="M56" s="1">
        <f t="shared" si="6"/>
        <v>104</v>
      </c>
      <c r="N56" s="1">
        <f t="shared" si="7"/>
        <v>0</v>
      </c>
      <c r="U56" s="1" t="e">
        <f t="shared" si="8"/>
        <v>#N/A</v>
      </c>
      <c r="V56" s="1" t="e">
        <f t="shared" si="1"/>
        <v>#N/A</v>
      </c>
      <c r="W56" s="1" t="e">
        <f t="shared" si="9"/>
        <v>#N/A</v>
      </c>
      <c r="X56" s="8" t="e" cm="1">
        <f t="array" ref="X56">IF(U56="","", IFERROR(((IF(U$5&lt;&gt;"", U$5*M$5, 0) + SUMPRODUCT(--(U$6:U56&lt;&gt;""), U$6:U56, (M$6:M56-M$5:M55)))/1000)/T$3, ""))</f>
        <v>#N/A</v>
      </c>
    </row>
    <row r="57" spans="1:24" x14ac:dyDescent="0.25">
      <c r="A57" s="1">
        <f t="shared" si="2"/>
        <v>106</v>
      </c>
      <c r="B57" s="1">
        <f t="shared" si="3"/>
        <v>0</v>
      </c>
      <c r="I57" s="1" t="e">
        <f t="shared" si="4"/>
        <v>#N/A</v>
      </c>
      <c r="J57" s="1" t="e">
        <f t="shared" si="0"/>
        <v>#N/A</v>
      </c>
      <c r="K57" s="1" t="e">
        <f t="shared" si="5"/>
        <v>#N/A</v>
      </c>
      <c r="L57" s="8" t="e" cm="1">
        <f t="array" ref="L57">IF(I57="","", IFERROR(((IF(I$5&lt;&gt;"", I$5*A$5, 0) + SUMPRODUCT(--(I$6:I57&lt;&gt;""), I$6:I57, (A$6:A57-A$5:A56)))/1000)/H$3, ""))</f>
        <v>#N/A</v>
      </c>
      <c r="M57" s="1">
        <f t="shared" si="6"/>
        <v>106</v>
      </c>
      <c r="N57" s="1">
        <f t="shared" si="7"/>
        <v>0</v>
      </c>
      <c r="U57" s="1" t="e">
        <f t="shared" si="8"/>
        <v>#N/A</v>
      </c>
      <c r="V57" s="1" t="e">
        <f t="shared" si="1"/>
        <v>#N/A</v>
      </c>
      <c r="W57" s="1" t="e">
        <f t="shared" si="9"/>
        <v>#N/A</v>
      </c>
      <c r="X57" s="8" t="e" cm="1">
        <f t="array" ref="X57">IF(U57="","", IFERROR(((IF(U$5&lt;&gt;"", U$5*M$5, 0) + SUMPRODUCT(--(U$6:U57&lt;&gt;""), U$6:U57, (M$6:M57-M$5:M56)))/1000)/T$3, ""))</f>
        <v>#N/A</v>
      </c>
    </row>
    <row r="58" spans="1:24" x14ac:dyDescent="0.25">
      <c r="A58" s="1">
        <f t="shared" si="2"/>
        <v>108</v>
      </c>
      <c r="B58" s="1">
        <f t="shared" si="3"/>
        <v>0</v>
      </c>
      <c r="I58" s="1" t="e">
        <f t="shared" si="4"/>
        <v>#N/A</v>
      </c>
      <c r="J58" s="1" t="e">
        <f t="shared" si="0"/>
        <v>#N/A</v>
      </c>
      <c r="K58" s="1" t="e">
        <f t="shared" si="5"/>
        <v>#N/A</v>
      </c>
      <c r="L58" s="8" t="e" cm="1">
        <f t="array" ref="L58">IF(I58="","", IFERROR(((IF(I$5&lt;&gt;"", I$5*A$5, 0) + SUMPRODUCT(--(I$6:I58&lt;&gt;""), I$6:I58, (A$6:A58-A$5:A57)))/1000)/H$3, ""))</f>
        <v>#N/A</v>
      </c>
      <c r="M58" s="1">
        <f t="shared" si="6"/>
        <v>108</v>
      </c>
      <c r="N58" s="1">
        <f t="shared" si="7"/>
        <v>0</v>
      </c>
      <c r="U58" s="1" t="e">
        <f t="shared" si="8"/>
        <v>#N/A</v>
      </c>
      <c r="V58" s="1" t="e">
        <f t="shared" si="1"/>
        <v>#N/A</v>
      </c>
      <c r="W58" s="1" t="e">
        <f t="shared" si="9"/>
        <v>#N/A</v>
      </c>
      <c r="X58" s="8" t="e" cm="1">
        <f t="array" ref="X58">IF(U58="","", IFERROR(((IF(U$5&lt;&gt;"", U$5*M$5, 0) + SUMPRODUCT(--(U$6:U58&lt;&gt;""), U$6:U58, (M$6:M58-M$5:M57)))/1000)/T$3, ""))</f>
        <v>#N/A</v>
      </c>
    </row>
    <row r="59" spans="1:24" x14ac:dyDescent="0.25">
      <c r="A59" s="1">
        <f t="shared" si="2"/>
        <v>110</v>
      </c>
      <c r="B59" s="1">
        <f t="shared" si="3"/>
        <v>0</v>
      </c>
      <c r="I59" s="1" t="e">
        <f t="shared" si="4"/>
        <v>#N/A</v>
      </c>
      <c r="J59" s="1" t="e">
        <f t="shared" si="0"/>
        <v>#N/A</v>
      </c>
      <c r="K59" s="1" t="e">
        <f t="shared" si="5"/>
        <v>#N/A</v>
      </c>
      <c r="L59" s="8" t="e" cm="1">
        <f t="array" ref="L59">IF(I59="","", IFERROR(((IF(I$5&lt;&gt;"", I$5*A$5, 0) + SUMPRODUCT(--(I$6:I59&lt;&gt;""), I$6:I59, (A$6:A59-A$5:A58)))/1000)/H$3, ""))</f>
        <v>#N/A</v>
      </c>
      <c r="M59" s="1">
        <f t="shared" si="6"/>
        <v>110</v>
      </c>
      <c r="N59" s="1">
        <f t="shared" si="7"/>
        <v>0</v>
      </c>
      <c r="U59" s="1" t="e">
        <f t="shared" si="8"/>
        <v>#N/A</v>
      </c>
      <c r="V59" s="1" t="e">
        <f t="shared" si="1"/>
        <v>#N/A</v>
      </c>
      <c r="W59" s="1" t="e">
        <f t="shared" si="9"/>
        <v>#N/A</v>
      </c>
      <c r="X59" s="8" t="e" cm="1">
        <f t="array" ref="X59">IF(U59="","", IFERROR(((IF(U$5&lt;&gt;"", U$5*M$5, 0) + SUMPRODUCT(--(U$6:U59&lt;&gt;""), U$6:U59, (M$6:M59-M$5:M58)))/1000)/T$3, ""))</f>
        <v>#N/A</v>
      </c>
    </row>
    <row r="60" spans="1:24" x14ac:dyDescent="0.25">
      <c r="A60" s="1">
        <f t="shared" si="2"/>
        <v>112</v>
      </c>
      <c r="B60" s="1">
        <f t="shared" si="3"/>
        <v>0</v>
      </c>
      <c r="I60" s="1" t="e">
        <f t="shared" si="4"/>
        <v>#N/A</v>
      </c>
      <c r="J60" s="1" t="e">
        <f t="shared" si="0"/>
        <v>#N/A</v>
      </c>
      <c r="K60" s="1" t="e">
        <f t="shared" si="5"/>
        <v>#N/A</v>
      </c>
      <c r="L60" s="8" t="e" cm="1">
        <f t="array" ref="L60">IF(I60="","", IFERROR(((IF(I$5&lt;&gt;"", I$5*A$5, 0) + SUMPRODUCT(--(I$6:I60&lt;&gt;""), I$6:I60, (A$6:A60-A$5:A59)))/1000)/H$3, ""))</f>
        <v>#N/A</v>
      </c>
      <c r="M60" s="1">
        <f t="shared" si="6"/>
        <v>112</v>
      </c>
      <c r="N60" s="1">
        <f t="shared" si="7"/>
        <v>0</v>
      </c>
      <c r="U60" s="1" t="e">
        <f t="shared" si="8"/>
        <v>#N/A</v>
      </c>
      <c r="V60" s="1" t="e">
        <f t="shared" si="1"/>
        <v>#N/A</v>
      </c>
      <c r="W60" s="1" t="e">
        <f t="shared" si="9"/>
        <v>#N/A</v>
      </c>
      <c r="X60" s="8" t="e" cm="1">
        <f t="array" ref="X60">IF(U60="","", IFERROR(((IF(U$5&lt;&gt;"", U$5*M$5, 0) + SUMPRODUCT(--(U$6:U60&lt;&gt;""), U$6:U60, (M$6:M60-M$5:M59)))/1000)/T$3, ""))</f>
        <v>#N/A</v>
      </c>
    </row>
    <row r="61" spans="1:24" x14ac:dyDescent="0.25">
      <c r="A61" s="1">
        <f t="shared" si="2"/>
        <v>114</v>
      </c>
      <c r="B61" s="1">
        <f t="shared" si="3"/>
        <v>0</v>
      </c>
      <c r="I61" s="1" t="e">
        <f t="shared" si="4"/>
        <v>#N/A</v>
      </c>
      <c r="J61" s="1" t="e">
        <f t="shared" si="0"/>
        <v>#N/A</v>
      </c>
      <c r="K61" s="1" t="e">
        <f t="shared" si="5"/>
        <v>#N/A</v>
      </c>
      <c r="L61" s="8" t="e" cm="1">
        <f t="array" ref="L61">IF(I61="","", IFERROR(((IF(I$5&lt;&gt;"", I$5*A$5, 0) + SUMPRODUCT(--(I$6:I61&lt;&gt;""), I$6:I61, (A$6:A61-A$5:A60)))/1000)/H$3, ""))</f>
        <v>#N/A</v>
      </c>
      <c r="M61" s="1">
        <f t="shared" si="6"/>
        <v>114</v>
      </c>
      <c r="N61" s="1">
        <f t="shared" si="7"/>
        <v>0</v>
      </c>
      <c r="U61" s="1" t="e">
        <f t="shared" si="8"/>
        <v>#N/A</v>
      </c>
      <c r="V61" s="1" t="e">
        <f t="shared" si="1"/>
        <v>#N/A</v>
      </c>
      <c r="W61" s="1" t="e">
        <f t="shared" si="9"/>
        <v>#N/A</v>
      </c>
      <c r="X61" s="8" t="e" cm="1">
        <f t="array" ref="X61">IF(U61="","", IFERROR(((IF(U$5&lt;&gt;"", U$5*M$5, 0) + SUMPRODUCT(--(U$6:U61&lt;&gt;""), U$6:U61, (M$6:M61-M$5:M60)))/1000)/T$3, ""))</f>
        <v>#N/A</v>
      </c>
    </row>
    <row r="62" spans="1:24" x14ac:dyDescent="0.25">
      <c r="A62" s="1">
        <f t="shared" si="2"/>
        <v>116</v>
      </c>
      <c r="B62" s="1">
        <f t="shared" si="3"/>
        <v>0</v>
      </c>
      <c r="I62" s="1" t="e">
        <f t="shared" si="4"/>
        <v>#N/A</v>
      </c>
      <c r="J62" s="1" t="e">
        <f t="shared" si="0"/>
        <v>#N/A</v>
      </c>
      <c r="K62" s="1" t="e">
        <f t="shared" si="5"/>
        <v>#N/A</v>
      </c>
      <c r="L62" s="8" t="e" cm="1">
        <f t="array" ref="L62">IF(I62="","", IFERROR(((IF(I$5&lt;&gt;"", I$5*A$5, 0) + SUMPRODUCT(--(I$6:I62&lt;&gt;""), I$6:I62, (A$6:A62-A$5:A61)))/1000)/H$3, ""))</f>
        <v>#N/A</v>
      </c>
      <c r="M62" s="1">
        <f t="shared" si="6"/>
        <v>116</v>
      </c>
      <c r="N62" s="1">
        <f t="shared" si="7"/>
        <v>0</v>
      </c>
      <c r="U62" s="1" t="e">
        <f t="shared" si="8"/>
        <v>#N/A</v>
      </c>
      <c r="V62" s="1" t="e">
        <f t="shared" si="1"/>
        <v>#N/A</v>
      </c>
      <c r="W62" s="1" t="e">
        <f t="shared" si="9"/>
        <v>#N/A</v>
      </c>
      <c r="X62" s="8" t="e" cm="1">
        <f t="array" ref="X62">IF(U62="","", IFERROR(((IF(U$5&lt;&gt;"", U$5*M$5, 0) + SUMPRODUCT(--(U$6:U62&lt;&gt;""), U$6:U62, (M$6:M62-M$5:M61)))/1000)/T$3, ""))</f>
        <v>#N/A</v>
      </c>
    </row>
    <row r="63" spans="1:24" x14ac:dyDescent="0.25">
      <c r="A63" s="1">
        <f t="shared" si="2"/>
        <v>118</v>
      </c>
      <c r="B63" s="1">
        <f t="shared" si="3"/>
        <v>0</v>
      </c>
      <c r="I63" s="1" t="e">
        <f t="shared" si="4"/>
        <v>#N/A</v>
      </c>
      <c r="J63" s="1" t="e">
        <f t="shared" si="0"/>
        <v>#N/A</v>
      </c>
      <c r="K63" s="1" t="e">
        <f t="shared" si="5"/>
        <v>#N/A</v>
      </c>
      <c r="L63" s="8" t="e" cm="1">
        <f t="array" ref="L63">IF(I63="","", IFERROR(((IF(I$5&lt;&gt;"", I$5*A$5, 0) + SUMPRODUCT(--(I$6:I63&lt;&gt;""), I$6:I63, (A$6:A63-A$5:A62)))/1000)/H$3, ""))</f>
        <v>#N/A</v>
      </c>
      <c r="M63" s="1">
        <f t="shared" si="6"/>
        <v>118</v>
      </c>
      <c r="N63" s="1">
        <f t="shared" si="7"/>
        <v>0</v>
      </c>
      <c r="U63" s="1" t="e">
        <f t="shared" si="8"/>
        <v>#N/A</v>
      </c>
      <c r="V63" s="1" t="e">
        <f t="shared" si="1"/>
        <v>#N/A</v>
      </c>
      <c r="W63" s="1" t="e">
        <f t="shared" si="9"/>
        <v>#N/A</v>
      </c>
      <c r="X63" s="8" t="e" cm="1">
        <f t="array" ref="X63">IF(U63="","", IFERROR(((IF(U$5&lt;&gt;"", U$5*M$5, 0) + SUMPRODUCT(--(U$6:U63&lt;&gt;""), U$6:U63, (M$6:M63-M$5:M62)))/1000)/T$3, ""))</f>
        <v>#N/A</v>
      </c>
    </row>
    <row r="64" spans="1:24" x14ac:dyDescent="0.25">
      <c r="A64" s="1">
        <f t="shared" si="2"/>
        <v>120</v>
      </c>
      <c r="B64" s="1">
        <f t="shared" si="3"/>
        <v>0</v>
      </c>
      <c r="I64" s="1" t="e">
        <f t="shared" si="4"/>
        <v>#N/A</v>
      </c>
      <c r="J64" s="1" t="e">
        <f t="shared" si="0"/>
        <v>#N/A</v>
      </c>
      <c r="K64" s="1" t="e">
        <f t="shared" si="5"/>
        <v>#N/A</v>
      </c>
      <c r="L64" s="8" t="e" cm="1">
        <f t="array" ref="L64">IF(I64="","", IFERROR(((IF(I$5&lt;&gt;"", I$5*A$5, 0) + SUMPRODUCT(--(I$6:I64&lt;&gt;""), I$6:I64, (A$6:A64-A$5:A63)))/1000)/H$3, ""))</f>
        <v>#N/A</v>
      </c>
      <c r="M64" s="1">
        <f t="shared" si="6"/>
        <v>120</v>
      </c>
      <c r="N64" s="1">
        <f t="shared" si="7"/>
        <v>0</v>
      </c>
      <c r="U64" s="1" t="e">
        <f t="shared" si="8"/>
        <v>#N/A</v>
      </c>
      <c r="V64" s="1" t="e">
        <f t="shared" si="1"/>
        <v>#N/A</v>
      </c>
      <c r="W64" s="1" t="e">
        <f t="shared" si="9"/>
        <v>#N/A</v>
      </c>
      <c r="X64" s="8" t="e" cm="1">
        <f t="array" ref="X64">IF(U64="","", IFERROR(((IF(U$5&lt;&gt;"", U$5*M$5, 0) + SUMPRODUCT(--(U$6:U64&lt;&gt;""), U$6:U64, (M$6:M64-M$5:M63)))/1000)/T$3, ""))</f>
        <v>#N/A</v>
      </c>
    </row>
    <row r="65" spans="1:24" x14ac:dyDescent="0.25">
      <c r="A65" s="1">
        <f t="shared" si="2"/>
        <v>122</v>
      </c>
      <c r="B65" s="1">
        <f t="shared" si="3"/>
        <v>0</v>
      </c>
      <c r="I65" s="1" t="e">
        <f t="shared" si="4"/>
        <v>#N/A</v>
      </c>
      <c r="J65" s="1" t="e">
        <f t="shared" si="0"/>
        <v>#N/A</v>
      </c>
      <c r="K65" s="1" t="e">
        <f t="shared" si="5"/>
        <v>#N/A</v>
      </c>
      <c r="L65" s="8" t="e" cm="1">
        <f t="array" ref="L65">IF(I65="","", IFERROR(((IF(I$5&lt;&gt;"", I$5*A$5, 0) + SUMPRODUCT(--(I$6:I65&lt;&gt;""), I$6:I65, (A$6:A65-A$5:A64)))/1000)/H$3, ""))</f>
        <v>#N/A</v>
      </c>
      <c r="M65" s="1">
        <f t="shared" si="6"/>
        <v>122</v>
      </c>
      <c r="N65" s="1">
        <f t="shared" si="7"/>
        <v>0</v>
      </c>
      <c r="U65" s="1" t="e">
        <f t="shared" si="8"/>
        <v>#N/A</v>
      </c>
      <c r="V65" s="1" t="e">
        <f t="shared" si="1"/>
        <v>#N/A</v>
      </c>
      <c r="W65" s="1" t="e">
        <f t="shared" si="9"/>
        <v>#N/A</v>
      </c>
      <c r="X65" s="8" t="e" cm="1">
        <f t="array" ref="X65">IF(U65="","", IFERROR(((IF(U$5&lt;&gt;"", U$5*M$5, 0) + SUMPRODUCT(--(U$6:U65&lt;&gt;""), U$6:U65, (M$6:M65-M$5:M64)))/1000)/T$3, ""))</f>
        <v>#N/A</v>
      </c>
    </row>
    <row r="66" spans="1:24" x14ac:dyDescent="0.25">
      <c r="A66" s="1">
        <f t="shared" si="2"/>
        <v>124</v>
      </c>
      <c r="B66" s="1">
        <f t="shared" si="3"/>
        <v>0</v>
      </c>
      <c r="I66" s="1" t="e">
        <f t="shared" si="4"/>
        <v>#N/A</v>
      </c>
      <c r="J66" s="1" t="e">
        <f t="shared" si="0"/>
        <v>#N/A</v>
      </c>
      <c r="K66" s="1" t="e">
        <f t="shared" si="5"/>
        <v>#N/A</v>
      </c>
      <c r="L66" s="8" t="e" cm="1">
        <f t="array" ref="L66">IF(I66="","", IFERROR(((IF(I$5&lt;&gt;"", I$5*A$5, 0) + SUMPRODUCT(--(I$6:I66&lt;&gt;""), I$6:I66, (A$6:A66-A$5:A65)))/1000)/H$3, ""))</f>
        <v>#N/A</v>
      </c>
      <c r="M66" s="1">
        <f t="shared" si="6"/>
        <v>124</v>
      </c>
      <c r="N66" s="1">
        <f t="shared" si="7"/>
        <v>0</v>
      </c>
      <c r="U66" s="1" t="e">
        <f t="shared" si="8"/>
        <v>#N/A</v>
      </c>
      <c r="V66" s="1" t="e">
        <f t="shared" si="1"/>
        <v>#N/A</v>
      </c>
      <c r="W66" s="1" t="e">
        <f t="shared" si="9"/>
        <v>#N/A</v>
      </c>
      <c r="X66" s="8" t="e" cm="1">
        <f t="array" ref="X66">IF(U66="","", IFERROR(((IF(U$5&lt;&gt;"", U$5*M$5, 0) + SUMPRODUCT(--(U$6:U66&lt;&gt;""), U$6:U66, (M$6:M66-M$5:M65)))/1000)/T$3, ""))</f>
        <v>#N/A</v>
      </c>
    </row>
    <row r="67" spans="1:24" x14ac:dyDescent="0.25">
      <c r="A67" s="1">
        <f t="shared" si="2"/>
        <v>126</v>
      </c>
      <c r="B67" s="1">
        <f t="shared" si="3"/>
        <v>0</v>
      </c>
      <c r="I67" s="1" t="e">
        <f t="shared" si="4"/>
        <v>#N/A</v>
      </c>
      <c r="J67" s="1" t="e">
        <f t="shared" si="0"/>
        <v>#N/A</v>
      </c>
      <c r="K67" s="1" t="e">
        <f t="shared" si="5"/>
        <v>#N/A</v>
      </c>
      <c r="L67" s="8" t="e" cm="1">
        <f t="array" ref="L67">IF(I67="","", IFERROR(((IF(I$5&lt;&gt;"", I$5*A$5, 0) + SUMPRODUCT(--(I$6:I67&lt;&gt;""), I$6:I67, (A$6:A67-A$5:A66)))/1000)/H$3, ""))</f>
        <v>#N/A</v>
      </c>
      <c r="M67" s="1">
        <f t="shared" si="6"/>
        <v>126</v>
      </c>
      <c r="N67" s="1">
        <f t="shared" si="7"/>
        <v>0</v>
      </c>
      <c r="U67" s="1" t="e">
        <f t="shared" si="8"/>
        <v>#N/A</v>
      </c>
      <c r="V67" s="1" t="e">
        <f t="shared" si="1"/>
        <v>#N/A</v>
      </c>
      <c r="W67" s="1" t="e">
        <f t="shared" si="9"/>
        <v>#N/A</v>
      </c>
      <c r="X67" s="8" t="e" cm="1">
        <f t="array" ref="X67">IF(U67="","", IFERROR(((IF(U$5&lt;&gt;"", U$5*M$5, 0) + SUMPRODUCT(--(U$6:U67&lt;&gt;""), U$6:U67, (M$6:M67-M$5:M66)))/1000)/T$3, ""))</f>
        <v>#N/A</v>
      </c>
    </row>
    <row r="68" spans="1:24" x14ac:dyDescent="0.25">
      <c r="A68" s="1">
        <f t="shared" si="2"/>
        <v>128</v>
      </c>
      <c r="B68" s="1">
        <f t="shared" si="3"/>
        <v>0</v>
      </c>
      <c r="I68" s="1" t="e">
        <f t="shared" si="4"/>
        <v>#N/A</v>
      </c>
      <c r="J68" s="1" t="e">
        <f t="shared" si="0"/>
        <v>#N/A</v>
      </c>
      <c r="K68" s="1" t="e">
        <f t="shared" si="5"/>
        <v>#N/A</v>
      </c>
      <c r="L68" s="8" t="e" cm="1">
        <f t="array" ref="L68">IF(I68="","", IFERROR(((IF(I$5&lt;&gt;"", I$5*A$5, 0) + SUMPRODUCT(--(I$6:I68&lt;&gt;""), I$6:I68, (A$6:A68-A$5:A67)))/1000)/H$3, ""))</f>
        <v>#N/A</v>
      </c>
      <c r="M68" s="1">
        <f t="shared" si="6"/>
        <v>128</v>
      </c>
      <c r="N68" s="1">
        <f t="shared" si="7"/>
        <v>0</v>
      </c>
      <c r="U68" s="1" t="e">
        <f t="shared" si="8"/>
        <v>#N/A</v>
      </c>
      <c r="V68" s="1" t="e">
        <f t="shared" si="1"/>
        <v>#N/A</v>
      </c>
      <c r="W68" s="1" t="e">
        <f t="shared" si="9"/>
        <v>#N/A</v>
      </c>
      <c r="X68" s="8" t="e" cm="1">
        <f t="array" ref="X68">IF(U68="","", IFERROR(((IF(U$5&lt;&gt;"", U$5*M$5, 0) + SUMPRODUCT(--(U$6:U68&lt;&gt;""), U$6:U68, (M$6:M68-M$5:M67)))/1000)/T$3, ""))</f>
        <v>#N/A</v>
      </c>
    </row>
    <row r="69" spans="1:24" x14ac:dyDescent="0.25">
      <c r="A69" s="1">
        <f t="shared" si="2"/>
        <v>130</v>
      </c>
      <c r="B69" s="1">
        <f t="shared" si="3"/>
        <v>0</v>
      </c>
      <c r="I69" s="1" t="e">
        <f t="shared" si="4"/>
        <v>#N/A</v>
      </c>
      <c r="J69" s="1" t="e">
        <f t="shared" si="0"/>
        <v>#N/A</v>
      </c>
      <c r="K69" s="1" t="e">
        <f t="shared" si="5"/>
        <v>#N/A</v>
      </c>
      <c r="L69" s="8" t="e" cm="1">
        <f t="array" ref="L69">IF(I69="","", IFERROR(((IF(I$5&lt;&gt;"", I$5*A$5, 0) + SUMPRODUCT(--(I$6:I69&lt;&gt;""), I$6:I69, (A$6:A69-A$5:A68)))/1000)/H$3, ""))</f>
        <v>#N/A</v>
      </c>
      <c r="M69" s="1">
        <f t="shared" si="6"/>
        <v>130</v>
      </c>
      <c r="N69" s="1">
        <f t="shared" si="7"/>
        <v>0</v>
      </c>
      <c r="U69" s="1" t="e">
        <f t="shared" si="8"/>
        <v>#N/A</v>
      </c>
      <c r="V69" s="1" t="e">
        <f t="shared" si="1"/>
        <v>#N/A</v>
      </c>
      <c r="W69" s="1" t="e">
        <f t="shared" si="9"/>
        <v>#N/A</v>
      </c>
      <c r="X69" s="8" t="e" cm="1">
        <f t="array" ref="X69">IF(U69="","", IFERROR(((IF(U$5&lt;&gt;"", U$5*M$5, 0) + SUMPRODUCT(--(U$6:U69&lt;&gt;""), U$6:U69, (M$6:M69-M$5:M68)))/1000)/T$3, ""))</f>
        <v>#N/A</v>
      </c>
    </row>
    <row r="70" spans="1:24" x14ac:dyDescent="0.25">
      <c r="A70" s="1">
        <f t="shared" si="2"/>
        <v>132</v>
      </c>
      <c r="B70" s="1">
        <f t="shared" si="3"/>
        <v>0</v>
      </c>
      <c r="I70" s="1" t="e">
        <f t="shared" si="4"/>
        <v>#N/A</v>
      </c>
      <c r="J70" s="1" t="e">
        <f t="shared" ref="J70:J115" si="10">IF(I70="","",I70/F$2/2.5)</f>
        <v>#N/A</v>
      </c>
      <c r="K70" s="1" t="e">
        <f t="shared" si="5"/>
        <v>#N/A</v>
      </c>
      <c r="L70" s="8" t="e" cm="1">
        <f t="array" ref="L70">IF(I70="","", IFERROR(((IF(I$5&lt;&gt;"", I$5*A$5, 0) + SUMPRODUCT(--(I$6:I70&lt;&gt;""), I$6:I70, (A$6:A70-A$5:A69)))/1000)/H$3, ""))</f>
        <v>#N/A</v>
      </c>
      <c r="M70" s="1">
        <f t="shared" si="6"/>
        <v>132</v>
      </c>
      <c r="N70" s="1">
        <f t="shared" si="7"/>
        <v>0</v>
      </c>
      <c r="U70" s="1" t="e">
        <f t="shared" si="8"/>
        <v>#N/A</v>
      </c>
      <c r="V70" s="1" t="e">
        <f t="shared" ref="V70:V115" si="11">IF(U70="","",U70/R$2/2.5)</f>
        <v>#N/A</v>
      </c>
      <c r="W70" s="1" t="e">
        <f t="shared" si="9"/>
        <v>#N/A</v>
      </c>
      <c r="X70" s="8" t="e" cm="1">
        <f t="array" ref="X70">IF(U70="","", IFERROR(((IF(U$5&lt;&gt;"", U$5*M$5, 0) + SUMPRODUCT(--(U$6:U70&lt;&gt;""), U$6:U70, (M$6:M70-M$5:M69)))/1000)/T$3, ""))</f>
        <v>#N/A</v>
      </c>
    </row>
    <row r="71" spans="1:24" x14ac:dyDescent="0.25">
      <c r="A71" s="1">
        <f t="shared" ref="A71:A115" si="12">A70+2</f>
        <v>134</v>
      </c>
      <c r="B71" s="1">
        <f t="shared" ref="B71:B115" si="13">C70</f>
        <v>0</v>
      </c>
      <c r="I71" s="1" t="e">
        <f t="shared" ref="I71:I115" si="14">IF(C71="", NA(), (B71-C71)*1000/(A71-A70))</f>
        <v>#N/A</v>
      </c>
      <c r="J71" s="1" t="e">
        <f t="shared" si="10"/>
        <v>#N/A</v>
      </c>
      <c r="K71" s="1" t="e">
        <f t="shared" ref="K71:K115" si="15">IF(I71="","", 100*_xlfn.STDEV.P(I70:I71)/AVERAGE(I70:I71))</f>
        <v>#N/A</v>
      </c>
      <c r="L71" s="8" t="e" cm="1">
        <f t="array" ref="L71">IF(I71="","", IFERROR(((IF(I$5&lt;&gt;"", I$5*A$5, 0) + SUMPRODUCT(--(I$6:I71&lt;&gt;""), I$6:I71, (A$6:A71-A$5:A70)))/1000)/H$3, ""))</f>
        <v>#N/A</v>
      </c>
      <c r="M71" s="1">
        <f t="shared" ref="M71:M115" si="16">M70+2</f>
        <v>134</v>
      </c>
      <c r="N71" s="1">
        <f t="shared" ref="N71:N115" si="17">O70</f>
        <v>0</v>
      </c>
      <c r="U71" s="1" t="e">
        <f t="shared" ref="U71:U115" si="18">IF(O71="", NA(), (N71-O71)*1000/(M71-M70))</f>
        <v>#N/A</v>
      </c>
      <c r="V71" s="1" t="e">
        <f t="shared" si="11"/>
        <v>#N/A</v>
      </c>
      <c r="W71" s="1" t="e">
        <f t="shared" ref="W71:W115" si="19">IF(U71="","", 100*_xlfn.STDEV.P(U70:U71)/AVERAGE(U70:U71))</f>
        <v>#N/A</v>
      </c>
      <c r="X71" s="8" t="e" cm="1">
        <f t="array" ref="X71">IF(U71="","", IFERROR(((IF(U$5&lt;&gt;"", U$5*M$5, 0) + SUMPRODUCT(--(U$6:U71&lt;&gt;""), U$6:U71, (M$6:M71-M$5:M70)))/1000)/T$3, ""))</f>
        <v>#N/A</v>
      </c>
    </row>
    <row r="72" spans="1:24" x14ac:dyDescent="0.25">
      <c r="A72" s="1">
        <f t="shared" si="12"/>
        <v>136</v>
      </c>
      <c r="B72" s="1">
        <f t="shared" si="13"/>
        <v>0</v>
      </c>
      <c r="I72" s="1" t="e">
        <f t="shared" si="14"/>
        <v>#N/A</v>
      </c>
      <c r="J72" s="1" t="e">
        <f t="shared" si="10"/>
        <v>#N/A</v>
      </c>
      <c r="K72" s="1" t="e">
        <f t="shared" si="15"/>
        <v>#N/A</v>
      </c>
      <c r="L72" s="8" t="e" cm="1">
        <f t="array" ref="L72">IF(I72="","", IFERROR(((IF(I$5&lt;&gt;"", I$5*A$5, 0) + SUMPRODUCT(--(I$6:I72&lt;&gt;""), I$6:I72, (A$6:A72-A$5:A71)))/1000)/H$3, ""))</f>
        <v>#N/A</v>
      </c>
      <c r="M72" s="1">
        <f t="shared" si="16"/>
        <v>136</v>
      </c>
      <c r="N72" s="1">
        <f t="shared" si="17"/>
        <v>0</v>
      </c>
      <c r="U72" s="1" t="e">
        <f t="shared" si="18"/>
        <v>#N/A</v>
      </c>
      <c r="V72" s="1" t="e">
        <f t="shared" si="11"/>
        <v>#N/A</v>
      </c>
      <c r="W72" s="1" t="e">
        <f t="shared" si="19"/>
        <v>#N/A</v>
      </c>
      <c r="X72" s="8" t="e" cm="1">
        <f t="array" ref="X72">IF(U72="","", IFERROR(((IF(U$5&lt;&gt;"", U$5*M$5, 0) + SUMPRODUCT(--(U$6:U72&lt;&gt;""), U$6:U72, (M$6:M72-M$5:M71)))/1000)/T$3, ""))</f>
        <v>#N/A</v>
      </c>
    </row>
    <row r="73" spans="1:24" x14ac:dyDescent="0.25">
      <c r="A73" s="1">
        <f t="shared" si="12"/>
        <v>138</v>
      </c>
      <c r="B73" s="1">
        <f t="shared" si="13"/>
        <v>0</v>
      </c>
      <c r="I73" s="1" t="e">
        <f t="shared" si="14"/>
        <v>#N/A</v>
      </c>
      <c r="J73" s="1" t="e">
        <f t="shared" si="10"/>
        <v>#N/A</v>
      </c>
      <c r="K73" s="1" t="e">
        <f t="shared" si="15"/>
        <v>#N/A</v>
      </c>
      <c r="L73" s="8" t="e" cm="1">
        <f t="array" ref="L73">IF(I73="","", IFERROR(((IF(I$5&lt;&gt;"", I$5*A$5, 0) + SUMPRODUCT(--(I$6:I73&lt;&gt;""), I$6:I73, (A$6:A73-A$5:A72)))/1000)/H$3, ""))</f>
        <v>#N/A</v>
      </c>
      <c r="M73" s="1">
        <f t="shared" si="16"/>
        <v>138</v>
      </c>
      <c r="N73" s="1">
        <f t="shared" si="17"/>
        <v>0</v>
      </c>
      <c r="U73" s="1" t="e">
        <f t="shared" si="18"/>
        <v>#N/A</v>
      </c>
      <c r="V73" s="1" t="e">
        <f t="shared" si="11"/>
        <v>#N/A</v>
      </c>
      <c r="W73" s="1" t="e">
        <f t="shared" si="19"/>
        <v>#N/A</v>
      </c>
      <c r="X73" s="8" t="e" cm="1">
        <f t="array" ref="X73">IF(U73="","", IFERROR(((IF(U$5&lt;&gt;"", U$5*M$5, 0) + SUMPRODUCT(--(U$6:U73&lt;&gt;""), U$6:U73, (M$6:M73-M$5:M72)))/1000)/T$3, ""))</f>
        <v>#N/A</v>
      </c>
    </row>
    <row r="74" spans="1:24" x14ac:dyDescent="0.25">
      <c r="A74" s="1">
        <f t="shared" si="12"/>
        <v>140</v>
      </c>
      <c r="B74" s="1">
        <f t="shared" si="13"/>
        <v>0</v>
      </c>
      <c r="I74" s="1" t="e">
        <f t="shared" si="14"/>
        <v>#N/A</v>
      </c>
      <c r="J74" s="1" t="e">
        <f t="shared" si="10"/>
        <v>#N/A</v>
      </c>
      <c r="K74" s="1" t="e">
        <f t="shared" si="15"/>
        <v>#N/A</v>
      </c>
      <c r="L74" s="8" t="e" cm="1">
        <f t="array" ref="L74">IF(I74="","", IFERROR(((IF(I$5&lt;&gt;"", I$5*A$5, 0) + SUMPRODUCT(--(I$6:I74&lt;&gt;""), I$6:I74, (A$6:A74-A$5:A73)))/1000)/H$3, ""))</f>
        <v>#N/A</v>
      </c>
      <c r="M74" s="1">
        <f t="shared" si="16"/>
        <v>140</v>
      </c>
      <c r="N74" s="1">
        <f t="shared" si="17"/>
        <v>0</v>
      </c>
      <c r="U74" s="1" t="e">
        <f t="shared" si="18"/>
        <v>#N/A</v>
      </c>
      <c r="V74" s="1" t="e">
        <f t="shared" si="11"/>
        <v>#N/A</v>
      </c>
      <c r="W74" s="1" t="e">
        <f t="shared" si="19"/>
        <v>#N/A</v>
      </c>
      <c r="X74" s="8" t="e" cm="1">
        <f t="array" ref="X74">IF(U74="","", IFERROR(((IF(U$5&lt;&gt;"", U$5*M$5, 0) + SUMPRODUCT(--(U$6:U74&lt;&gt;""), U$6:U74, (M$6:M74-M$5:M73)))/1000)/T$3, ""))</f>
        <v>#N/A</v>
      </c>
    </row>
    <row r="75" spans="1:24" x14ac:dyDescent="0.25">
      <c r="A75" s="1">
        <f t="shared" si="12"/>
        <v>142</v>
      </c>
      <c r="B75" s="1">
        <f t="shared" si="13"/>
        <v>0</v>
      </c>
      <c r="I75" s="1" t="e">
        <f t="shared" si="14"/>
        <v>#N/A</v>
      </c>
      <c r="J75" s="1" t="e">
        <f t="shared" si="10"/>
        <v>#N/A</v>
      </c>
      <c r="K75" s="1" t="e">
        <f t="shared" si="15"/>
        <v>#N/A</v>
      </c>
      <c r="L75" s="8" t="e" cm="1">
        <f t="array" ref="L75">IF(I75="","", IFERROR(((IF(I$5&lt;&gt;"", I$5*A$5, 0) + SUMPRODUCT(--(I$6:I75&lt;&gt;""), I$6:I75, (A$6:A75-A$5:A74)))/1000)/H$3, ""))</f>
        <v>#N/A</v>
      </c>
      <c r="M75" s="1">
        <f t="shared" si="16"/>
        <v>142</v>
      </c>
      <c r="N75" s="1">
        <f t="shared" si="17"/>
        <v>0</v>
      </c>
      <c r="U75" s="1" t="e">
        <f t="shared" si="18"/>
        <v>#N/A</v>
      </c>
      <c r="V75" s="1" t="e">
        <f t="shared" si="11"/>
        <v>#N/A</v>
      </c>
      <c r="W75" s="1" t="e">
        <f t="shared" si="19"/>
        <v>#N/A</v>
      </c>
      <c r="X75" s="8" t="e" cm="1">
        <f t="array" ref="X75">IF(U75="","", IFERROR(((IF(U$5&lt;&gt;"", U$5*M$5, 0) + SUMPRODUCT(--(U$6:U75&lt;&gt;""), U$6:U75, (M$6:M75-M$5:M74)))/1000)/T$3, ""))</f>
        <v>#N/A</v>
      </c>
    </row>
    <row r="76" spans="1:24" x14ac:dyDescent="0.25">
      <c r="A76" s="1">
        <f t="shared" si="12"/>
        <v>144</v>
      </c>
      <c r="B76" s="1">
        <f t="shared" si="13"/>
        <v>0</v>
      </c>
      <c r="I76" s="1" t="e">
        <f t="shared" si="14"/>
        <v>#N/A</v>
      </c>
      <c r="J76" s="1" t="e">
        <f t="shared" si="10"/>
        <v>#N/A</v>
      </c>
      <c r="K76" s="1" t="e">
        <f t="shared" si="15"/>
        <v>#N/A</v>
      </c>
      <c r="L76" s="8" t="e" cm="1">
        <f t="array" ref="L76">IF(I76="","", IFERROR(((IF(I$5&lt;&gt;"", I$5*A$5, 0) + SUMPRODUCT(--(I$6:I76&lt;&gt;""), I$6:I76, (A$6:A76-A$5:A75)))/1000)/H$3, ""))</f>
        <v>#N/A</v>
      </c>
      <c r="M76" s="1">
        <f t="shared" si="16"/>
        <v>144</v>
      </c>
      <c r="N76" s="1">
        <f t="shared" si="17"/>
        <v>0</v>
      </c>
      <c r="U76" s="1" t="e">
        <f t="shared" si="18"/>
        <v>#N/A</v>
      </c>
      <c r="V76" s="1" t="e">
        <f t="shared" si="11"/>
        <v>#N/A</v>
      </c>
      <c r="W76" s="1" t="e">
        <f t="shared" si="19"/>
        <v>#N/A</v>
      </c>
      <c r="X76" s="8" t="e" cm="1">
        <f t="array" ref="X76">IF(U76="","", IFERROR(((IF(U$5&lt;&gt;"", U$5*M$5, 0) + SUMPRODUCT(--(U$6:U76&lt;&gt;""), U$6:U76, (M$6:M76-M$5:M75)))/1000)/T$3, ""))</f>
        <v>#N/A</v>
      </c>
    </row>
    <row r="77" spans="1:24" x14ac:dyDescent="0.25">
      <c r="A77" s="1">
        <f t="shared" si="12"/>
        <v>146</v>
      </c>
      <c r="B77" s="1">
        <f t="shared" si="13"/>
        <v>0</v>
      </c>
      <c r="I77" s="1" t="e">
        <f t="shared" si="14"/>
        <v>#N/A</v>
      </c>
      <c r="J77" s="1" t="e">
        <f t="shared" si="10"/>
        <v>#N/A</v>
      </c>
      <c r="K77" s="1" t="e">
        <f t="shared" si="15"/>
        <v>#N/A</v>
      </c>
      <c r="L77" s="8" t="e" cm="1">
        <f t="array" ref="L77">IF(I77="","", IFERROR(((IF(I$5&lt;&gt;"", I$5*A$5, 0) + SUMPRODUCT(--(I$6:I77&lt;&gt;""), I$6:I77, (A$6:A77-A$5:A76)))/1000)/H$3, ""))</f>
        <v>#N/A</v>
      </c>
      <c r="M77" s="1">
        <f t="shared" si="16"/>
        <v>146</v>
      </c>
      <c r="N77" s="1">
        <f t="shared" si="17"/>
        <v>0</v>
      </c>
      <c r="U77" s="1" t="e">
        <f t="shared" si="18"/>
        <v>#N/A</v>
      </c>
      <c r="V77" s="1" t="e">
        <f t="shared" si="11"/>
        <v>#N/A</v>
      </c>
      <c r="W77" s="1" t="e">
        <f t="shared" si="19"/>
        <v>#N/A</v>
      </c>
      <c r="X77" s="8" t="e" cm="1">
        <f t="array" ref="X77">IF(U77="","", IFERROR(((IF(U$5&lt;&gt;"", U$5*M$5, 0) + SUMPRODUCT(--(U$6:U77&lt;&gt;""), U$6:U77, (M$6:M77-M$5:M76)))/1000)/T$3, ""))</f>
        <v>#N/A</v>
      </c>
    </row>
    <row r="78" spans="1:24" x14ac:dyDescent="0.25">
      <c r="A78" s="1">
        <f t="shared" si="12"/>
        <v>148</v>
      </c>
      <c r="B78" s="1">
        <f t="shared" si="13"/>
        <v>0</v>
      </c>
      <c r="I78" s="1" t="e">
        <f t="shared" si="14"/>
        <v>#N/A</v>
      </c>
      <c r="J78" s="1" t="e">
        <f t="shared" si="10"/>
        <v>#N/A</v>
      </c>
      <c r="K78" s="1" t="e">
        <f t="shared" si="15"/>
        <v>#N/A</v>
      </c>
      <c r="L78" s="8" t="e" cm="1">
        <f t="array" ref="L78">IF(I78="","", IFERROR(((IF(I$5&lt;&gt;"", I$5*A$5, 0) + SUMPRODUCT(--(I$6:I78&lt;&gt;""), I$6:I78, (A$6:A78-A$5:A77)))/1000)/H$3, ""))</f>
        <v>#N/A</v>
      </c>
      <c r="M78" s="1">
        <f t="shared" si="16"/>
        <v>148</v>
      </c>
      <c r="N78" s="1">
        <f t="shared" si="17"/>
        <v>0</v>
      </c>
      <c r="U78" s="1" t="e">
        <f t="shared" si="18"/>
        <v>#N/A</v>
      </c>
      <c r="V78" s="1" t="e">
        <f t="shared" si="11"/>
        <v>#N/A</v>
      </c>
      <c r="W78" s="1" t="e">
        <f t="shared" si="19"/>
        <v>#N/A</v>
      </c>
      <c r="X78" s="8" t="e" cm="1">
        <f t="array" ref="X78">IF(U78="","", IFERROR(((IF(U$5&lt;&gt;"", U$5*M$5, 0) + SUMPRODUCT(--(U$6:U78&lt;&gt;""), U$6:U78, (M$6:M78-M$5:M77)))/1000)/T$3, ""))</f>
        <v>#N/A</v>
      </c>
    </row>
    <row r="79" spans="1:24" x14ac:dyDescent="0.25">
      <c r="A79" s="1">
        <f t="shared" si="12"/>
        <v>150</v>
      </c>
      <c r="B79" s="1">
        <f t="shared" si="13"/>
        <v>0</v>
      </c>
      <c r="I79" s="1" t="e">
        <f t="shared" si="14"/>
        <v>#N/A</v>
      </c>
      <c r="J79" s="1" t="e">
        <f t="shared" si="10"/>
        <v>#N/A</v>
      </c>
      <c r="K79" s="1" t="e">
        <f t="shared" si="15"/>
        <v>#N/A</v>
      </c>
      <c r="L79" s="8" t="e" cm="1">
        <f t="array" ref="L79">IF(I79="","", IFERROR(((IF(I$5&lt;&gt;"", I$5*A$5, 0) + SUMPRODUCT(--(I$6:I79&lt;&gt;""), I$6:I79, (A$6:A79-A$5:A78)))/1000)/H$3, ""))</f>
        <v>#N/A</v>
      </c>
      <c r="M79" s="1">
        <f t="shared" si="16"/>
        <v>150</v>
      </c>
      <c r="N79" s="1">
        <f t="shared" si="17"/>
        <v>0</v>
      </c>
      <c r="U79" s="1" t="e">
        <f t="shared" si="18"/>
        <v>#N/A</v>
      </c>
      <c r="V79" s="1" t="e">
        <f t="shared" si="11"/>
        <v>#N/A</v>
      </c>
      <c r="W79" s="1" t="e">
        <f t="shared" si="19"/>
        <v>#N/A</v>
      </c>
      <c r="X79" s="8" t="e" cm="1">
        <f t="array" ref="X79">IF(U79="","", IFERROR(((IF(U$5&lt;&gt;"", U$5*M$5, 0) + SUMPRODUCT(--(U$6:U79&lt;&gt;""), U$6:U79, (M$6:M79-M$5:M78)))/1000)/T$3, ""))</f>
        <v>#N/A</v>
      </c>
    </row>
    <row r="80" spans="1:24" x14ac:dyDescent="0.25">
      <c r="A80" s="1">
        <f t="shared" si="12"/>
        <v>152</v>
      </c>
      <c r="B80" s="1">
        <f t="shared" si="13"/>
        <v>0</v>
      </c>
      <c r="I80" s="1" t="e">
        <f t="shared" si="14"/>
        <v>#N/A</v>
      </c>
      <c r="J80" s="1" t="e">
        <f t="shared" si="10"/>
        <v>#N/A</v>
      </c>
      <c r="K80" s="1" t="e">
        <f t="shared" si="15"/>
        <v>#N/A</v>
      </c>
      <c r="L80" s="8" t="e" cm="1">
        <f t="array" ref="L80">IF(I80="","", IFERROR(((IF(I$5&lt;&gt;"", I$5*A$5, 0) + SUMPRODUCT(--(I$6:I80&lt;&gt;""), I$6:I80, (A$6:A80-A$5:A79)))/1000)/H$3, ""))</f>
        <v>#N/A</v>
      </c>
      <c r="M80" s="1">
        <f t="shared" si="16"/>
        <v>152</v>
      </c>
      <c r="N80" s="1">
        <f t="shared" si="17"/>
        <v>0</v>
      </c>
      <c r="U80" s="1" t="e">
        <f t="shared" si="18"/>
        <v>#N/A</v>
      </c>
      <c r="V80" s="1" t="e">
        <f t="shared" si="11"/>
        <v>#N/A</v>
      </c>
      <c r="W80" s="1" t="e">
        <f t="shared" si="19"/>
        <v>#N/A</v>
      </c>
      <c r="X80" s="8" t="e" cm="1">
        <f t="array" ref="X80">IF(U80="","", IFERROR(((IF(U$5&lt;&gt;"", U$5*M$5, 0) + SUMPRODUCT(--(U$6:U80&lt;&gt;""), U$6:U80, (M$6:M80-M$5:M79)))/1000)/T$3, ""))</f>
        <v>#N/A</v>
      </c>
    </row>
    <row r="81" spans="1:24" x14ac:dyDescent="0.25">
      <c r="A81" s="1">
        <f t="shared" si="12"/>
        <v>154</v>
      </c>
      <c r="B81" s="1">
        <f t="shared" si="13"/>
        <v>0</v>
      </c>
      <c r="I81" s="1" t="e">
        <f t="shared" si="14"/>
        <v>#N/A</v>
      </c>
      <c r="J81" s="1" t="e">
        <f t="shared" si="10"/>
        <v>#N/A</v>
      </c>
      <c r="K81" s="1" t="e">
        <f t="shared" si="15"/>
        <v>#N/A</v>
      </c>
      <c r="L81" s="8" t="e" cm="1">
        <f t="array" ref="L81">IF(I81="","", IFERROR(((IF(I$5&lt;&gt;"", I$5*A$5, 0) + SUMPRODUCT(--(I$6:I81&lt;&gt;""), I$6:I81, (A$6:A81-A$5:A80)))/1000)/H$3, ""))</f>
        <v>#N/A</v>
      </c>
      <c r="M81" s="1">
        <f t="shared" si="16"/>
        <v>154</v>
      </c>
      <c r="N81" s="1">
        <f t="shared" si="17"/>
        <v>0</v>
      </c>
      <c r="U81" s="1" t="e">
        <f t="shared" si="18"/>
        <v>#N/A</v>
      </c>
      <c r="V81" s="1" t="e">
        <f t="shared" si="11"/>
        <v>#N/A</v>
      </c>
      <c r="W81" s="1" t="e">
        <f t="shared" si="19"/>
        <v>#N/A</v>
      </c>
      <c r="X81" s="8" t="e" cm="1">
        <f t="array" ref="X81">IF(U81="","", IFERROR(((IF(U$5&lt;&gt;"", U$5*M$5, 0) + SUMPRODUCT(--(U$6:U81&lt;&gt;""), U$6:U81, (M$6:M81-M$5:M80)))/1000)/T$3, ""))</f>
        <v>#N/A</v>
      </c>
    </row>
    <row r="82" spans="1:24" x14ac:dyDescent="0.25">
      <c r="A82" s="1">
        <f t="shared" si="12"/>
        <v>156</v>
      </c>
      <c r="B82" s="1">
        <f t="shared" si="13"/>
        <v>0</v>
      </c>
      <c r="I82" s="1" t="e">
        <f t="shared" si="14"/>
        <v>#N/A</v>
      </c>
      <c r="J82" s="1" t="e">
        <f t="shared" si="10"/>
        <v>#N/A</v>
      </c>
      <c r="K82" s="1" t="e">
        <f t="shared" si="15"/>
        <v>#N/A</v>
      </c>
      <c r="L82" s="8" t="e" cm="1">
        <f t="array" ref="L82">IF(I82="","", IFERROR(((IF(I$5&lt;&gt;"", I$5*A$5, 0) + SUMPRODUCT(--(I$6:I82&lt;&gt;""), I$6:I82, (A$6:A82-A$5:A81)))/1000)/H$3, ""))</f>
        <v>#N/A</v>
      </c>
      <c r="M82" s="1">
        <f t="shared" si="16"/>
        <v>156</v>
      </c>
      <c r="N82" s="1">
        <f t="shared" si="17"/>
        <v>0</v>
      </c>
      <c r="U82" s="1" t="e">
        <f t="shared" si="18"/>
        <v>#N/A</v>
      </c>
      <c r="V82" s="1" t="e">
        <f t="shared" si="11"/>
        <v>#N/A</v>
      </c>
      <c r="W82" s="1" t="e">
        <f t="shared" si="19"/>
        <v>#N/A</v>
      </c>
      <c r="X82" s="8" t="e" cm="1">
        <f t="array" ref="X82">IF(U82="","", IFERROR(((IF(U$5&lt;&gt;"", U$5*M$5, 0) + SUMPRODUCT(--(U$6:U82&lt;&gt;""), U$6:U82, (M$6:M82-M$5:M81)))/1000)/T$3, ""))</f>
        <v>#N/A</v>
      </c>
    </row>
    <row r="83" spans="1:24" x14ac:dyDescent="0.25">
      <c r="A83" s="1">
        <f t="shared" si="12"/>
        <v>158</v>
      </c>
      <c r="B83" s="1">
        <f t="shared" si="13"/>
        <v>0</v>
      </c>
      <c r="I83" s="1" t="e">
        <f t="shared" si="14"/>
        <v>#N/A</v>
      </c>
      <c r="J83" s="1" t="e">
        <f t="shared" si="10"/>
        <v>#N/A</v>
      </c>
      <c r="K83" s="1" t="e">
        <f t="shared" si="15"/>
        <v>#N/A</v>
      </c>
      <c r="L83" s="8" t="e" cm="1">
        <f t="array" ref="L83">IF(I83="","", IFERROR(((IF(I$5&lt;&gt;"", I$5*A$5, 0) + SUMPRODUCT(--(I$6:I83&lt;&gt;""), I$6:I83, (A$6:A83-A$5:A82)))/1000)/H$3, ""))</f>
        <v>#N/A</v>
      </c>
      <c r="M83" s="1">
        <f t="shared" si="16"/>
        <v>158</v>
      </c>
      <c r="N83" s="1">
        <f t="shared" si="17"/>
        <v>0</v>
      </c>
      <c r="U83" s="1" t="e">
        <f t="shared" si="18"/>
        <v>#N/A</v>
      </c>
      <c r="V83" s="1" t="e">
        <f t="shared" si="11"/>
        <v>#N/A</v>
      </c>
      <c r="W83" s="1" t="e">
        <f t="shared" si="19"/>
        <v>#N/A</v>
      </c>
      <c r="X83" s="8" t="e" cm="1">
        <f t="array" ref="X83">IF(U83="","", IFERROR(((IF(U$5&lt;&gt;"", U$5*M$5, 0) + SUMPRODUCT(--(U$6:U83&lt;&gt;""), U$6:U83, (M$6:M83-M$5:M82)))/1000)/T$3, ""))</f>
        <v>#N/A</v>
      </c>
    </row>
    <row r="84" spans="1:24" x14ac:dyDescent="0.25">
      <c r="A84" s="1">
        <f t="shared" si="12"/>
        <v>160</v>
      </c>
      <c r="B84" s="1">
        <f t="shared" si="13"/>
        <v>0</v>
      </c>
      <c r="I84" s="1" t="e">
        <f t="shared" si="14"/>
        <v>#N/A</v>
      </c>
      <c r="J84" s="1" t="e">
        <f t="shared" si="10"/>
        <v>#N/A</v>
      </c>
      <c r="K84" s="1" t="e">
        <f t="shared" si="15"/>
        <v>#N/A</v>
      </c>
      <c r="L84" s="8" t="e" cm="1">
        <f t="array" ref="L84">IF(I84="","", IFERROR(((IF(I$5&lt;&gt;"", I$5*A$5, 0) + SUMPRODUCT(--(I$6:I84&lt;&gt;""), I$6:I84, (A$6:A84-A$5:A83)))/1000)/H$3, ""))</f>
        <v>#N/A</v>
      </c>
      <c r="M84" s="1">
        <f t="shared" si="16"/>
        <v>160</v>
      </c>
      <c r="N84" s="1">
        <f t="shared" si="17"/>
        <v>0</v>
      </c>
      <c r="U84" s="1" t="e">
        <f t="shared" si="18"/>
        <v>#N/A</v>
      </c>
      <c r="V84" s="1" t="e">
        <f t="shared" si="11"/>
        <v>#N/A</v>
      </c>
      <c r="W84" s="1" t="e">
        <f t="shared" si="19"/>
        <v>#N/A</v>
      </c>
      <c r="X84" s="8" t="e" cm="1">
        <f t="array" ref="X84">IF(U84="","", IFERROR(((IF(U$5&lt;&gt;"", U$5*M$5, 0) + SUMPRODUCT(--(U$6:U84&lt;&gt;""), U$6:U84, (M$6:M84-M$5:M83)))/1000)/T$3, ""))</f>
        <v>#N/A</v>
      </c>
    </row>
    <row r="85" spans="1:24" x14ac:dyDescent="0.25">
      <c r="A85" s="1">
        <f t="shared" si="12"/>
        <v>162</v>
      </c>
      <c r="B85" s="1">
        <f t="shared" si="13"/>
        <v>0</v>
      </c>
      <c r="I85" s="1" t="e">
        <f t="shared" si="14"/>
        <v>#N/A</v>
      </c>
      <c r="J85" s="1" t="e">
        <f t="shared" si="10"/>
        <v>#N/A</v>
      </c>
      <c r="K85" s="1" t="e">
        <f t="shared" si="15"/>
        <v>#N/A</v>
      </c>
      <c r="L85" s="8" t="e" cm="1">
        <f t="array" ref="L85">IF(I85="","", IFERROR(((IF(I$5&lt;&gt;"", I$5*A$5, 0) + SUMPRODUCT(--(I$6:I85&lt;&gt;""), I$6:I85, (A$6:A85-A$5:A84)))/1000)/H$3, ""))</f>
        <v>#N/A</v>
      </c>
      <c r="M85" s="1">
        <f t="shared" si="16"/>
        <v>162</v>
      </c>
      <c r="N85" s="1">
        <f t="shared" si="17"/>
        <v>0</v>
      </c>
      <c r="U85" s="1" t="e">
        <f t="shared" si="18"/>
        <v>#N/A</v>
      </c>
      <c r="V85" s="1" t="e">
        <f t="shared" si="11"/>
        <v>#N/A</v>
      </c>
      <c r="W85" s="1" t="e">
        <f t="shared" si="19"/>
        <v>#N/A</v>
      </c>
      <c r="X85" s="8" t="e" cm="1">
        <f t="array" ref="X85">IF(U85="","", IFERROR(((IF(U$5&lt;&gt;"", U$5*M$5, 0) + SUMPRODUCT(--(U$6:U85&lt;&gt;""), U$6:U85, (M$6:M85-M$5:M84)))/1000)/T$3, ""))</f>
        <v>#N/A</v>
      </c>
    </row>
    <row r="86" spans="1:24" x14ac:dyDescent="0.25">
      <c r="A86" s="1">
        <f t="shared" si="12"/>
        <v>164</v>
      </c>
      <c r="B86" s="1">
        <f t="shared" si="13"/>
        <v>0</v>
      </c>
      <c r="I86" s="1" t="e">
        <f t="shared" si="14"/>
        <v>#N/A</v>
      </c>
      <c r="J86" s="1" t="e">
        <f t="shared" si="10"/>
        <v>#N/A</v>
      </c>
      <c r="K86" s="1" t="e">
        <f t="shared" si="15"/>
        <v>#N/A</v>
      </c>
      <c r="L86" s="8" t="e" cm="1">
        <f t="array" ref="L86">IF(I86="","", IFERROR(((IF(I$5&lt;&gt;"", I$5*A$5, 0) + SUMPRODUCT(--(I$6:I86&lt;&gt;""), I$6:I86, (A$6:A86-A$5:A85)))/1000)/H$3, ""))</f>
        <v>#N/A</v>
      </c>
      <c r="M86" s="1">
        <f t="shared" si="16"/>
        <v>164</v>
      </c>
      <c r="N86" s="1">
        <f t="shared" si="17"/>
        <v>0</v>
      </c>
      <c r="U86" s="1" t="e">
        <f t="shared" si="18"/>
        <v>#N/A</v>
      </c>
      <c r="V86" s="1" t="e">
        <f t="shared" si="11"/>
        <v>#N/A</v>
      </c>
      <c r="W86" s="1" t="e">
        <f t="shared" si="19"/>
        <v>#N/A</v>
      </c>
      <c r="X86" s="8" t="e" cm="1">
        <f t="array" ref="X86">IF(U86="","", IFERROR(((IF(U$5&lt;&gt;"", U$5*M$5, 0) + SUMPRODUCT(--(U$6:U86&lt;&gt;""), U$6:U86, (M$6:M86-M$5:M85)))/1000)/T$3, ""))</f>
        <v>#N/A</v>
      </c>
    </row>
    <row r="87" spans="1:24" x14ac:dyDescent="0.25">
      <c r="A87" s="1">
        <f t="shared" si="12"/>
        <v>166</v>
      </c>
      <c r="B87" s="1">
        <f t="shared" si="13"/>
        <v>0</v>
      </c>
      <c r="I87" s="1" t="e">
        <f t="shared" si="14"/>
        <v>#N/A</v>
      </c>
      <c r="J87" s="1" t="e">
        <f t="shared" si="10"/>
        <v>#N/A</v>
      </c>
      <c r="K87" s="1" t="e">
        <f t="shared" si="15"/>
        <v>#N/A</v>
      </c>
      <c r="L87" s="8" t="e" cm="1">
        <f t="array" ref="L87">IF(I87="","", IFERROR(((IF(I$5&lt;&gt;"", I$5*A$5, 0) + SUMPRODUCT(--(I$6:I87&lt;&gt;""), I$6:I87, (A$6:A87-A$5:A86)))/1000)/H$3, ""))</f>
        <v>#N/A</v>
      </c>
      <c r="M87" s="1">
        <f t="shared" si="16"/>
        <v>166</v>
      </c>
      <c r="N87" s="1">
        <f t="shared" si="17"/>
        <v>0</v>
      </c>
      <c r="U87" s="1" t="e">
        <f t="shared" si="18"/>
        <v>#N/A</v>
      </c>
      <c r="V87" s="1" t="e">
        <f t="shared" si="11"/>
        <v>#N/A</v>
      </c>
      <c r="W87" s="1" t="e">
        <f t="shared" si="19"/>
        <v>#N/A</v>
      </c>
      <c r="X87" s="8" t="e" cm="1">
        <f t="array" ref="X87">IF(U87="","", IFERROR(((IF(U$5&lt;&gt;"", U$5*M$5, 0) + SUMPRODUCT(--(U$6:U87&lt;&gt;""), U$6:U87, (M$6:M87-M$5:M86)))/1000)/T$3, ""))</f>
        <v>#N/A</v>
      </c>
    </row>
    <row r="88" spans="1:24" x14ac:dyDescent="0.25">
      <c r="A88" s="1">
        <f t="shared" si="12"/>
        <v>168</v>
      </c>
      <c r="B88" s="1">
        <f t="shared" si="13"/>
        <v>0</v>
      </c>
      <c r="I88" s="1" t="e">
        <f t="shared" si="14"/>
        <v>#N/A</v>
      </c>
      <c r="J88" s="1" t="e">
        <f t="shared" si="10"/>
        <v>#N/A</v>
      </c>
      <c r="K88" s="1" t="e">
        <f t="shared" si="15"/>
        <v>#N/A</v>
      </c>
      <c r="L88" s="8" t="e" cm="1">
        <f t="array" ref="L88">IF(I88="","", IFERROR(((IF(I$5&lt;&gt;"", I$5*A$5, 0) + SUMPRODUCT(--(I$6:I88&lt;&gt;""), I$6:I88, (A$6:A88-A$5:A87)))/1000)/H$3, ""))</f>
        <v>#N/A</v>
      </c>
      <c r="M88" s="1">
        <f t="shared" si="16"/>
        <v>168</v>
      </c>
      <c r="N88" s="1">
        <f t="shared" si="17"/>
        <v>0</v>
      </c>
      <c r="U88" s="1" t="e">
        <f t="shared" si="18"/>
        <v>#N/A</v>
      </c>
      <c r="V88" s="1" t="e">
        <f t="shared" si="11"/>
        <v>#N/A</v>
      </c>
      <c r="W88" s="1" t="e">
        <f t="shared" si="19"/>
        <v>#N/A</v>
      </c>
      <c r="X88" s="8" t="e" cm="1">
        <f t="array" ref="X88">IF(U88="","", IFERROR(((IF(U$5&lt;&gt;"", U$5*M$5, 0) + SUMPRODUCT(--(U$6:U88&lt;&gt;""), U$6:U88, (M$6:M88-M$5:M87)))/1000)/T$3, ""))</f>
        <v>#N/A</v>
      </c>
    </row>
    <row r="89" spans="1:24" x14ac:dyDescent="0.25">
      <c r="A89" s="1">
        <f t="shared" si="12"/>
        <v>170</v>
      </c>
      <c r="B89" s="1">
        <f t="shared" si="13"/>
        <v>0</v>
      </c>
      <c r="I89" s="1" t="e">
        <f t="shared" si="14"/>
        <v>#N/A</v>
      </c>
      <c r="J89" s="1" t="e">
        <f t="shared" si="10"/>
        <v>#N/A</v>
      </c>
      <c r="K89" s="1" t="e">
        <f t="shared" si="15"/>
        <v>#N/A</v>
      </c>
      <c r="L89" s="8" t="e" cm="1">
        <f t="array" ref="L89">IF(I89="","", IFERROR(((IF(I$5&lt;&gt;"", I$5*A$5, 0) + SUMPRODUCT(--(I$6:I89&lt;&gt;""), I$6:I89, (A$6:A89-A$5:A88)))/1000)/H$3, ""))</f>
        <v>#N/A</v>
      </c>
      <c r="M89" s="1">
        <f t="shared" si="16"/>
        <v>170</v>
      </c>
      <c r="N89" s="1">
        <f t="shared" si="17"/>
        <v>0</v>
      </c>
      <c r="U89" s="1" t="e">
        <f t="shared" si="18"/>
        <v>#N/A</v>
      </c>
      <c r="V89" s="1" t="e">
        <f t="shared" si="11"/>
        <v>#N/A</v>
      </c>
      <c r="W89" s="1" t="e">
        <f t="shared" si="19"/>
        <v>#N/A</v>
      </c>
      <c r="X89" s="8" t="e" cm="1">
        <f t="array" ref="X89">IF(U89="","", IFERROR(((IF(U$5&lt;&gt;"", U$5*M$5, 0) + SUMPRODUCT(--(U$6:U89&lt;&gt;""), U$6:U89, (M$6:M89-M$5:M88)))/1000)/T$3, ""))</f>
        <v>#N/A</v>
      </c>
    </row>
    <row r="90" spans="1:24" x14ac:dyDescent="0.25">
      <c r="A90" s="1">
        <f t="shared" si="12"/>
        <v>172</v>
      </c>
      <c r="B90" s="1">
        <f t="shared" si="13"/>
        <v>0</v>
      </c>
      <c r="I90" s="1" t="e">
        <f t="shared" si="14"/>
        <v>#N/A</v>
      </c>
      <c r="J90" s="1" t="e">
        <f t="shared" si="10"/>
        <v>#N/A</v>
      </c>
      <c r="K90" s="1" t="e">
        <f t="shared" si="15"/>
        <v>#N/A</v>
      </c>
      <c r="L90" s="8" t="e" cm="1">
        <f t="array" ref="L90">IF(I90="","", IFERROR(((IF(I$5&lt;&gt;"", I$5*A$5, 0) + SUMPRODUCT(--(I$6:I90&lt;&gt;""), I$6:I90, (A$6:A90-A$5:A89)))/1000)/H$3, ""))</f>
        <v>#N/A</v>
      </c>
      <c r="M90" s="1">
        <f t="shared" si="16"/>
        <v>172</v>
      </c>
      <c r="N90" s="1">
        <f t="shared" si="17"/>
        <v>0</v>
      </c>
      <c r="U90" s="1" t="e">
        <f t="shared" si="18"/>
        <v>#N/A</v>
      </c>
      <c r="V90" s="1" t="e">
        <f t="shared" si="11"/>
        <v>#N/A</v>
      </c>
      <c r="W90" s="1" t="e">
        <f t="shared" si="19"/>
        <v>#N/A</v>
      </c>
      <c r="X90" s="8" t="e" cm="1">
        <f t="array" ref="X90">IF(U90="","", IFERROR(((IF(U$5&lt;&gt;"", U$5*M$5, 0) + SUMPRODUCT(--(U$6:U90&lt;&gt;""), U$6:U90, (M$6:M90-M$5:M89)))/1000)/T$3, ""))</f>
        <v>#N/A</v>
      </c>
    </row>
    <row r="91" spans="1:24" x14ac:dyDescent="0.25">
      <c r="A91" s="1">
        <f t="shared" si="12"/>
        <v>174</v>
      </c>
      <c r="B91" s="1">
        <f t="shared" si="13"/>
        <v>0</v>
      </c>
      <c r="I91" s="1" t="e">
        <f t="shared" si="14"/>
        <v>#N/A</v>
      </c>
      <c r="J91" s="1" t="e">
        <f t="shared" si="10"/>
        <v>#N/A</v>
      </c>
      <c r="K91" s="1" t="e">
        <f t="shared" si="15"/>
        <v>#N/A</v>
      </c>
      <c r="L91" s="8" t="e" cm="1">
        <f t="array" ref="L91">IF(I91="","", IFERROR(((IF(I$5&lt;&gt;"", I$5*A$5, 0) + SUMPRODUCT(--(I$6:I91&lt;&gt;""), I$6:I91, (A$6:A91-A$5:A90)))/1000)/H$3, ""))</f>
        <v>#N/A</v>
      </c>
      <c r="M91" s="1">
        <f t="shared" si="16"/>
        <v>174</v>
      </c>
      <c r="N91" s="1">
        <f t="shared" si="17"/>
        <v>0</v>
      </c>
      <c r="U91" s="1" t="e">
        <f t="shared" si="18"/>
        <v>#N/A</v>
      </c>
      <c r="V91" s="1" t="e">
        <f t="shared" si="11"/>
        <v>#N/A</v>
      </c>
      <c r="W91" s="1" t="e">
        <f t="shared" si="19"/>
        <v>#N/A</v>
      </c>
      <c r="X91" s="8" t="e" cm="1">
        <f t="array" ref="X91">IF(U91="","", IFERROR(((IF(U$5&lt;&gt;"", U$5*M$5, 0) + SUMPRODUCT(--(U$6:U91&lt;&gt;""), U$6:U91, (M$6:M91-M$5:M90)))/1000)/T$3, ""))</f>
        <v>#N/A</v>
      </c>
    </row>
    <row r="92" spans="1:24" x14ac:dyDescent="0.25">
      <c r="A92" s="1">
        <f t="shared" si="12"/>
        <v>176</v>
      </c>
      <c r="B92" s="1">
        <f t="shared" si="13"/>
        <v>0</v>
      </c>
      <c r="I92" s="1" t="e">
        <f t="shared" si="14"/>
        <v>#N/A</v>
      </c>
      <c r="J92" s="1" t="e">
        <f t="shared" si="10"/>
        <v>#N/A</v>
      </c>
      <c r="K92" s="1" t="e">
        <f t="shared" si="15"/>
        <v>#N/A</v>
      </c>
      <c r="L92" s="8" t="e" cm="1">
        <f t="array" ref="L92">IF(I92="","", IFERROR(((IF(I$5&lt;&gt;"", I$5*A$5, 0) + SUMPRODUCT(--(I$6:I92&lt;&gt;""), I$6:I92, (A$6:A92-A$5:A91)))/1000)/H$3, ""))</f>
        <v>#N/A</v>
      </c>
      <c r="M92" s="1">
        <f t="shared" si="16"/>
        <v>176</v>
      </c>
      <c r="N92" s="1">
        <f t="shared" si="17"/>
        <v>0</v>
      </c>
      <c r="U92" s="1" t="e">
        <f t="shared" si="18"/>
        <v>#N/A</v>
      </c>
      <c r="V92" s="1" t="e">
        <f t="shared" si="11"/>
        <v>#N/A</v>
      </c>
      <c r="W92" s="1" t="e">
        <f t="shared" si="19"/>
        <v>#N/A</v>
      </c>
      <c r="X92" s="8" t="e" cm="1">
        <f t="array" ref="X92">IF(U92="","", IFERROR(((IF(U$5&lt;&gt;"", U$5*M$5, 0) + SUMPRODUCT(--(U$6:U92&lt;&gt;""), U$6:U92, (M$6:M92-M$5:M91)))/1000)/T$3, ""))</f>
        <v>#N/A</v>
      </c>
    </row>
    <row r="93" spans="1:24" x14ac:dyDescent="0.25">
      <c r="A93" s="1">
        <f t="shared" si="12"/>
        <v>178</v>
      </c>
      <c r="B93" s="1">
        <f t="shared" si="13"/>
        <v>0</v>
      </c>
      <c r="I93" s="1" t="e">
        <f t="shared" si="14"/>
        <v>#N/A</v>
      </c>
      <c r="J93" s="1" t="e">
        <f t="shared" si="10"/>
        <v>#N/A</v>
      </c>
      <c r="K93" s="1" t="e">
        <f t="shared" si="15"/>
        <v>#N/A</v>
      </c>
      <c r="L93" s="8" t="e" cm="1">
        <f t="array" ref="L93">IF(I93="","", IFERROR(((IF(I$5&lt;&gt;"", I$5*A$5, 0) + SUMPRODUCT(--(I$6:I93&lt;&gt;""), I$6:I93, (A$6:A93-A$5:A92)))/1000)/H$3, ""))</f>
        <v>#N/A</v>
      </c>
      <c r="M93" s="1">
        <f t="shared" si="16"/>
        <v>178</v>
      </c>
      <c r="N93" s="1">
        <f t="shared" si="17"/>
        <v>0</v>
      </c>
      <c r="U93" s="1" t="e">
        <f t="shared" si="18"/>
        <v>#N/A</v>
      </c>
      <c r="V93" s="1" t="e">
        <f t="shared" si="11"/>
        <v>#N/A</v>
      </c>
      <c r="W93" s="1" t="e">
        <f t="shared" si="19"/>
        <v>#N/A</v>
      </c>
      <c r="X93" s="8" t="e" cm="1">
        <f t="array" ref="X93">IF(U93="","", IFERROR(((IF(U$5&lt;&gt;"", U$5*M$5, 0) + SUMPRODUCT(--(U$6:U93&lt;&gt;""), U$6:U93, (M$6:M93-M$5:M92)))/1000)/T$3, ""))</f>
        <v>#N/A</v>
      </c>
    </row>
    <row r="94" spans="1:24" x14ac:dyDescent="0.25">
      <c r="A94" s="1">
        <f t="shared" si="12"/>
        <v>180</v>
      </c>
      <c r="B94" s="1">
        <f t="shared" si="13"/>
        <v>0</v>
      </c>
      <c r="I94" s="1" t="e">
        <f t="shared" si="14"/>
        <v>#N/A</v>
      </c>
      <c r="J94" s="1" t="e">
        <f t="shared" si="10"/>
        <v>#N/A</v>
      </c>
      <c r="K94" s="1" t="e">
        <f t="shared" si="15"/>
        <v>#N/A</v>
      </c>
      <c r="L94" s="8" t="e" cm="1">
        <f t="array" ref="L94">IF(I94="","", IFERROR(((IF(I$5&lt;&gt;"", I$5*A$5, 0) + SUMPRODUCT(--(I$6:I94&lt;&gt;""), I$6:I94, (A$6:A94-A$5:A93)))/1000)/H$3, ""))</f>
        <v>#N/A</v>
      </c>
      <c r="M94" s="1">
        <f t="shared" si="16"/>
        <v>180</v>
      </c>
      <c r="N94" s="1">
        <f t="shared" si="17"/>
        <v>0</v>
      </c>
      <c r="U94" s="1" t="e">
        <f t="shared" si="18"/>
        <v>#N/A</v>
      </c>
      <c r="V94" s="1" t="e">
        <f t="shared" si="11"/>
        <v>#N/A</v>
      </c>
      <c r="W94" s="1" t="e">
        <f t="shared" si="19"/>
        <v>#N/A</v>
      </c>
      <c r="X94" s="8" t="e" cm="1">
        <f t="array" ref="X94">IF(U94="","", IFERROR(((IF(U$5&lt;&gt;"", U$5*M$5, 0) + SUMPRODUCT(--(U$6:U94&lt;&gt;""), U$6:U94, (M$6:M94-M$5:M93)))/1000)/T$3, ""))</f>
        <v>#N/A</v>
      </c>
    </row>
    <row r="95" spans="1:24" x14ac:dyDescent="0.25">
      <c r="A95" s="1">
        <f t="shared" si="12"/>
        <v>182</v>
      </c>
      <c r="B95" s="1">
        <f t="shared" si="13"/>
        <v>0</v>
      </c>
      <c r="I95" s="1" t="e">
        <f t="shared" si="14"/>
        <v>#N/A</v>
      </c>
      <c r="J95" s="1" t="e">
        <f t="shared" si="10"/>
        <v>#N/A</v>
      </c>
      <c r="K95" s="1" t="e">
        <f t="shared" si="15"/>
        <v>#N/A</v>
      </c>
      <c r="L95" s="8" t="e" cm="1">
        <f t="array" ref="L95">IF(I95="","", IFERROR(((IF(I$5&lt;&gt;"", I$5*A$5, 0) + SUMPRODUCT(--(I$6:I95&lt;&gt;""), I$6:I95, (A$6:A95-A$5:A94)))/1000)/H$3, ""))</f>
        <v>#N/A</v>
      </c>
      <c r="M95" s="1">
        <f t="shared" si="16"/>
        <v>182</v>
      </c>
      <c r="N95" s="1">
        <f t="shared" si="17"/>
        <v>0</v>
      </c>
      <c r="U95" s="1" t="e">
        <f t="shared" si="18"/>
        <v>#N/A</v>
      </c>
      <c r="V95" s="1" t="e">
        <f t="shared" si="11"/>
        <v>#N/A</v>
      </c>
      <c r="W95" s="1" t="e">
        <f t="shared" si="19"/>
        <v>#N/A</v>
      </c>
      <c r="X95" s="8" t="e" cm="1">
        <f t="array" ref="X95">IF(U95="","", IFERROR(((IF(U$5&lt;&gt;"", U$5*M$5, 0) + SUMPRODUCT(--(U$6:U95&lt;&gt;""), U$6:U95, (M$6:M95-M$5:M94)))/1000)/T$3, ""))</f>
        <v>#N/A</v>
      </c>
    </row>
    <row r="96" spans="1:24" x14ac:dyDescent="0.25">
      <c r="A96" s="1">
        <f t="shared" si="12"/>
        <v>184</v>
      </c>
      <c r="B96" s="1">
        <f t="shared" si="13"/>
        <v>0</v>
      </c>
      <c r="I96" s="1" t="e">
        <f t="shared" si="14"/>
        <v>#N/A</v>
      </c>
      <c r="J96" s="1" t="e">
        <f t="shared" si="10"/>
        <v>#N/A</v>
      </c>
      <c r="K96" s="1" t="e">
        <f t="shared" si="15"/>
        <v>#N/A</v>
      </c>
      <c r="L96" s="8" t="e" cm="1">
        <f t="array" ref="L96">IF(I96="","", IFERROR(((IF(I$5&lt;&gt;"", I$5*A$5, 0) + SUMPRODUCT(--(I$6:I96&lt;&gt;""), I$6:I96, (A$6:A96-A$5:A95)))/1000)/H$3, ""))</f>
        <v>#N/A</v>
      </c>
      <c r="M96" s="1">
        <f t="shared" si="16"/>
        <v>184</v>
      </c>
      <c r="N96" s="1">
        <f t="shared" si="17"/>
        <v>0</v>
      </c>
      <c r="U96" s="1" t="e">
        <f t="shared" si="18"/>
        <v>#N/A</v>
      </c>
      <c r="V96" s="1" t="e">
        <f t="shared" si="11"/>
        <v>#N/A</v>
      </c>
      <c r="W96" s="1" t="e">
        <f t="shared" si="19"/>
        <v>#N/A</v>
      </c>
      <c r="X96" s="8" t="e" cm="1">
        <f t="array" ref="X96">IF(U96="","", IFERROR(((IF(U$5&lt;&gt;"", U$5*M$5, 0) + SUMPRODUCT(--(U$6:U96&lt;&gt;""), U$6:U96, (M$6:M96-M$5:M95)))/1000)/T$3, ""))</f>
        <v>#N/A</v>
      </c>
    </row>
    <row r="97" spans="1:24" x14ac:dyDescent="0.25">
      <c r="A97" s="1">
        <f t="shared" si="12"/>
        <v>186</v>
      </c>
      <c r="B97" s="1">
        <f t="shared" si="13"/>
        <v>0</v>
      </c>
      <c r="I97" s="1" t="e">
        <f t="shared" si="14"/>
        <v>#N/A</v>
      </c>
      <c r="J97" s="1" t="e">
        <f t="shared" si="10"/>
        <v>#N/A</v>
      </c>
      <c r="K97" s="1" t="e">
        <f t="shared" si="15"/>
        <v>#N/A</v>
      </c>
      <c r="L97" s="8" t="e" cm="1">
        <f t="array" ref="L97">IF(I97="","", IFERROR(((IF(I$5&lt;&gt;"", I$5*A$5, 0) + SUMPRODUCT(--(I$6:I97&lt;&gt;""), I$6:I97, (A$6:A97-A$5:A96)))/1000)/H$3, ""))</f>
        <v>#N/A</v>
      </c>
      <c r="M97" s="1">
        <f t="shared" si="16"/>
        <v>186</v>
      </c>
      <c r="N97" s="1">
        <f t="shared" si="17"/>
        <v>0</v>
      </c>
      <c r="U97" s="1" t="e">
        <f t="shared" si="18"/>
        <v>#N/A</v>
      </c>
      <c r="V97" s="1" t="e">
        <f t="shared" si="11"/>
        <v>#N/A</v>
      </c>
      <c r="W97" s="1" t="e">
        <f t="shared" si="19"/>
        <v>#N/A</v>
      </c>
      <c r="X97" s="8" t="e" cm="1">
        <f t="array" ref="X97">IF(U97="","", IFERROR(((IF(U$5&lt;&gt;"", U$5*M$5, 0) + SUMPRODUCT(--(U$6:U97&lt;&gt;""), U$6:U97, (M$6:M97-M$5:M96)))/1000)/T$3, ""))</f>
        <v>#N/A</v>
      </c>
    </row>
    <row r="98" spans="1:24" x14ac:dyDescent="0.25">
      <c r="A98" s="1">
        <f t="shared" si="12"/>
        <v>188</v>
      </c>
      <c r="B98" s="1">
        <f t="shared" si="13"/>
        <v>0</v>
      </c>
      <c r="I98" s="1" t="e">
        <f t="shared" si="14"/>
        <v>#N/A</v>
      </c>
      <c r="J98" s="1" t="e">
        <f t="shared" si="10"/>
        <v>#N/A</v>
      </c>
      <c r="K98" s="1" t="e">
        <f t="shared" si="15"/>
        <v>#N/A</v>
      </c>
      <c r="L98" s="8" t="e" cm="1">
        <f t="array" ref="L98">IF(I98="","", IFERROR(((IF(I$5&lt;&gt;"", I$5*A$5, 0) + SUMPRODUCT(--(I$6:I98&lt;&gt;""), I$6:I98, (A$6:A98-A$5:A97)))/1000)/H$3, ""))</f>
        <v>#N/A</v>
      </c>
      <c r="M98" s="1">
        <f t="shared" si="16"/>
        <v>188</v>
      </c>
      <c r="N98" s="1">
        <f t="shared" si="17"/>
        <v>0</v>
      </c>
      <c r="U98" s="1" t="e">
        <f t="shared" si="18"/>
        <v>#N/A</v>
      </c>
      <c r="V98" s="1" t="e">
        <f t="shared" si="11"/>
        <v>#N/A</v>
      </c>
      <c r="W98" s="1" t="e">
        <f t="shared" si="19"/>
        <v>#N/A</v>
      </c>
      <c r="X98" s="8" t="e" cm="1">
        <f t="array" ref="X98">IF(U98="","", IFERROR(((IF(U$5&lt;&gt;"", U$5*M$5, 0) + SUMPRODUCT(--(U$6:U98&lt;&gt;""), U$6:U98, (M$6:M98-M$5:M97)))/1000)/T$3, ""))</f>
        <v>#N/A</v>
      </c>
    </row>
    <row r="99" spans="1:24" x14ac:dyDescent="0.25">
      <c r="A99" s="1">
        <f t="shared" si="12"/>
        <v>190</v>
      </c>
      <c r="B99" s="1">
        <f t="shared" si="13"/>
        <v>0</v>
      </c>
      <c r="I99" s="1" t="e">
        <f t="shared" si="14"/>
        <v>#N/A</v>
      </c>
      <c r="J99" s="1" t="e">
        <f t="shared" si="10"/>
        <v>#N/A</v>
      </c>
      <c r="K99" s="1" t="e">
        <f t="shared" si="15"/>
        <v>#N/A</v>
      </c>
      <c r="L99" s="8" t="e" cm="1">
        <f t="array" ref="L99">IF(I99="","", IFERROR(((IF(I$5&lt;&gt;"", I$5*A$5, 0) + SUMPRODUCT(--(I$6:I99&lt;&gt;""), I$6:I99, (A$6:A99-A$5:A98)))/1000)/H$3, ""))</f>
        <v>#N/A</v>
      </c>
      <c r="M99" s="1">
        <f t="shared" si="16"/>
        <v>190</v>
      </c>
      <c r="N99" s="1">
        <f t="shared" si="17"/>
        <v>0</v>
      </c>
      <c r="U99" s="1" t="e">
        <f t="shared" si="18"/>
        <v>#N/A</v>
      </c>
      <c r="V99" s="1" t="e">
        <f t="shared" si="11"/>
        <v>#N/A</v>
      </c>
      <c r="W99" s="1" t="e">
        <f t="shared" si="19"/>
        <v>#N/A</v>
      </c>
      <c r="X99" s="8" t="e" cm="1">
        <f t="array" ref="X99">IF(U99="","", IFERROR(((IF(U$5&lt;&gt;"", U$5*M$5, 0) + SUMPRODUCT(--(U$6:U99&lt;&gt;""), U$6:U99, (M$6:M99-M$5:M98)))/1000)/T$3, ""))</f>
        <v>#N/A</v>
      </c>
    </row>
    <row r="100" spans="1:24" x14ac:dyDescent="0.25">
      <c r="A100" s="1">
        <f t="shared" si="12"/>
        <v>192</v>
      </c>
      <c r="B100" s="1">
        <f t="shared" si="13"/>
        <v>0</v>
      </c>
      <c r="I100" s="1" t="e">
        <f t="shared" si="14"/>
        <v>#N/A</v>
      </c>
      <c r="J100" s="1" t="e">
        <f t="shared" si="10"/>
        <v>#N/A</v>
      </c>
      <c r="K100" s="1" t="e">
        <f t="shared" si="15"/>
        <v>#N/A</v>
      </c>
      <c r="L100" s="8" t="e" cm="1">
        <f t="array" ref="L100">IF(I100="","", IFERROR(((IF(I$5&lt;&gt;"", I$5*A$5, 0) + SUMPRODUCT(--(I$6:I100&lt;&gt;""), I$6:I100, (A$6:A100-A$5:A99)))/1000)/H$3, ""))</f>
        <v>#N/A</v>
      </c>
      <c r="M100" s="1">
        <f t="shared" si="16"/>
        <v>192</v>
      </c>
      <c r="N100" s="1">
        <f t="shared" si="17"/>
        <v>0</v>
      </c>
      <c r="U100" s="1" t="e">
        <f t="shared" si="18"/>
        <v>#N/A</v>
      </c>
      <c r="V100" s="1" t="e">
        <f t="shared" si="11"/>
        <v>#N/A</v>
      </c>
      <c r="W100" s="1" t="e">
        <f t="shared" si="19"/>
        <v>#N/A</v>
      </c>
      <c r="X100" s="8" t="e" cm="1">
        <f t="array" ref="X100">IF(U100="","", IFERROR(((IF(U$5&lt;&gt;"", U$5*M$5, 0) + SUMPRODUCT(--(U$6:U100&lt;&gt;""), U$6:U100, (M$6:M100-M$5:M99)))/1000)/T$3, ""))</f>
        <v>#N/A</v>
      </c>
    </row>
    <row r="101" spans="1:24" x14ac:dyDescent="0.25">
      <c r="A101" s="1">
        <f t="shared" si="12"/>
        <v>194</v>
      </c>
      <c r="B101" s="1">
        <f t="shared" si="13"/>
        <v>0</v>
      </c>
      <c r="I101" s="1" t="e">
        <f t="shared" si="14"/>
        <v>#N/A</v>
      </c>
      <c r="J101" s="1" t="e">
        <f t="shared" si="10"/>
        <v>#N/A</v>
      </c>
      <c r="K101" s="1" t="e">
        <f t="shared" si="15"/>
        <v>#N/A</v>
      </c>
      <c r="L101" s="8" t="e" cm="1">
        <f t="array" ref="L101">IF(I101="","", IFERROR(((IF(I$5&lt;&gt;"", I$5*A$5, 0) + SUMPRODUCT(--(I$6:I101&lt;&gt;""), I$6:I101, (A$6:A101-A$5:A100)))/1000)/H$3, ""))</f>
        <v>#N/A</v>
      </c>
      <c r="M101" s="1">
        <f t="shared" si="16"/>
        <v>194</v>
      </c>
      <c r="N101" s="1">
        <f t="shared" si="17"/>
        <v>0</v>
      </c>
      <c r="U101" s="1" t="e">
        <f t="shared" si="18"/>
        <v>#N/A</v>
      </c>
      <c r="V101" s="1" t="e">
        <f t="shared" si="11"/>
        <v>#N/A</v>
      </c>
      <c r="W101" s="1" t="e">
        <f t="shared" si="19"/>
        <v>#N/A</v>
      </c>
      <c r="X101" s="8" t="e" cm="1">
        <f t="array" ref="X101">IF(U101="","", IFERROR(((IF(U$5&lt;&gt;"", U$5*M$5, 0) + SUMPRODUCT(--(U$6:U101&lt;&gt;""), U$6:U101, (M$6:M101-M$5:M100)))/1000)/T$3, ""))</f>
        <v>#N/A</v>
      </c>
    </row>
    <row r="102" spans="1:24" x14ac:dyDescent="0.25">
      <c r="A102" s="1">
        <f t="shared" si="12"/>
        <v>196</v>
      </c>
      <c r="B102" s="1">
        <f t="shared" si="13"/>
        <v>0</v>
      </c>
      <c r="I102" s="1" t="e">
        <f t="shared" si="14"/>
        <v>#N/A</v>
      </c>
      <c r="J102" s="1" t="e">
        <f t="shared" si="10"/>
        <v>#N/A</v>
      </c>
      <c r="K102" s="1" t="e">
        <f t="shared" si="15"/>
        <v>#N/A</v>
      </c>
      <c r="L102" s="8" t="e" cm="1">
        <f t="array" ref="L102">IF(I102="","", IFERROR(((IF(I$5&lt;&gt;"", I$5*A$5, 0) + SUMPRODUCT(--(I$6:I102&lt;&gt;""), I$6:I102, (A$6:A102-A$5:A101)))/1000)/H$3, ""))</f>
        <v>#N/A</v>
      </c>
      <c r="M102" s="1">
        <f t="shared" si="16"/>
        <v>196</v>
      </c>
      <c r="N102" s="1">
        <f t="shared" si="17"/>
        <v>0</v>
      </c>
      <c r="U102" s="1" t="e">
        <f t="shared" si="18"/>
        <v>#N/A</v>
      </c>
      <c r="V102" s="1" t="e">
        <f t="shared" si="11"/>
        <v>#N/A</v>
      </c>
      <c r="W102" s="1" t="e">
        <f t="shared" si="19"/>
        <v>#N/A</v>
      </c>
      <c r="X102" s="8" t="e" cm="1">
        <f t="array" ref="X102">IF(U102="","", IFERROR(((IF(U$5&lt;&gt;"", U$5*M$5, 0) + SUMPRODUCT(--(U$6:U102&lt;&gt;""), U$6:U102, (M$6:M102-M$5:M101)))/1000)/T$3, ""))</f>
        <v>#N/A</v>
      </c>
    </row>
    <row r="103" spans="1:24" x14ac:dyDescent="0.25">
      <c r="A103" s="1">
        <f t="shared" si="12"/>
        <v>198</v>
      </c>
      <c r="B103" s="1">
        <f t="shared" si="13"/>
        <v>0</v>
      </c>
      <c r="I103" s="1" t="e">
        <f t="shared" si="14"/>
        <v>#N/A</v>
      </c>
      <c r="J103" s="1" t="e">
        <f t="shared" si="10"/>
        <v>#N/A</v>
      </c>
      <c r="K103" s="1" t="e">
        <f t="shared" si="15"/>
        <v>#N/A</v>
      </c>
      <c r="L103" s="8" t="e" cm="1">
        <f t="array" ref="L103">IF(I103="","", IFERROR(((IF(I$5&lt;&gt;"", I$5*A$5, 0) + SUMPRODUCT(--(I$6:I103&lt;&gt;""), I$6:I103, (A$6:A103-A$5:A102)))/1000)/H$3, ""))</f>
        <v>#N/A</v>
      </c>
      <c r="M103" s="1">
        <f t="shared" si="16"/>
        <v>198</v>
      </c>
      <c r="N103" s="1">
        <f t="shared" si="17"/>
        <v>0</v>
      </c>
      <c r="U103" s="1" t="e">
        <f t="shared" si="18"/>
        <v>#N/A</v>
      </c>
      <c r="V103" s="1" t="e">
        <f t="shared" si="11"/>
        <v>#N/A</v>
      </c>
      <c r="W103" s="1" t="e">
        <f t="shared" si="19"/>
        <v>#N/A</v>
      </c>
      <c r="X103" s="8" t="e" cm="1">
        <f t="array" ref="X103">IF(U103="","", IFERROR(((IF(U$5&lt;&gt;"", U$5*M$5, 0) + SUMPRODUCT(--(U$6:U103&lt;&gt;""), U$6:U103, (M$6:M103-M$5:M102)))/1000)/T$3, ""))</f>
        <v>#N/A</v>
      </c>
    </row>
    <row r="104" spans="1:24" x14ac:dyDescent="0.25">
      <c r="A104" s="1">
        <f t="shared" si="12"/>
        <v>200</v>
      </c>
      <c r="B104" s="1">
        <f t="shared" si="13"/>
        <v>0</v>
      </c>
      <c r="I104" s="1" t="e">
        <f t="shared" si="14"/>
        <v>#N/A</v>
      </c>
      <c r="J104" s="1" t="e">
        <f t="shared" si="10"/>
        <v>#N/A</v>
      </c>
      <c r="K104" s="1" t="e">
        <f t="shared" si="15"/>
        <v>#N/A</v>
      </c>
      <c r="L104" s="8" t="e" cm="1">
        <f t="array" ref="L104">IF(I104="","", IFERROR(((IF(I$5&lt;&gt;"", I$5*A$5, 0) + SUMPRODUCT(--(I$6:I104&lt;&gt;""), I$6:I104, (A$6:A104-A$5:A103)))/1000)/H$3, ""))</f>
        <v>#N/A</v>
      </c>
      <c r="M104" s="1">
        <f t="shared" si="16"/>
        <v>200</v>
      </c>
      <c r="N104" s="1">
        <f t="shared" si="17"/>
        <v>0</v>
      </c>
      <c r="U104" s="1" t="e">
        <f t="shared" si="18"/>
        <v>#N/A</v>
      </c>
      <c r="V104" s="1" t="e">
        <f t="shared" si="11"/>
        <v>#N/A</v>
      </c>
      <c r="W104" s="1" t="e">
        <f t="shared" si="19"/>
        <v>#N/A</v>
      </c>
      <c r="X104" s="8" t="e" cm="1">
        <f t="array" ref="X104">IF(U104="","", IFERROR(((IF(U$5&lt;&gt;"", U$5*M$5, 0) + SUMPRODUCT(--(U$6:U104&lt;&gt;""), U$6:U104, (M$6:M104-M$5:M103)))/1000)/T$3, ""))</f>
        <v>#N/A</v>
      </c>
    </row>
    <row r="105" spans="1:24" x14ac:dyDescent="0.25">
      <c r="A105" s="1">
        <f t="shared" si="12"/>
        <v>202</v>
      </c>
      <c r="B105" s="1">
        <f t="shared" si="13"/>
        <v>0</v>
      </c>
      <c r="I105" s="1" t="e">
        <f t="shared" si="14"/>
        <v>#N/A</v>
      </c>
      <c r="J105" s="1" t="e">
        <f t="shared" si="10"/>
        <v>#N/A</v>
      </c>
      <c r="K105" s="1" t="e">
        <f t="shared" si="15"/>
        <v>#N/A</v>
      </c>
      <c r="L105" s="8" t="e" cm="1">
        <f t="array" ref="L105">IF(I105="","", IFERROR(((IF(I$5&lt;&gt;"", I$5*A$5, 0) + SUMPRODUCT(--(I$6:I105&lt;&gt;""), I$6:I105, (A$6:A105-A$5:A104)))/1000)/H$3, ""))</f>
        <v>#N/A</v>
      </c>
      <c r="M105" s="1">
        <f t="shared" si="16"/>
        <v>202</v>
      </c>
      <c r="N105" s="1">
        <f t="shared" si="17"/>
        <v>0</v>
      </c>
      <c r="U105" s="1" t="e">
        <f t="shared" si="18"/>
        <v>#N/A</v>
      </c>
      <c r="V105" s="1" t="e">
        <f t="shared" si="11"/>
        <v>#N/A</v>
      </c>
      <c r="W105" s="1" t="e">
        <f t="shared" si="19"/>
        <v>#N/A</v>
      </c>
      <c r="X105" s="8" t="e" cm="1">
        <f t="array" ref="X105">IF(U105="","", IFERROR(((IF(U$5&lt;&gt;"", U$5*M$5, 0) + SUMPRODUCT(--(U$6:U105&lt;&gt;""), U$6:U105, (M$6:M105-M$5:M104)))/1000)/T$3, ""))</f>
        <v>#N/A</v>
      </c>
    </row>
    <row r="106" spans="1:24" x14ac:dyDescent="0.25">
      <c r="A106" s="1">
        <f t="shared" si="12"/>
        <v>204</v>
      </c>
      <c r="B106" s="1">
        <f t="shared" si="13"/>
        <v>0</v>
      </c>
      <c r="I106" s="1" t="e">
        <f t="shared" si="14"/>
        <v>#N/A</v>
      </c>
      <c r="J106" s="1" t="e">
        <f t="shared" si="10"/>
        <v>#N/A</v>
      </c>
      <c r="K106" s="1" t="e">
        <f t="shared" si="15"/>
        <v>#N/A</v>
      </c>
      <c r="L106" s="8" t="e" cm="1">
        <f t="array" ref="L106">IF(I106="","", IFERROR(((IF(I$5&lt;&gt;"", I$5*A$5, 0) + SUMPRODUCT(--(I$6:I106&lt;&gt;""), I$6:I106, (A$6:A106-A$5:A105)))/1000)/H$3, ""))</f>
        <v>#N/A</v>
      </c>
      <c r="M106" s="1">
        <f t="shared" si="16"/>
        <v>204</v>
      </c>
      <c r="N106" s="1">
        <f t="shared" si="17"/>
        <v>0</v>
      </c>
      <c r="U106" s="1" t="e">
        <f t="shared" si="18"/>
        <v>#N/A</v>
      </c>
      <c r="V106" s="1" t="e">
        <f t="shared" si="11"/>
        <v>#N/A</v>
      </c>
      <c r="W106" s="1" t="e">
        <f t="shared" si="19"/>
        <v>#N/A</v>
      </c>
      <c r="X106" s="8" t="e" cm="1">
        <f t="array" ref="X106">IF(U106="","", IFERROR(((IF(U$5&lt;&gt;"", U$5*M$5, 0) + SUMPRODUCT(--(U$6:U106&lt;&gt;""), U$6:U106, (M$6:M106-M$5:M105)))/1000)/T$3, ""))</f>
        <v>#N/A</v>
      </c>
    </row>
    <row r="107" spans="1:24" x14ac:dyDescent="0.25">
      <c r="A107" s="1">
        <f t="shared" si="12"/>
        <v>206</v>
      </c>
      <c r="B107" s="1">
        <f t="shared" si="13"/>
        <v>0</v>
      </c>
      <c r="I107" s="1" t="e">
        <f t="shared" si="14"/>
        <v>#N/A</v>
      </c>
      <c r="J107" s="1" t="e">
        <f t="shared" si="10"/>
        <v>#N/A</v>
      </c>
      <c r="K107" s="1" t="e">
        <f t="shared" si="15"/>
        <v>#N/A</v>
      </c>
      <c r="L107" s="8" t="e" cm="1">
        <f t="array" ref="L107">IF(I107="","", IFERROR(((IF(I$5&lt;&gt;"", I$5*A$5, 0) + SUMPRODUCT(--(I$6:I107&lt;&gt;""), I$6:I107, (A$6:A107-A$5:A106)))/1000)/H$3, ""))</f>
        <v>#N/A</v>
      </c>
      <c r="M107" s="1">
        <f t="shared" si="16"/>
        <v>206</v>
      </c>
      <c r="N107" s="1">
        <f t="shared" si="17"/>
        <v>0</v>
      </c>
      <c r="U107" s="1" t="e">
        <f t="shared" si="18"/>
        <v>#N/A</v>
      </c>
      <c r="V107" s="1" t="e">
        <f t="shared" si="11"/>
        <v>#N/A</v>
      </c>
      <c r="W107" s="1" t="e">
        <f t="shared" si="19"/>
        <v>#N/A</v>
      </c>
      <c r="X107" s="8" t="e" cm="1">
        <f t="array" ref="X107">IF(U107="","", IFERROR(((IF(U$5&lt;&gt;"", U$5*M$5, 0) + SUMPRODUCT(--(U$6:U107&lt;&gt;""), U$6:U107, (M$6:M107-M$5:M106)))/1000)/T$3, ""))</f>
        <v>#N/A</v>
      </c>
    </row>
    <row r="108" spans="1:24" x14ac:dyDescent="0.25">
      <c r="A108" s="1">
        <f t="shared" si="12"/>
        <v>208</v>
      </c>
      <c r="B108" s="1">
        <f t="shared" si="13"/>
        <v>0</v>
      </c>
      <c r="I108" s="1" t="e">
        <f t="shared" si="14"/>
        <v>#N/A</v>
      </c>
      <c r="J108" s="1" t="e">
        <f t="shared" si="10"/>
        <v>#N/A</v>
      </c>
      <c r="K108" s="1" t="e">
        <f t="shared" si="15"/>
        <v>#N/A</v>
      </c>
      <c r="L108" s="8" t="e" cm="1">
        <f t="array" ref="L108">IF(I108="","", IFERROR(((IF(I$5&lt;&gt;"", I$5*A$5, 0) + SUMPRODUCT(--(I$6:I108&lt;&gt;""), I$6:I108, (A$6:A108-A$5:A107)))/1000)/H$3, ""))</f>
        <v>#N/A</v>
      </c>
      <c r="M108" s="1">
        <f t="shared" si="16"/>
        <v>208</v>
      </c>
      <c r="N108" s="1">
        <f t="shared" si="17"/>
        <v>0</v>
      </c>
      <c r="U108" s="1" t="e">
        <f t="shared" si="18"/>
        <v>#N/A</v>
      </c>
      <c r="V108" s="1" t="e">
        <f t="shared" si="11"/>
        <v>#N/A</v>
      </c>
      <c r="W108" s="1" t="e">
        <f t="shared" si="19"/>
        <v>#N/A</v>
      </c>
      <c r="X108" s="8" t="e" cm="1">
        <f t="array" ref="X108">IF(U108="","", IFERROR(((IF(U$5&lt;&gt;"", U$5*M$5, 0) + SUMPRODUCT(--(U$6:U108&lt;&gt;""), U$6:U108, (M$6:M108-M$5:M107)))/1000)/T$3, ""))</f>
        <v>#N/A</v>
      </c>
    </row>
    <row r="109" spans="1:24" x14ac:dyDescent="0.25">
      <c r="A109" s="1">
        <f t="shared" si="12"/>
        <v>210</v>
      </c>
      <c r="B109" s="1">
        <f t="shared" si="13"/>
        <v>0</v>
      </c>
      <c r="I109" s="1" t="e">
        <f t="shared" si="14"/>
        <v>#N/A</v>
      </c>
      <c r="J109" s="1" t="e">
        <f t="shared" si="10"/>
        <v>#N/A</v>
      </c>
      <c r="K109" s="1" t="e">
        <f t="shared" si="15"/>
        <v>#N/A</v>
      </c>
      <c r="L109" s="8" t="e" cm="1">
        <f t="array" ref="L109">IF(I109="","", IFERROR(((IF(I$5&lt;&gt;"", I$5*A$5, 0) + SUMPRODUCT(--(I$6:I109&lt;&gt;""), I$6:I109, (A$6:A109-A$5:A108)))/1000)/H$3, ""))</f>
        <v>#N/A</v>
      </c>
      <c r="M109" s="1">
        <f t="shared" si="16"/>
        <v>210</v>
      </c>
      <c r="N109" s="1">
        <f t="shared" si="17"/>
        <v>0</v>
      </c>
      <c r="U109" s="1" t="e">
        <f t="shared" si="18"/>
        <v>#N/A</v>
      </c>
      <c r="V109" s="1" t="e">
        <f t="shared" si="11"/>
        <v>#N/A</v>
      </c>
      <c r="W109" s="1" t="e">
        <f t="shared" si="19"/>
        <v>#N/A</v>
      </c>
      <c r="X109" s="8" t="e" cm="1">
        <f t="array" ref="X109">IF(U109="","", IFERROR(((IF(U$5&lt;&gt;"", U$5*M$5, 0) + SUMPRODUCT(--(U$6:U109&lt;&gt;""), U$6:U109, (M$6:M109-M$5:M108)))/1000)/T$3, ""))</f>
        <v>#N/A</v>
      </c>
    </row>
    <row r="110" spans="1:24" x14ac:dyDescent="0.25">
      <c r="A110" s="1">
        <f t="shared" si="12"/>
        <v>212</v>
      </c>
      <c r="B110" s="1">
        <f t="shared" si="13"/>
        <v>0</v>
      </c>
      <c r="I110" s="1" t="e">
        <f t="shared" si="14"/>
        <v>#N/A</v>
      </c>
      <c r="J110" s="1" t="e">
        <f t="shared" si="10"/>
        <v>#N/A</v>
      </c>
      <c r="K110" s="1" t="e">
        <f t="shared" si="15"/>
        <v>#N/A</v>
      </c>
      <c r="L110" s="8" t="e" cm="1">
        <f t="array" ref="L110">IF(I110="","", IFERROR(((IF(I$5&lt;&gt;"", I$5*A$5, 0) + SUMPRODUCT(--(I$6:I110&lt;&gt;""), I$6:I110, (A$6:A110-A$5:A109)))/1000)/H$3, ""))</f>
        <v>#N/A</v>
      </c>
      <c r="M110" s="1">
        <f t="shared" si="16"/>
        <v>212</v>
      </c>
      <c r="N110" s="1">
        <f t="shared" si="17"/>
        <v>0</v>
      </c>
      <c r="U110" s="1" t="e">
        <f t="shared" si="18"/>
        <v>#N/A</v>
      </c>
      <c r="V110" s="1" t="e">
        <f t="shared" si="11"/>
        <v>#N/A</v>
      </c>
      <c r="W110" s="1" t="e">
        <f t="shared" si="19"/>
        <v>#N/A</v>
      </c>
      <c r="X110" s="8" t="e" cm="1">
        <f t="array" ref="X110">IF(U110="","", IFERROR(((IF(U$5&lt;&gt;"", U$5*M$5, 0) + SUMPRODUCT(--(U$6:U110&lt;&gt;""), U$6:U110, (M$6:M110-M$5:M109)))/1000)/T$3, ""))</f>
        <v>#N/A</v>
      </c>
    </row>
    <row r="111" spans="1:24" x14ac:dyDescent="0.25">
      <c r="A111" s="1">
        <f t="shared" si="12"/>
        <v>214</v>
      </c>
      <c r="B111" s="1">
        <f t="shared" si="13"/>
        <v>0</v>
      </c>
      <c r="I111" s="1" t="e">
        <f t="shared" si="14"/>
        <v>#N/A</v>
      </c>
      <c r="J111" s="1" t="e">
        <f t="shared" si="10"/>
        <v>#N/A</v>
      </c>
      <c r="K111" s="1" t="e">
        <f t="shared" si="15"/>
        <v>#N/A</v>
      </c>
      <c r="L111" s="8" t="e" cm="1">
        <f t="array" ref="L111">IF(I111="","", IFERROR(((IF(I$5&lt;&gt;"", I$5*A$5, 0) + SUMPRODUCT(--(I$6:I111&lt;&gt;""), I$6:I111, (A$6:A111-A$5:A110)))/1000)/H$3, ""))</f>
        <v>#N/A</v>
      </c>
      <c r="M111" s="1">
        <f t="shared" si="16"/>
        <v>214</v>
      </c>
      <c r="N111" s="1">
        <f t="shared" si="17"/>
        <v>0</v>
      </c>
      <c r="U111" s="1" t="e">
        <f t="shared" si="18"/>
        <v>#N/A</v>
      </c>
      <c r="V111" s="1" t="e">
        <f t="shared" si="11"/>
        <v>#N/A</v>
      </c>
      <c r="W111" s="1" t="e">
        <f t="shared" si="19"/>
        <v>#N/A</v>
      </c>
      <c r="X111" s="8" t="e" cm="1">
        <f t="array" ref="X111">IF(U111="","", IFERROR(((IF(U$5&lt;&gt;"", U$5*M$5, 0) + SUMPRODUCT(--(U$6:U111&lt;&gt;""), U$6:U111, (M$6:M111-M$5:M110)))/1000)/T$3, ""))</f>
        <v>#N/A</v>
      </c>
    </row>
    <row r="112" spans="1:24" x14ac:dyDescent="0.25">
      <c r="A112" s="1">
        <f t="shared" si="12"/>
        <v>216</v>
      </c>
      <c r="B112" s="1">
        <f t="shared" si="13"/>
        <v>0</v>
      </c>
      <c r="I112" s="1" t="e">
        <f t="shared" si="14"/>
        <v>#N/A</v>
      </c>
      <c r="J112" s="1" t="e">
        <f t="shared" si="10"/>
        <v>#N/A</v>
      </c>
      <c r="K112" s="1" t="e">
        <f t="shared" si="15"/>
        <v>#N/A</v>
      </c>
      <c r="L112" s="8" t="e" cm="1">
        <f t="array" ref="L112">IF(I112="","", IFERROR(((IF(I$5&lt;&gt;"", I$5*A$5, 0) + SUMPRODUCT(--(I$6:I112&lt;&gt;""), I$6:I112, (A$6:A112-A$5:A111)))/1000)/H$3, ""))</f>
        <v>#N/A</v>
      </c>
      <c r="M112" s="1">
        <f t="shared" si="16"/>
        <v>216</v>
      </c>
      <c r="N112" s="1">
        <f t="shared" si="17"/>
        <v>0</v>
      </c>
      <c r="U112" s="1" t="e">
        <f t="shared" si="18"/>
        <v>#N/A</v>
      </c>
      <c r="V112" s="1" t="e">
        <f t="shared" si="11"/>
        <v>#N/A</v>
      </c>
      <c r="W112" s="1" t="e">
        <f t="shared" si="19"/>
        <v>#N/A</v>
      </c>
      <c r="X112" s="8" t="e" cm="1">
        <f t="array" ref="X112">IF(U112="","", IFERROR(((IF(U$5&lt;&gt;"", U$5*M$5, 0) + SUMPRODUCT(--(U$6:U112&lt;&gt;""), U$6:U112, (M$6:M112-M$5:M111)))/1000)/T$3, ""))</f>
        <v>#N/A</v>
      </c>
    </row>
    <row r="113" spans="1:24" x14ac:dyDescent="0.25">
      <c r="A113" s="1">
        <f t="shared" si="12"/>
        <v>218</v>
      </c>
      <c r="B113" s="1">
        <f t="shared" si="13"/>
        <v>0</v>
      </c>
      <c r="I113" s="1" t="e">
        <f t="shared" si="14"/>
        <v>#N/A</v>
      </c>
      <c r="J113" s="1" t="e">
        <f t="shared" si="10"/>
        <v>#N/A</v>
      </c>
      <c r="K113" s="1" t="e">
        <f t="shared" si="15"/>
        <v>#N/A</v>
      </c>
      <c r="L113" s="8" t="e" cm="1">
        <f t="array" ref="L113">IF(I113="","", IFERROR(((IF(I$5&lt;&gt;"", I$5*A$5, 0) + SUMPRODUCT(--(I$6:I113&lt;&gt;""), I$6:I113, (A$6:A113-A$5:A112)))/1000)/H$3, ""))</f>
        <v>#N/A</v>
      </c>
      <c r="M113" s="1">
        <f t="shared" si="16"/>
        <v>218</v>
      </c>
      <c r="N113" s="1">
        <f t="shared" si="17"/>
        <v>0</v>
      </c>
      <c r="U113" s="1" t="e">
        <f t="shared" si="18"/>
        <v>#N/A</v>
      </c>
      <c r="V113" s="1" t="e">
        <f t="shared" si="11"/>
        <v>#N/A</v>
      </c>
      <c r="W113" s="1" t="e">
        <f t="shared" si="19"/>
        <v>#N/A</v>
      </c>
      <c r="X113" s="8" t="e" cm="1">
        <f t="array" ref="X113">IF(U113="","", IFERROR(((IF(U$5&lt;&gt;"", U$5*M$5, 0) + SUMPRODUCT(--(U$6:U113&lt;&gt;""), U$6:U113, (M$6:M113-M$5:M112)))/1000)/T$3, ""))</f>
        <v>#N/A</v>
      </c>
    </row>
    <row r="114" spans="1:24" x14ac:dyDescent="0.25">
      <c r="A114" s="1">
        <f t="shared" si="12"/>
        <v>220</v>
      </c>
      <c r="B114" s="1">
        <f t="shared" si="13"/>
        <v>0</v>
      </c>
      <c r="I114" s="1" t="e">
        <f t="shared" si="14"/>
        <v>#N/A</v>
      </c>
      <c r="J114" s="1" t="e">
        <f t="shared" si="10"/>
        <v>#N/A</v>
      </c>
      <c r="K114" s="1" t="e">
        <f t="shared" si="15"/>
        <v>#N/A</v>
      </c>
      <c r="L114" s="8" t="e" cm="1">
        <f t="array" ref="L114">IF(I114="","", IFERROR(((IF(I$5&lt;&gt;"", I$5*A$5, 0) + SUMPRODUCT(--(I$6:I114&lt;&gt;""), I$6:I114, (A$6:A114-A$5:A113)))/1000)/H$3, ""))</f>
        <v>#N/A</v>
      </c>
      <c r="M114" s="1">
        <f t="shared" si="16"/>
        <v>220</v>
      </c>
      <c r="N114" s="1">
        <f t="shared" si="17"/>
        <v>0</v>
      </c>
      <c r="U114" s="1" t="e">
        <f t="shared" si="18"/>
        <v>#N/A</v>
      </c>
      <c r="V114" s="1" t="e">
        <f t="shared" si="11"/>
        <v>#N/A</v>
      </c>
      <c r="W114" s="1" t="e">
        <f t="shared" si="19"/>
        <v>#N/A</v>
      </c>
      <c r="X114" s="8" t="e" cm="1">
        <f t="array" ref="X114">IF(U114="","", IFERROR(((IF(U$5&lt;&gt;"", U$5*M$5, 0) + SUMPRODUCT(--(U$6:U114&lt;&gt;""), U$6:U114, (M$6:M114-M$5:M113)))/1000)/T$3, ""))</f>
        <v>#N/A</v>
      </c>
    </row>
    <row r="115" spans="1:24" x14ac:dyDescent="0.25">
      <c r="A115" s="1">
        <f t="shared" si="12"/>
        <v>222</v>
      </c>
      <c r="B115" s="1">
        <f t="shared" si="13"/>
        <v>0</v>
      </c>
      <c r="I115" s="1" t="e">
        <f t="shared" si="14"/>
        <v>#N/A</v>
      </c>
      <c r="J115" s="1" t="e">
        <f t="shared" si="10"/>
        <v>#N/A</v>
      </c>
      <c r="K115" s="1" t="e">
        <f t="shared" si="15"/>
        <v>#N/A</v>
      </c>
      <c r="L115" s="8" t="e" cm="1">
        <f t="array" ref="L115">IF(I115="","", IFERROR(((IF(I$5&lt;&gt;"", I$5*A$5, 0) + SUMPRODUCT(--(I$6:I115&lt;&gt;""), I$6:I115, (A$6:A115-A$5:A114)))/1000)/H$3, ""))</f>
        <v>#N/A</v>
      </c>
      <c r="M115" s="1">
        <f t="shared" si="16"/>
        <v>222</v>
      </c>
      <c r="N115" s="1">
        <f t="shared" si="17"/>
        <v>0</v>
      </c>
      <c r="U115" s="1" t="e">
        <f t="shared" si="18"/>
        <v>#N/A</v>
      </c>
      <c r="V115" s="1" t="e">
        <f t="shared" si="11"/>
        <v>#N/A</v>
      </c>
      <c r="W115" s="1" t="e">
        <f t="shared" si="19"/>
        <v>#N/A</v>
      </c>
      <c r="X115" s="8" t="e" cm="1">
        <f t="array" ref="X115">IF(U115="","", IFERROR(((IF(U$5&lt;&gt;"", U$5*M$5, 0) + SUMPRODUCT(--(U$6:U115&lt;&gt;""), U$6:U115, (M$6:M115-M$5:M114)))/1000)/T$3, ""))</f>
        <v>#N/A</v>
      </c>
    </row>
  </sheetData>
  <conditionalFormatting sqref="I5:L115">
    <cfRule type="containsErrors" dxfId="146" priority="3">
      <formula>ISERROR(I5)</formula>
    </cfRule>
  </conditionalFormatting>
  <conditionalFormatting sqref="K6:K115">
    <cfRule type="cellIs" dxfId="145" priority="12" operator="between">
      <formula>0</formula>
      <formula>15</formula>
    </cfRule>
    <cfRule type="cellIs" dxfId="144" priority="13" operator="between">
      <formula>15</formula>
      <formula>25</formula>
    </cfRule>
    <cfRule type="cellIs" dxfId="143" priority="14" operator="between">
      <formula>25</formula>
      <formula>1000</formula>
    </cfRule>
  </conditionalFormatting>
  <conditionalFormatting sqref="L2:L3 X2:X3">
    <cfRule type="containsErrors" dxfId="142" priority="5">
      <formula>ISERROR(L2)</formula>
    </cfRule>
  </conditionalFormatting>
  <conditionalFormatting sqref="U5:X115">
    <cfRule type="containsErrors" dxfId="141" priority="1">
      <formula>ISERROR(U5)</formula>
    </cfRule>
  </conditionalFormatting>
  <conditionalFormatting sqref="W6:W115">
    <cfRule type="cellIs" dxfId="140" priority="9" operator="between">
      <formula>0</formula>
      <formula>15</formula>
    </cfRule>
    <cfRule type="cellIs" dxfId="139" priority="10" operator="between">
      <formula>15</formula>
      <formula>25</formula>
    </cfRule>
    <cfRule type="cellIs" dxfId="138" priority="11" operator="between">
      <formula>25</formula>
      <formula>1000</formula>
    </cfRule>
  </conditionalFormatting>
  <pageMargins left="0.7" right="0.7" top="0.75" bottom="0.75" header="0.3" footer="0.3"/>
  <ignoredErrors>
    <ignoredError sqref="A1:XFD1 A5:XFD1048576 Y4:XFD4 A3:XFD3 A2:B2 D2:N2 P2:XFD2" evalError="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86E4-22DC-4401-92B5-AC718228CE70}">
  <dimension ref="A1:X115"/>
  <sheetViews>
    <sheetView workbookViewId="0">
      <selection sqref="A1:XFD4"/>
    </sheetView>
  </sheetViews>
  <sheetFormatPr defaultRowHeight="15" x14ac:dyDescent="0.25"/>
  <cols>
    <col min="1" max="1" width="11.710937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1.71093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16384" width="9.140625" style="1"/>
  </cols>
  <sheetData>
    <row r="1" spans="1:24" s="2" customFormat="1" ht="45" x14ac:dyDescent="0.25">
      <c r="A1" s="3" t="s">
        <v>49</v>
      </c>
      <c r="C1" s="4" t="s">
        <v>6</v>
      </c>
      <c r="E1" s="4" t="s">
        <v>43</v>
      </c>
      <c r="G1" s="4" t="s">
        <v>54</v>
      </c>
      <c r="H1" s="2" t="s">
        <v>53</v>
      </c>
      <c r="J1" s="4" t="s">
        <v>7</v>
      </c>
      <c r="L1" s="6" t="s">
        <v>20</v>
      </c>
      <c r="M1" s="3" t="s">
        <v>49</v>
      </c>
      <c r="O1" s="4" t="s">
        <v>6</v>
      </c>
      <c r="Q1" s="4" t="s">
        <v>43</v>
      </c>
      <c r="S1" s="4" t="s">
        <v>54</v>
      </c>
      <c r="T1" s="2" t="s">
        <v>53</v>
      </c>
      <c r="V1" s="4" t="s">
        <v>7</v>
      </c>
      <c r="X1" s="6" t="s">
        <v>20</v>
      </c>
    </row>
    <row r="2" spans="1:24"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50</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50</v>
      </c>
      <c r="U2" s="4" t="s">
        <v>9</v>
      </c>
      <c r="V2" s="4" t="s">
        <v>10</v>
      </c>
      <c r="X2" s="20" t="e">
        <f>IF(U5="","",AVERAGEIFS(U5:U115,U5:U115,"&lt;&gt;0",U5:U115,"&lt;&gt;"))</f>
        <v>#N/A</v>
      </c>
    </row>
    <row r="3" spans="1:24"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row>
    <row r="4" spans="1:24"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row>
    <row r="5" spans="1:24" x14ac:dyDescent="0.25">
      <c r="A5" s="1">
        <v>10</v>
      </c>
      <c r="B5" s="1">
        <v>0</v>
      </c>
      <c r="I5" s="1" t="e">
        <f>IF(C5="", NA(), (B5-C5)*1000/A5)</f>
        <v>#N/A</v>
      </c>
      <c r="J5" s="1" t="e">
        <f>IF(I5="","",I5/F$2/2.5)</f>
        <v>#N/A</v>
      </c>
      <c r="L5" s="8" t="e">
        <f>IF(I5="","", IFERROR(((IF(I$5&lt;&gt;"", I$5*A$5, 0))/1000)/H$3, ""))</f>
        <v>#N/A</v>
      </c>
      <c r="M5" s="1">
        <v>10</v>
      </c>
      <c r="U5" s="1" t="e">
        <f>IF(O5="", NA(), (N5-O5)*1000/M5)</f>
        <v>#N/A</v>
      </c>
      <c r="V5" s="1" t="e">
        <f>IF(U5="","",U5/R$2/2.5)</f>
        <v>#N/A</v>
      </c>
      <c r="X5" s="8" t="e">
        <f>IF(U5="","", IFERROR(((IF(U$5&lt;&gt;"", U$5*M$5, 0))/1000)/T$3, ""))</f>
        <v>#N/A</v>
      </c>
    </row>
    <row r="6" spans="1:24" x14ac:dyDescent="0.25">
      <c r="A6" s="1">
        <f>A5+10</f>
        <v>20</v>
      </c>
      <c r="B6" s="1">
        <f>C5</f>
        <v>0</v>
      </c>
      <c r="I6" s="1" t="e">
        <f>IF(C6="", NA(), (B6-C6)*1000/(A6-A5))</f>
        <v>#N/A</v>
      </c>
      <c r="J6" s="1" t="e">
        <f t="shared" ref="J6:J69" si="0">IF(I6="","",I6/F$2/2.5)</f>
        <v>#N/A</v>
      </c>
      <c r="K6" s="1" t="e">
        <f>IF(I6="","", 100*_xlfn.STDEV.P(I5:I6)/AVERAGE(I5:I6))</f>
        <v>#N/A</v>
      </c>
      <c r="L6" s="8" t="e" cm="1">
        <f t="array" ref="L6">IF(I6="","", IFERROR(((IF(I$5&lt;&gt;"", I$5*A$5, 0) + SUMPRODUCT(--(I$6:I6&lt;&gt;""), I$6:I6, (A$6:A6-A$5:A5)))/1000)/H$3, ""))</f>
        <v>#N/A</v>
      </c>
      <c r="M6" s="1">
        <f>M5+10</f>
        <v>20</v>
      </c>
      <c r="N6" s="1">
        <f>O5</f>
        <v>0</v>
      </c>
      <c r="U6" s="1" t="e">
        <f>IF(O6="", NA(), (N6-O6)*1000/(M6-M5))</f>
        <v>#N/A</v>
      </c>
      <c r="V6" s="1" t="e">
        <f t="shared" ref="V6:V69" si="1">IF(U6="","",U6/R$2/2.5)</f>
        <v>#N/A</v>
      </c>
      <c r="W6" s="1" t="e">
        <f>IF(U6="","", 100*_xlfn.STDEV.P(U5:U6)/AVERAGE(U5:U6))</f>
        <v>#N/A</v>
      </c>
      <c r="X6" s="8" t="e" cm="1">
        <f t="array" ref="X6">IF(U6="","", IFERROR(((IF(U$5&lt;&gt;"", U$5*M$5, 0) + SUMPRODUCT(--(U$6:U6&lt;&gt;""), U$6:U6, (M$6:M6-M$5:M5)))/1000)/T$3, ""))</f>
        <v>#N/A</v>
      </c>
    </row>
    <row r="7" spans="1:24" x14ac:dyDescent="0.25">
      <c r="A7" s="1">
        <f t="shared" ref="A7:A70" si="2">A6+10</f>
        <v>30</v>
      </c>
      <c r="B7" s="1">
        <f t="shared" ref="B7:B70" si="3">C6</f>
        <v>0</v>
      </c>
      <c r="I7" s="1" t="e">
        <f t="shared" ref="I7:I70" si="4">IF(C7="", NA(), (B7-C7)*1000/(A7-A6))</f>
        <v>#N/A</v>
      </c>
      <c r="J7" s="1" t="e">
        <f t="shared" si="0"/>
        <v>#N/A</v>
      </c>
      <c r="K7" s="1" t="e">
        <f t="shared" ref="K7:K70" si="5">IF(I7="","", 100*_xlfn.STDEV.P(I6:I7)/AVERAGE(I6:I7))</f>
        <v>#N/A</v>
      </c>
      <c r="L7" s="8" t="e" cm="1">
        <f t="array" ref="L7">IF(I7="","", IFERROR(((IF(I$5&lt;&gt;"", I$5*A$5, 0) + SUMPRODUCT(--(I$6:I7&lt;&gt;""), I$6:I7, (A$6:A7-A$5:A6)))/1000)/H$3, ""))</f>
        <v>#N/A</v>
      </c>
      <c r="M7" s="1">
        <f t="shared" ref="M7:M70" si="6">M6+10</f>
        <v>30</v>
      </c>
      <c r="N7" s="1">
        <f t="shared" ref="N7:N70" si="7">O6</f>
        <v>0</v>
      </c>
      <c r="U7" s="1" t="e">
        <f t="shared" ref="U7:U70" si="8">IF(O7="", NA(), (N7-O7)*1000/(M7-M6))</f>
        <v>#N/A</v>
      </c>
      <c r="V7" s="1" t="e">
        <f t="shared" si="1"/>
        <v>#N/A</v>
      </c>
      <c r="W7" s="1" t="e">
        <f t="shared" ref="W7:W70" si="9">IF(U7="","", 100*_xlfn.STDEV.P(U6:U7)/AVERAGE(U6:U7))</f>
        <v>#N/A</v>
      </c>
      <c r="X7" s="8" t="e" cm="1">
        <f t="array" ref="X7">IF(U7="","", IFERROR(((IF(U$5&lt;&gt;"", U$5*M$5, 0) + SUMPRODUCT(--(U$6:U7&lt;&gt;""), U$6:U7, (M$6:M7-M$5:M6)))/1000)/T$3, ""))</f>
        <v>#N/A</v>
      </c>
    </row>
    <row r="8" spans="1:24" x14ac:dyDescent="0.25">
      <c r="A8" s="1">
        <f t="shared" si="2"/>
        <v>40</v>
      </c>
      <c r="B8" s="1">
        <f t="shared" si="3"/>
        <v>0</v>
      </c>
      <c r="I8" s="1" t="e">
        <f t="shared" si="4"/>
        <v>#N/A</v>
      </c>
      <c r="J8" s="1" t="e">
        <f t="shared" si="0"/>
        <v>#N/A</v>
      </c>
      <c r="K8" s="1" t="e">
        <f t="shared" si="5"/>
        <v>#N/A</v>
      </c>
      <c r="L8" s="8" t="e" cm="1">
        <f t="array" ref="L8">IF(I8="","", IFERROR(((IF(I$5&lt;&gt;"", I$5*A$5, 0) + SUMPRODUCT(--(I$6:I8&lt;&gt;""), I$6:I8, (A$6:A8-A$5:A7)))/1000)/H$3, ""))</f>
        <v>#N/A</v>
      </c>
      <c r="M8" s="1">
        <f t="shared" si="6"/>
        <v>40</v>
      </c>
      <c r="N8" s="1">
        <f t="shared" si="7"/>
        <v>0</v>
      </c>
      <c r="U8" s="1" t="e">
        <f t="shared" si="8"/>
        <v>#N/A</v>
      </c>
      <c r="V8" s="1" t="e">
        <f t="shared" si="1"/>
        <v>#N/A</v>
      </c>
      <c r="W8" s="1" t="e">
        <f t="shared" si="9"/>
        <v>#N/A</v>
      </c>
      <c r="X8" s="8" t="e" cm="1">
        <f t="array" ref="X8">IF(U8="","", IFERROR(((IF(U$5&lt;&gt;"", U$5*M$5, 0) + SUMPRODUCT(--(U$6:U8&lt;&gt;""), U$6:U8, (M$6:M8-M$5:M7)))/1000)/T$3, ""))</f>
        <v>#N/A</v>
      </c>
    </row>
    <row r="9" spans="1:24" x14ac:dyDescent="0.25">
      <c r="A9" s="1">
        <f t="shared" si="2"/>
        <v>50</v>
      </c>
      <c r="B9" s="1">
        <f t="shared" si="3"/>
        <v>0</v>
      </c>
      <c r="I9" s="1" t="e">
        <f t="shared" si="4"/>
        <v>#N/A</v>
      </c>
      <c r="J9" s="1" t="e">
        <f t="shared" si="0"/>
        <v>#N/A</v>
      </c>
      <c r="K9" s="1" t="e">
        <f t="shared" si="5"/>
        <v>#N/A</v>
      </c>
      <c r="L9" s="8" t="e" cm="1">
        <f t="array" ref="L9">IF(I9="","", IFERROR(((IF(I$5&lt;&gt;"", I$5*A$5, 0) + SUMPRODUCT(--(I$6:I9&lt;&gt;""), I$6:I9, (A$6:A9-A$5:A8)))/1000)/H$3, ""))</f>
        <v>#N/A</v>
      </c>
      <c r="M9" s="1">
        <f t="shared" si="6"/>
        <v>50</v>
      </c>
      <c r="N9" s="1">
        <f t="shared" si="7"/>
        <v>0</v>
      </c>
      <c r="U9" s="1" t="e">
        <f t="shared" si="8"/>
        <v>#N/A</v>
      </c>
      <c r="V9" s="1" t="e">
        <f t="shared" si="1"/>
        <v>#N/A</v>
      </c>
      <c r="W9" s="1" t="e">
        <f t="shared" si="9"/>
        <v>#N/A</v>
      </c>
      <c r="X9" s="8" t="e" cm="1">
        <f t="array" ref="X9">IF(U9="","", IFERROR(((IF(U$5&lt;&gt;"", U$5*M$5, 0) + SUMPRODUCT(--(U$6:U9&lt;&gt;""), U$6:U9, (M$6:M9-M$5:M8)))/1000)/T$3, ""))</f>
        <v>#N/A</v>
      </c>
    </row>
    <row r="10" spans="1:24" x14ac:dyDescent="0.25">
      <c r="A10" s="1">
        <f t="shared" si="2"/>
        <v>60</v>
      </c>
      <c r="B10" s="1">
        <f t="shared" si="3"/>
        <v>0</v>
      </c>
      <c r="I10" s="1" t="e">
        <f t="shared" si="4"/>
        <v>#N/A</v>
      </c>
      <c r="J10" s="1" t="e">
        <f t="shared" si="0"/>
        <v>#N/A</v>
      </c>
      <c r="K10" s="1" t="e">
        <f t="shared" si="5"/>
        <v>#N/A</v>
      </c>
      <c r="L10" s="8" t="e" cm="1">
        <f t="array" ref="L10">IF(I10="","", IFERROR(((IF(I$5&lt;&gt;"", I$5*A$5, 0) + SUMPRODUCT(--(I$6:I10&lt;&gt;""), I$6:I10, (A$6:A10-A$5:A9)))/1000)/H$3, ""))</f>
        <v>#N/A</v>
      </c>
      <c r="M10" s="1">
        <f t="shared" si="6"/>
        <v>60</v>
      </c>
      <c r="N10" s="1">
        <f t="shared" si="7"/>
        <v>0</v>
      </c>
      <c r="U10" s="1" t="e">
        <f t="shared" si="8"/>
        <v>#N/A</v>
      </c>
      <c r="V10" s="1" t="e">
        <f t="shared" si="1"/>
        <v>#N/A</v>
      </c>
      <c r="W10" s="1" t="e">
        <f t="shared" si="9"/>
        <v>#N/A</v>
      </c>
      <c r="X10" s="8" t="e" cm="1">
        <f t="array" ref="X10">IF(U10="","", IFERROR(((IF(U$5&lt;&gt;"", U$5*M$5, 0) + SUMPRODUCT(--(U$6:U10&lt;&gt;""), U$6:U10, (M$6:M10-M$5:M9)))/1000)/T$3, ""))</f>
        <v>#N/A</v>
      </c>
    </row>
    <row r="11" spans="1:24" x14ac:dyDescent="0.25">
      <c r="A11" s="1">
        <f t="shared" si="2"/>
        <v>70</v>
      </c>
      <c r="B11" s="1">
        <f t="shared" si="3"/>
        <v>0</v>
      </c>
      <c r="I11" s="1" t="e">
        <f t="shared" si="4"/>
        <v>#N/A</v>
      </c>
      <c r="J11" s="1" t="e">
        <f t="shared" si="0"/>
        <v>#N/A</v>
      </c>
      <c r="K11" s="1" t="e">
        <f t="shared" si="5"/>
        <v>#N/A</v>
      </c>
      <c r="L11" s="8" t="e" cm="1">
        <f t="array" ref="L11">IF(I11="","", IFERROR(((IF(I$5&lt;&gt;"", I$5*A$5, 0) + SUMPRODUCT(--(I$6:I11&lt;&gt;""), I$6:I11, (A$6:A11-A$5:A10)))/1000)/H$3, ""))</f>
        <v>#N/A</v>
      </c>
      <c r="M11" s="1">
        <f t="shared" si="6"/>
        <v>70</v>
      </c>
      <c r="N11" s="1">
        <f t="shared" si="7"/>
        <v>0</v>
      </c>
      <c r="U11" s="1" t="e">
        <f t="shared" si="8"/>
        <v>#N/A</v>
      </c>
      <c r="V11" s="1" t="e">
        <f t="shared" si="1"/>
        <v>#N/A</v>
      </c>
      <c r="W11" s="1" t="e">
        <f t="shared" si="9"/>
        <v>#N/A</v>
      </c>
      <c r="X11" s="8" t="e" cm="1">
        <f t="array" ref="X11">IF(U11="","", IFERROR(((IF(U$5&lt;&gt;"", U$5*M$5, 0) + SUMPRODUCT(--(U$6:U11&lt;&gt;""), U$6:U11, (M$6:M11-M$5:M10)))/1000)/T$3, ""))</f>
        <v>#N/A</v>
      </c>
    </row>
    <row r="12" spans="1:24" x14ac:dyDescent="0.25">
      <c r="A12" s="1">
        <f t="shared" si="2"/>
        <v>80</v>
      </c>
      <c r="B12" s="1">
        <f t="shared" si="3"/>
        <v>0</v>
      </c>
      <c r="I12" s="1" t="e">
        <f t="shared" si="4"/>
        <v>#N/A</v>
      </c>
      <c r="J12" s="1" t="e">
        <f t="shared" si="0"/>
        <v>#N/A</v>
      </c>
      <c r="K12" s="1" t="e">
        <f t="shared" si="5"/>
        <v>#N/A</v>
      </c>
      <c r="L12" s="8" t="e" cm="1">
        <f t="array" ref="L12">IF(I12="","", IFERROR(((IF(I$5&lt;&gt;"", I$5*A$5, 0) + SUMPRODUCT(--(I$6:I12&lt;&gt;""), I$6:I12, (A$6:A12-A$5:A11)))/1000)/H$3, ""))</f>
        <v>#N/A</v>
      </c>
      <c r="M12" s="1">
        <f t="shared" si="6"/>
        <v>80</v>
      </c>
      <c r="N12" s="1">
        <f t="shared" si="7"/>
        <v>0</v>
      </c>
      <c r="U12" s="1" t="e">
        <f t="shared" si="8"/>
        <v>#N/A</v>
      </c>
      <c r="V12" s="1" t="e">
        <f t="shared" si="1"/>
        <v>#N/A</v>
      </c>
      <c r="W12" s="1" t="e">
        <f t="shared" si="9"/>
        <v>#N/A</v>
      </c>
      <c r="X12" s="8" t="e" cm="1">
        <f t="array" ref="X12">IF(U12="","", IFERROR(((IF(U$5&lt;&gt;"", U$5*M$5, 0) + SUMPRODUCT(--(U$6:U12&lt;&gt;""), U$6:U12, (M$6:M12-M$5:M11)))/1000)/T$3, ""))</f>
        <v>#N/A</v>
      </c>
    </row>
    <row r="13" spans="1:24" x14ac:dyDescent="0.25">
      <c r="A13" s="1">
        <f t="shared" si="2"/>
        <v>90</v>
      </c>
      <c r="B13" s="1">
        <f t="shared" si="3"/>
        <v>0</v>
      </c>
      <c r="I13" s="1" t="e">
        <f t="shared" si="4"/>
        <v>#N/A</v>
      </c>
      <c r="J13" s="1" t="e">
        <f t="shared" si="0"/>
        <v>#N/A</v>
      </c>
      <c r="K13" s="1" t="e">
        <f t="shared" si="5"/>
        <v>#N/A</v>
      </c>
      <c r="L13" s="8" t="e" cm="1">
        <f t="array" ref="L13">IF(I13="","", IFERROR(((IF(I$5&lt;&gt;"", I$5*A$5, 0) + SUMPRODUCT(--(I$6:I13&lt;&gt;""), I$6:I13, (A$6:A13-A$5:A12)))/1000)/H$3, ""))</f>
        <v>#N/A</v>
      </c>
      <c r="M13" s="1">
        <f t="shared" si="6"/>
        <v>90</v>
      </c>
      <c r="N13" s="1">
        <f t="shared" si="7"/>
        <v>0</v>
      </c>
      <c r="U13" s="1" t="e">
        <f t="shared" si="8"/>
        <v>#N/A</v>
      </c>
      <c r="V13" s="1" t="e">
        <f t="shared" si="1"/>
        <v>#N/A</v>
      </c>
      <c r="W13" s="1" t="e">
        <f t="shared" si="9"/>
        <v>#N/A</v>
      </c>
      <c r="X13" s="8" t="e" cm="1">
        <f t="array" ref="X13">IF(U13="","", IFERROR(((IF(U$5&lt;&gt;"", U$5*M$5, 0) + SUMPRODUCT(--(U$6:U13&lt;&gt;""), U$6:U13, (M$6:M13-M$5:M12)))/1000)/T$3, ""))</f>
        <v>#N/A</v>
      </c>
    </row>
    <row r="14" spans="1:24" x14ac:dyDescent="0.25">
      <c r="A14" s="1">
        <f t="shared" si="2"/>
        <v>100</v>
      </c>
      <c r="B14" s="1">
        <f t="shared" si="3"/>
        <v>0</v>
      </c>
      <c r="I14" s="1" t="e">
        <f t="shared" si="4"/>
        <v>#N/A</v>
      </c>
      <c r="J14" s="1" t="e">
        <f t="shared" si="0"/>
        <v>#N/A</v>
      </c>
      <c r="K14" s="1" t="e">
        <f t="shared" si="5"/>
        <v>#N/A</v>
      </c>
      <c r="L14" s="8" t="e" cm="1">
        <f t="array" ref="L14">IF(I14="","", IFERROR(((IF(I$5&lt;&gt;"", I$5*A$5, 0) + SUMPRODUCT(--(I$6:I14&lt;&gt;""), I$6:I14, (A$6:A14-A$5:A13)))/1000)/H$3, ""))</f>
        <v>#N/A</v>
      </c>
      <c r="M14" s="1">
        <f t="shared" si="6"/>
        <v>100</v>
      </c>
      <c r="N14" s="1">
        <f t="shared" si="7"/>
        <v>0</v>
      </c>
      <c r="U14" s="1" t="e">
        <f t="shared" si="8"/>
        <v>#N/A</v>
      </c>
      <c r="V14" s="1" t="e">
        <f t="shared" si="1"/>
        <v>#N/A</v>
      </c>
      <c r="W14" s="1" t="e">
        <f t="shared" si="9"/>
        <v>#N/A</v>
      </c>
      <c r="X14" s="8" t="e" cm="1">
        <f t="array" ref="X14">IF(U14="","", IFERROR(((IF(U$5&lt;&gt;"", U$5*M$5, 0) + SUMPRODUCT(--(U$6:U14&lt;&gt;""), U$6:U14, (M$6:M14-M$5:M13)))/1000)/T$3, ""))</f>
        <v>#N/A</v>
      </c>
    </row>
    <row r="15" spans="1:24" x14ac:dyDescent="0.25">
      <c r="A15" s="1">
        <f t="shared" si="2"/>
        <v>110</v>
      </c>
      <c r="B15" s="1">
        <f t="shared" si="3"/>
        <v>0</v>
      </c>
      <c r="I15" s="1" t="e">
        <f t="shared" si="4"/>
        <v>#N/A</v>
      </c>
      <c r="J15" s="1" t="e">
        <f t="shared" si="0"/>
        <v>#N/A</v>
      </c>
      <c r="K15" s="1" t="e">
        <f t="shared" si="5"/>
        <v>#N/A</v>
      </c>
      <c r="L15" s="8" t="e" cm="1">
        <f t="array" ref="L15">IF(I15="","", IFERROR(((IF(I$5&lt;&gt;"", I$5*A$5, 0) + SUMPRODUCT(--(I$6:I15&lt;&gt;""), I$6:I15, (A$6:A15-A$5:A14)))/1000)/H$3, ""))</f>
        <v>#N/A</v>
      </c>
      <c r="M15" s="1">
        <f t="shared" si="6"/>
        <v>110</v>
      </c>
      <c r="N15" s="1">
        <f t="shared" si="7"/>
        <v>0</v>
      </c>
      <c r="U15" s="1" t="e">
        <f t="shared" si="8"/>
        <v>#N/A</v>
      </c>
      <c r="V15" s="1" t="e">
        <f t="shared" si="1"/>
        <v>#N/A</v>
      </c>
      <c r="W15" s="1" t="e">
        <f t="shared" si="9"/>
        <v>#N/A</v>
      </c>
      <c r="X15" s="8" t="e" cm="1">
        <f t="array" ref="X15">IF(U15="","", IFERROR(((IF(U$5&lt;&gt;"", U$5*M$5, 0) + SUMPRODUCT(--(U$6:U15&lt;&gt;""), U$6:U15, (M$6:M15-M$5:M14)))/1000)/T$3, ""))</f>
        <v>#N/A</v>
      </c>
    </row>
    <row r="16" spans="1:24" x14ac:dyDescent="0.25">
      <c r="A16" s="1">
        <f t="shared" si="2"/>
        <v>120</v>
      </c>
      <c r="B16" s="1">
        <f t="shared" si="3"/>
        <v>0</v>
      </c>
      <c r="I16" s="1" t="e">
        <f t="shared" si="4"/>
        <v>#N/A</v>
      </c>
      <c r="J16" s="1" t="e">
        <f t="shared" si="0"/>
        <v>#N/A</v>
      </c>
      <c r="K16" s="1" t="e">
        <f t="shared" si="5"/>
        <v>#N/A</v>
      </c>
      <c r="L16" s="8" t="e" cm="1">
        <f t="array" ref="L16">IF(I16="","", IFERROR(((IF(I$5&lt;&gt;"", I$5*A$5, 0) + SUMPRODUCT(--(I$6:I16&lt;&gt;""), I$6:I16, (A$6:A16-A$5:A15)))/1000)/H$3, ""))</f>
        <v>#N/A</v>
      </c>
      <c r="M16" s="1">
        <f t="shared" si="6"/>
        <v>120</v>
      </c>
      <c r="N16" s="1">
        <f t="shared" si="7"/>
        <v>0</v>
      </c>
      <c r="U16" s="1" t="e">
        <f t="shared" si="8"/>
        <v>#N/A</v>
      </c>
      <c r="V16" s="1" t="e">
        <f t="shared" si="1"/>
        <v>#N/A</v>
      </c>
      <c r="W16" s="1" t="e">
        <f t="shared" si="9"/>
        <v>#N/A</v>
      </c>
      <c r="X16" s="8" t="e" cm="1">
        <f t="array" ref="X16">IF(U16="","", IFERROR(((IF(U$5&lt;&gt;"", U$5*M$5, 0) + SUMPRODUCT(--(U$6:U16&lt;&gt;""), U$6:U16, (M$6:M16-M$5:M15)))/1000)/T$3, ""))</f>
        <v>#N/A</v>
      </c>
    </row>
    <row r="17" spans="1:24" x14ac:dyDescent="0.25">
      <c r="A17" s="1">
        <f t="shared" si="2"/>
        <v>130</v>
      </c>
      <c r="B17" s="1">
        <f t="shared" si="3"/>
        <v>0</v>
      </c>
      <c r="I17" s="1" t="e">
        <f t="shared" si="4"/>
        <v>#N/A</v>
      </c>
      <c r="J17" s="1" t="e">
        <f t="shared" si="0"/>
        <v>#N/A</v>
      </c>
      <c r="K17" s="1" t="e">
        <f t="shared" si="5"/>
        <v>#N/A</v>
      </c>
      <c r="L17" s="8" t="e" cm="1">
        <f t="array" ref="L17">IF(I17="","", IFERROR(((IF(I$5&lt;&gt;"", I$5*A$5, 0) + SUMPRODUCT(--(I$6:I17&lt;&gt;""), I$6:I17, (A$6:A17-A$5:A16)))/1000)/H$3, ""))</f>
        <v>#N/A</v>
      </c>
      <c r="M17" s="1">
        <f t="shared" si="6"/>
        <v>130</v>
      </c>
      <c r="N17" s="1">
        <f t="shared" si="7"/>
        <v>0</v>
      </c>
      <c r="U17" s="1" t="e">
        <f t="shared" si="8"/>
        <v>#N/A</v>
      </c>
      <c r="V17" s="1" t="e">
        <f t="shared" si="1"/>
        <v>#N/A</v>
      </c>
      <c r="W17" s="1" t="e">
        <f t="shared" si="9"/>
        <v>#N/A</v>
      </c>
      <c r="X17" s="8" t="e" cm="1">
        <f t="array" ref="X17">IF(U17="","", IFERROR(((IF(U$5&lt;&gt;"", U$5*M$5, 0) + SUMPRODUCT(--(U$6:U17&lt;&gt;""), U$6:U17, (M$6:M17-M$5:M16)))/1000)/T$3, ""))</f>
        <v>#N/A</v>
      </c>
    </row>
    <row r="18" spans="1:24" x14ac:dyDescent="0.25">
      <c r="A18" s="1">
        <f t="shared" si="2"/>
        <v>140</v>
      </c>
      <c r="B18" s="1">
        <f t="shared" si="3"/>
        <v>0</v>
      </c>
      <c r="I18" s="1" t="e">
        <f t="shared" si="4"/>
        <v>#N/A</v>
      </c>
      <c r="J18" s="1" t="e">
        <f t="shared" si="0"/>
        <v>#N/A</v>
      </c>
      <c r="K18" s="1" t="e">
        <f t="shared" si="5"/>
        <v>#N/A</v>
      </c>
      <c r="L18" s="8" t="e" cm="1">
        <f t="array" ref="L18">IF(I18="","", IFERROR(((IF(I$5&lt;&gt;"", I$5*A$5, 0) + SUMPRODUCT(--(I$6:I18&lt;&gt;""), I$6:I18, (A$6:A18-A$5:A17)))/1000)/H$3, ""))</f>
        <v>#N/A</v>
      </c>
      <c r="M18" s="1">
        <f t="shared" si="6"/>
        <v>140</v>
      </c>
      <c r="N18" s="1">
        <f t="shared" si="7"/>
        <v>0</v>
      </c>
      <c r="U18" s="1" t="e">
        <f t="shared" si="8"/>
        <v>#N/A</v>
      </c>
      <c r="V18" s="1" t="e">
        <f t="shared" si="1"/>
        <v>#N/A</v>
      </c>
      <c r="W18" s="1" t="e">
        <f t="shared" si="9"/>
        <v>#N/A</v>
      </c>
      <c r="X18" s="8" t="e" cm="1">
        <f t="array" ref="X18">IF(U18="","", IFERROR(((IF(U$5&lt;&gt;"", U$5*M$5, 0) + SUMPRODUCT(--(U$6:U18&lt;&gt;""), U$6:U18, (M$6:M18-M$5:M17)))/1000)/T$3, ""))</f>
        <v>#N/A</v>
      </c>
    </row>
    <row r="19" spans="1:24" x14ac:dyDescent="0.25">
      <c r="A19" s="1">
        <f t="shared" si="2"/>
        <v>150</v>
      </c>
      <c r="B19" s="1">
        <f t="shared" si="3"/>
        <v>0</v>
      </c>
      <c r="I19" s="1" t="e">
        <f t="shared" si="4"/>
        <v>#N/A</v>
      </c>
      <c r="J19" s="1" t="e">
        <f t="shared" si="0"/>
        <v>#N/A</v>
      </c>
      <c r="K19" s="1" t="e">
        <f t="shared" si="5"/>
        <v>#N/A</v>
      </c>
      <c r="L19" s="8" t="e" cm="1">
        <f t="array" ref="L19">IF(I19="","", IFERROR(((IF(I$5&lt;&gt;"", I$5*A$5, 0) + SUMPRODUCT(--(I$6:I19&lt;&gt;""), I$6:I19, (A$6:A19-A$5:A18)))/1000)/H$3, ""))</f>
        <v>#N/A</v>
      </c>
      <c r="M19" s="1">
        <f t="shared" si="6"/>
        <v>150</v>
      </c>
      <c r="N19" s="1">
        <f t="shared" si="7"/>
        <v>0</v>
      </c>
      <c r="U19" s="1" t="e">
        <f t="shared" si="8"/>
        <v>#N/A</v>
      </c>
      <c r="V19" s="1" t="e">
        <f t="shared" si="1"/>
        <v>#N/A</v>
      </c>
      <c r="W19" s="1" t="e">
        <f t="shared" si="9"/>
        <v>#N/A</v>
      </c>
      <c r="X19" s="8" t="e" cm="1">
        <f t="array" ref="X19">IF(U19="","", IFERROR(((IF(U$5&lt;&gt;"", U$5*M$5, 0) + SUMPRODUCT(--(U$6:U19&lt;&gt;""), U$6:U19, (M$6:M19-M$5:M18)))/1000)/T$3, ""))</f>
        <v>#N/A</v>
      </c>
    </row>
    <row r="20" spans="1:24" x14ac:dyDescent="0.25">
      <c r="A20" s="1">
        <f t="shared" si="2"/>
        <v>160</v>
      </c>
      <c r="B20" s="1">
        <f t="shared" si="3"/>
        <v>0</v>
      </c>
      <c r="I20" s="1" t="e">
        <f t="shared" si="4"/>
        <v>#N/A</v>
      </c>
      <c r="J20" s="1" t="e">
        <f t="shared" si="0"/>
        <v>#N/A</v>
      </c>
      <c r="K20" s="1" t="e">
        <f t="shared" si="5"/>
        <v>#N/A</v>
      </c>
      <c r="L20" s="8" t="e" cm="1">
        <f t="array" ref="L20">IF(I20="","", IFERROR(((IF(I$5&lt;&gt;"", I$5*A$5, 0) + SUMPRODUCT(--(I$6:I20&lt;&gt;""), I$6:I20, (A$6:A20-A$5:A19)))/1000)/H$3, ""))</f>
        <v>#N/A</v>
      </c>
      <c r="M20" s="1">
        <f t="shared" si="6"/>
        <v>160</v>
      </c>
      <c r="N20" s="1">
        <f t="shared" si="7"/>
        <v>0</v>
      </c>
      <c r="U20" s="1" t="e">
        <f t="shared" si="8"/>
        <v>#N/A</v>
      </c>
      <c r="V20" s="1" t="e">
        <f t="shared" si="1"/>
        <v>#N/A</v>
      </c>
      <c r="W20" s="1" t="e">
        <f t="shared" si="9"/>
        <v>#N/A</v>
      </c>
      <c r="X20" s="8" t="e" cm="1">
        <f t="array" ref="X20">IF(U20="","", IFERROR(((IF(U$5&lt;&gt;"", U$5*M$5, 0) + SUMPRODUCT(--(U$6:U20&lt;&gt;""), U$6:U20, (M$6:M20-M$5:M19)))/1000)/T$3, ""))</f>
        <v>#N/A</v>
      </c>
    </row>
    <row r="21" spans="1:24" x14ac:dyDescent="0.25">
      <c r="A21" s="1">
        <f t="shared" si="2"/>
        <v>170</v>
      </c>
      <c r="B21" s="1">
        <f t="shared" si="3"/>
        <v>0</v>
      </c>
      <c r="I21" s="1" t="e">
        <f t="shared" si="4"/>
        <v>#N/A</v>
      </c>
      <c r="J21" s="1" t="e">
        <f t="shared" si="0"/>
        <v>#N/A</v>
      </c>
      <c r="K21" s="1" t="e">
        <f t="shared" si="5"/>
        <v>#N/A</v>
      </c>
      <c r="L21" s="8" t="e" cm="1">
        <f t="array" ref="L21">IF(I21="","", IFERROR(((IF(I$5&lt;&gt;"", I$5*A$5, 0) + SUMPRODUCT(--(I$6:I21&lt;&gt;""), I$6:I21, (A$6:A21-A$5:A20)))/1000)/H$3, ""))</f>
        <v>#N/A</v>
      </c>
      <c r="M21" s="1">
        <f t="shared" si="6"/>
        <v>170</v>
      </c>
      <c r="N21" s="1">
        <f t="shared" si="7"/>
        <v>0</v>
      </c>
      <c r="U21" s="1" t="e">
        <f t="shared" si="8"/>
        <v>#N/A</v>
      </c>
      <c r="V21" s="1" t="e">
        <f t="shared" si="1"/>
        <v>#N/A</v>
      </c>
      <c r="W21" s="1" t="e">
        <f t="shared" si="9"/>
        <v>#N/A</v>
      </c>
      <c r="X21" s="8" t="e" cm="1">
        <f t="array" ref="X21">IF(U21="","", IFERROR(((IF(U$5&lt;&gt;"", U$5*M$5, 0) + SUMPRODUCT(--(U$6:U21&lt;&gt;""), U$6:U21, (M$6:M21-M$5:M20)))/1000)/T$3, ""))</f>
        <v>#N/A</v>
      </c>
    </row>
    <row r="22" spans="1:24" x14ac:dyDescent="0.25">
      <c r="A22" s="1">
        <f t="shared" si="2"/>
        <v>180</v>
      </c>
      <c r="B22" s="1">
        <f t="shared" si="3"/>
        <v>0</v>
      </c>
      <c r="I22" s="1" t="e">
        <f t="shared" si="4"/>
        <v>#N/A</v>
      </c>
      <c r="J22" s="1" t="e">
        <f t="shared" si="0"/>
        <v>#N/A</v>
      </c>
      <c r="K22" s="1" t="e">
        <f t="shared" si="5"/>
        <v>#N/A</v>
      </c>
      <c r="L22" s="8" t="e" cm="1">
        <f t="array" ref="L22">IF(I22="","", IFERROR(((IF(I$5&lt;&gt;"", I$5*A$5, 0) + SUMPRODUCT(--(I$6:I22&lt;&gt;""), I$6:I22, (A$6:A22-A$5:A21)))/1000)/H$3, ""))</f>
        <v>#N/A</v>
      </c>
      <c r="M22" s="1">
        <f t="shared" si="6"/>
        <v>180</v>
      </c>
      <c r="N22" s="1">
        <f t="shared" si="7"/>
        <v>0</v>
      </c>
      <c r="U22" s="1" t="e">
        <f t="shared" si="8"/>
        <v>#N/A</v>
      </c>
      <c r="V22" s="1" t="e">
        <f t="shared" si="1"/>
        <v>#N/A</v>
      </c>
      <c r="W22" s="1" t="e">
        <f t="shared" si="9"/>
        <v>#N/A</v>
      </c>
      <c r="X22" s="8" t="e" cm="1">
        <f t="array" ref="X22">IF(U22="","", IFERROR(((IF(U$5&lt;&gt;"", U$5*M$5, 0) + SUMPRODUCT(--(U$6:U22&lt;&gt;""), U$6:U22, (M$6:M22-M$5:M21)))/1000)/T$3, ""))</f>
        <v>#N/A</v>
      </c>
    </row>
    <row r="23" spans="1:24" x14ac:dyDescent="0.25">
      <c r="A23" s="1">
        <f t="shared" si="2"/>
        <v>190</v>
      </c>
      <c r="B23" s="1">
        <f t="shared" si="3"/>
        <v>0</v>
      </c>
      <c r="I23" s="1" t="e">
        <f t="shared" si="4"/>
        <v>#N/A</v>
      </c>
      <c r="J23" s="1" t="e">
        <f t="shared" si="0"/>
        <v>#N/A</v>
      </c>
      <c r="K23" s="1" t="e">
        <f t="shared" si="5"/>
        <v>#N/A</v>
      </c>
      <c r="L23" s="8" t="e" cm="1">
        <f t="array" ref="L23">IF(I23="","", IFERROR(((IF(I$5&lt;&gt;"", I$5*A$5, 0) + SUMPRODUCT(--(I$6:I23&lt;&gt;""), I$6:I23, (A$6:A23-A$5:A22)))/1000)/H$3, ""))</f>
        <v>#N/A</v>
      </c>
      <c r="M23" s="1">
        <f t="shared" si="6"/>
        <v>190</v>
      </c>
      <c r="N23" s="1">
        <f t="shared" si="7"/>
        <v>0</v>
      </c>
      <c r="U23" s="1" t="e">
        <f t="shared" si="8"/>
        <v>#N/A</v>
      </c>
      <c r="V23" s="1" t="e">
        <f t="shared" si="1"/>
        <v>#N/A</v>
      </c>
      <c r="W23" s="1" t="e">
        <f t="shared" si="9"/>
        <v>#N/A</v>
      </c>
      <c r="X23" s="8" t="e" cm="1">
        <f t="array" ref="X23">IF(U23="","", IFERROR(((IF(U$5&lt;&gt;"", U$5*M$5, 0) + SUMPRODUCT(--(U$6:U23&lt;&gt;""), U$6:U23, (M$6:M23-M$5:M22)))/1000)/T$3, ""))</f>
        <v>#N/A</v>
      </c>
    </row>
    <row r="24" spans="1:24" x14ac:dyDescent="0.25">
      <c r="A24" s="1">
        <f t="shared" si="2"/>
        <v>200</v>
      </c>
      <c r="B24" s="1">
        <f t="shared" si="3"/>
        <v>0</v>
      </c>
      <c r="I24" s="1" t="e">
        <f t="shared" si="4"/>
        <v>#N/A</v>
      </c>
      <c r="J24" s="1" t="e">
        <f t="shared" si="0"/>
        <v>#N/A</v>
      </c>
      <c r="K24" s="1" t="e">
        <f t="shared" si="5"/>
        <v>#N/A</v>
      </c>
      <c r="L24" s="8" t="e" cm="1">
        <f t="array" ref="L24">IF(I24="","", IFERROR(((IF(I$5&lt;&gt;"", I$5*A$5, 0) + SUMPRODUCT(--(I$6:I24&lt;&gt;""), I$6:I24, (A$6:A24-A$5:A23)))/1000)/H$3, ""))</f>
        <v>#N/A</v>
      </c>
      <c r="M24" s="1">
        <f t="shared" si="6"/>
        <v>200</v>
      </c>
      <c r="N24" s="1">
        <f t="shared" si="7"/>
        <v>0</v>
      </c>
      <c r="U24" s="1" t="e">
        <f t="shared" si="8"/>
        <v>#N/A</v>
      </c>
      <c r="V24" s="1" t="e">
        <f t="shared" si="1"/>
        <v>#N/A</v>
      </c>
      <c r="W24" s="1" t="e">
        <f t="shared" si="9"/>
        <v>#N/A</v>
      </c>
      <c r="X24" s="8" t="e" cm="1">
        <f t="array" ref="X24">IF(U24="","", IFERROR(((IF(U$5&lt;&gt;"", U$5*M$5, 0) + SUMPRODUCT(--(U$6:U24&lt;&gt;""), U$6:U24, (M$6:M24-M$5:M23)))/1000)/T$3, ""))</f>
        <v>#N/A</v>
      </c>
    </row>
    <row r="25" spans="1:24" x14ac:dyDescent="0.25">
      <c r="A25" s="1">
        <f t="shared" si="2"/>
        <v>210</v>
      </c>
      <c r="B25" s="1">
        <f t="shared" si="3"/>
        <v>0</v>
      </c>
      <c r="I25" s="1" t="e">
        <f t="shared" si="4"/>
        <v>#N/A</v>
      </c>
      <c r="J25" s="1" t="e">
        <f t="shared" si="0"/>
        <v>#N/A</v>
      </c>
      <c r="K25" s="1" t="e">
        <f t="shared" si="5"/>
        <v>#N/A</v>
      </c>
      <c r="L25" s="8" t="e" cm="1">
        <f t="array" ref="L25">IF(I25="","", IFERROR(((IF(I$5&lt;&gt;"", I$5*A$5, 0) + SUMPRODUCT(--(I$6:I25&lt;&gt;""), I$6:I25, (A$6:A25-A$5:A24)))/1000)/H$3, ""))</f>
        <v>#N/A</v>
      </c>
      <c r="M25" s="1">
        <f t="shared" si="6"/>
        <v>210</v>
      </c>
      <c r="N25" s="1">
        <f t="shared" si="7"/>
        <v>0</v>
      </c>
      <c r="U25" s="1" t="e">
        <f t="shared" si="8"/>
        <v>#N/A</v>
      </c>
      <c r="V25" s="1" t="e">
        <f t="shared" si="1"/>
        <v>#N/A</v>
      </c>
      <c r="W25" s="1" t="e">
        <f t="shared" si="9"/>
        <v>#N/A</v>
      </c>
      <c r="X25" s="8" t="e" cm="1">
        <f t="array" ref="X25">IF(U25="","", IFERROR(((IF(U$5&lt;&gt;"", U$5*M$5, 0) + SUMPRODUCT(--(U$6:U25&lt;&gt;""), U$6:U25, (M$6:M25-M$5:M24)))/1000)/T$3, ""))</f>
        <v>#N/A</v>
      </c>
    </row>
    <row r="26" spans="1:24" x14ac:dyDescent="0.25">
      <c r="A26" s="1">
        <f t="shared" si="2"/>
        <v>220</v>
      </c>
      <c r="B26" s="1">
        <f t="shared" si="3"/>
        <v>0</v>
      </c>
      <c r="I26" s="1" t="e">
        <f t="shared" si="4"/>
        <v>#N/A</v>
      </c>
      <c r="J26" s="1" t="e">
        <f t="shared" si="0"/>
        <v>#N/A</v>
      </c>
      <c r="K26" s="1" t="e">
        <f t="shared" si="5"/>
        <v>#N/A</v>
      </c>
      <c r="L26" s="8" t="e" cm="1">
        <f t="array" ref="L26">IF(I26="","", IFERROR(((IF(I$5&lt;&gt;"", I$5*A$5, 0) + SUMPRODUCT(--(I$6:I26&lt;&gt;""), I$6:I26, (A$6:A26-A$5:A25)))/1000)/H$3, ""))</f>
        <v>#N/A</v>
      </c>
      <c r="M26" s="1">
        <f t="shared" si="6"/>
        <v>220</v>
      </c>
      <c r="N26" s="1">
        <f t="shared" si="7"/>
        <v>0</v>
      </c>
      <c r="U26" s="1" t="e">
        <f t="shared" si="8"/>
        <v>#N/A</v>
      </c>
      <c r="V26" s="1" t="e">
        <f t="shared" si="1"/>
        <v>#N/A</v>
      </c>
      <c r="W26" s="1" t="e">
        <f t="shared" si="9"/>
        <v>#N/A</v>
      </c>
      <c r="X26" s="8" t="e" cm="1">
        <f t="array" ref="X26">IF(U26="","", IFERROR(((IF(U$5&lt;&gt;"", U$5*M$5, 0) + SUMPRODUCT(--(U$6:U26&lt;&gt;""), U$6:U26, (M$6:M26-M$5:M25)))/1000)/T$3, ""))</f>
        <v>#N/A</v>
      </c>
    </row>
    <row r="27" spans="1:24" x14ac:dyDescent="0.25">
      <c r="A27" s="1">
        <f t="shared" si="2"/>
        <v>230</v>
      </c>
      <c r="B27" s="1">
        <f t="shared" si="3"/>
        <v>0</v>
      </c>
      <c r="I27" s="1" t="e">
        <f t="shared" si="4"/>
        <v>#N/A</v>
      </c>
      <c r="J27" s="1" t="e">
        <f t="shared" si="0"/>
        <v>#N/A</v>
      </c>
      <c r="K27" s="1" t="e">
        <f t="shared" si="5"/>
        <v>#N/A</v>
      </c>
      <c r="L27" s="8" t="e" cm="1">
        <f t="array" ref="L27">IF(I27="","", IFERROR(((IF(I$5&lt;&gt;"", I$5*A$5, 0) + SUMPRODUCT(--(I$6:I27&lt;&gt;""), I$6:I27, (A$6:A27-A$5:A26)))/1000)/H$3, ""))</f>
        <v>#N/A</v>
      </c>
      <c r="M27" s="1">
        <f t="shared" si="6"/>
        <v>230</v>
      </c>
      <c r="N27" s="1">
        <f t="shared" si="7"/>
        <v>0</v>
      </c>
      <c r="U27" s="1" t="e">
        <f t="shared" si="8"/>
        <v>#N/A</v>
      </c>
      <c r="V27" s="1" t="e">
        <f t="shared" si="1"/>
        <v>#N/A</v>
      </c>
      <c r="W27" s="1" t="e">
        <f t="shared" si="9"/>
        <v>#N/A</v>
      </c>
      <c r="X27" s="8" t="e" cm="1">
        <f t="array" ref="X27">IF(U27="","", IFERROR(((IF(U$5&lt;&gt;"", U$5*M$5, 0) + SUMPRODUCT(--(U$6:U27&lt;&gt;""), U$6:U27, (M$6:M27-M$5:M26)))/1000)/T$3, ""))</f>
        <v>#N/A</v>
      </c>
    </row>
    <row r="28" spans="1:24" x14ac:dyDescent="0.25">
      <c r="A28" s="1">
        <f t="shared" si="2"/>
        <v>240</v>
      </c>
      <c r="B28" s="1">
        <f t="shared" si="3"/>
        <v>0</v>
      </c>
      <c r="I28" s="1" t="e">
        <f t="shared" si="4"/>
        <v>#N/A</v>
      </c>
      <c r="J28" s="1" t="e">
        <f t="shared" si="0"/>
        <v>#N/A</v>
      </c>
      <c r="K28" s="1" t="e">
        <f t="shared" si="5"/>
        <v>#N/A</v>
      </c>
      <c r="L28" s="8" t="e" cm="1">
        <f t="array" ref="L28">IF(I28="","", IFERROR(((IF(I$5&lt;&gt;"", I$5*A$5, 0) + SUMPRODUCT(--(I$6:I28&lt;&gt;""), I$6:I28, (A$6:A28-A$5:A27)))/1000)/H$3, ""))</f>
        <v>#N/A</v>
      </c>
      <c r="M28" s="1">
        <f t="shared" si="6"/>
        <v>240</v>
      </c>
      <c r="N28" s="1">
        <f t="shared" si="7"/>
        <v>0</v>
      </c>
      <c r="U28" s="1" t="e">
        <f t="shared" si="8"/>
        <v>#N/A</v>
      </c>
      <c r="V28" s="1" t="e">
        <f t="shared" si="1"/>
        <v>#N/A</v>
      </c>
      <c r="W28" s="1" t="e">
        <f t="shared" si="9"/>
        <v>#N/A</v>
      </c>
      <c r="X28" s="8" t="e" cm="1">
        <f t="array" ref="X28">IF(U28="","", IFERROR(((IF(U$5&lt;&gt;"", U$5*M$5, 0) + SUMPRODUCT(--(U$6:U28&lt;&gt;""), U$6:U28, (M$6:M28-M$5:M27)))/1000)/T$3, ""))</f>
        <v>#N/A</v>
      </c>
    </row>
    <row r="29" spans="1:24" x14ac:dyDescent="0.25">
      <c r="A29" s="1">
        <f t="shared" si="2"/>
        <v>250</v>
      </c>
      <c r="B29" s="1">
        <f t="shared" si="3"/>
        <v>0</v>
      </c>
      <c r="F29" s="9"/>
      <c r="G29" s="9"/>
      <c r="H29" s="9"/>
      <c r="I29" s="1" t="e">
        <f t="shared" si="4"/>
        <v>#N/A</v>
      </c>
      <c r="J29" s="1" t="e">
        <f t="shared" si="0"/>
        <v>#N/A</v>
      </c>
      <c r="K29" s="1" t="e">
        <f t="shared" si="5"/>
        <v>#N/A</v>
      </c>
      <c r="L29" s="8" t="e" cm="1">
        <f t="array" ref="L29">IF(I29="","", IFERROR(((IF(I$5&lt;&gt;"", I$5*A$5, 0) + SUMPRODUCT(--(I$6:I29&lt;&gt;""), I$6:I29, (A$6:A29-A$5:A28)))/1000)/H$3, ""))</f>
        <v>#N/A</v>
      </c>
      <c r="M29" s="1">
        <f t="shared" si="6"/>
        <v>250</v>
      </c>
      <c r="N29" s="1">
        <f t="shared" si="7"/>
        <v>0</v>
      </c>
      <c r="R29" s="9"/>
      <c r="S29" s="9"/>
      <c r="T29" s="9"/>
      <c r="U29" s="1" t="e">
        <f t="shared" si="8"/>
        <v>#N/A</v>
      </c>
      <c r="V29" s="1" t="e">
        <f t="shared" si="1"/>
        <v>#N/A</v>
      </c>
      <c r="W29" s="1" t="e">
        <f t="shared" si="9"/>
        <v>#N/A</v>
      </c>
      <c r="X29" s="8" t="e" cm="1">
        <f t="array" ref="X29">IF(U29="","", IFERROR(((IF(U$5&lt;&gt;"", U$5*M$5, 0) + SUMPRODUCT(--(U$6:U29&lt;&gt;""), U$6:U29, (M$6:M29-M$5:M28)))/1000)/T$3, ""))</f>
        <v>#N/A</v>
      </c>
    </row>
    <row r="30" spans="1:24" x14ac:dyDescent="0.25">
      <c r="A30" s="1">
        <f t="shared" si="2"/>
        <v>260</v>
      </c>
      <c r="B30" s="1">
        <f t="shared" si="3"/>
        <v>0</v>
      </c>
      <c r="I30" s="1" t="e">
        <f t="shared" si="4"/>
        <v>#N/A</v>
      </c>
      <c r="J30" s="1" t="e">
        <f t="shared" si="0"/>
        <v>#N/A</v>
      </c>
      <c r="K30" s="1" t="e">
        <f t="shared" si="5"/>
        <v>#N/A</v>
      </c>
      <c r="L30" s="8" t="e" cm="1">
        <f t="array" ref="L30">IF(I30="","", IFERROR(((IF(I$5&lt;&gt;"", I$5*A$5, 0) + SUMPRODUCT(--(I$6:I30&lt;&gt;""), I$6:I30, (A$6:A30-A$5:A29)))/1000)/H$3, ""))</f>
        <v>#N/A</v>
      </c>
      <c r="M30" s="1">
        <f t="shared" si="6"/>
        <v>260</v>
      </c>
      <c r="N30" s="1">
        <f t="shared" si="7"/>
        <v>0</v>
      </c>
      <c r="U30" s="1" t="e">
        <f t="shared" si="8"/>
        <v>#N/A</v>
      </c>
      <c r="V30" s="1" t="e">
        <f t="shared" si="1"/>
        <v>#N/A</v>
      </c>
      <c r="W30" s="1" t="e">
        <f t="shared" si="9"/>
        <v>#N/A</v>
      </c>
      <c r="X30" s="8" t="e" cm="1">
        <f t="array" ref="X30">IF(U30="","", IFERROR(((IF(U$5&lt;&gt;"", U$5*M$5, 0) + SUMPRODUCT(--(U$6:U30&lt;&gt;""), U$6:U30, (M$6:M30-M$5:M29)))/1000)/T$3, ""))</f>
        <v>#N/A</v>
      </c>
    </row>
    <row r="31" spans="1:24" x14ac:dyDescent="0.25">
      <c r="A31" s="1">
        <f t="shared" si="2"/>
        <v>270</v>
      </c>
      <c r="B31" s="1">
        <f t="shared" si="3"/>
        <v>0</v>
      </c>
      <c r="I31" s="1" t="e">
        <f t="shared" si="4"/>
        <v>#N/A</v>
      </c>
      <c r="J31" s="1" t="e">
        <f t="shared" si="0"/>
        <v>#N/A</v>
      </c>
      <c r="K31" s="1" t="e">
        <f t="shared" si="5"/>
        <v>#N/A</v>
      </c>
      <c r="L31" s="8" t="e" cm="1">
        <f t="array" ref="L31">IF(I31="","", IFERROR(((IF(I$5&lt;&gt;"", I$5*A$5, 0) + SUMPRODUCT(--(I$6:I31&lt;&gt;""), I$6:I31, (A$6:A31-A$5:A30)))/1000)/H$3, ""))</f>
        <v>#N/A</v>
      </c>
      <c r="M31" s="1">
        <f t="shared" si="6"/>
        <v>270</v>
      </c>
      <c r="N31" s="1">
        <f t="shared" si="7"/>
        <v>0</v>
      </c>
      <c r="U31" s="1" t="e">
        <f t="shared" si="8"/>
        <v>#N/A</v>
      </c>
      <c r="V31" s="1" t="e">
        <f t="shared" si="1"/>
        <v>#N/A</v>
      </c>
      <c r="W31" s="1" t="e">
        <f t="shared" si="9"/>
        <v>#N/A</v>
      </c>
      <c r="X31" s="8" t="e" cm="1">
        <f t="array" ref="X31">IF(U31="","", IFERROR(((IF(U$5&lt;&gt;"", U$5*M$5, 0) + SUMPRODUCT(--(U$6:U31&lt;&gt;""), U$6:U31, (M$6:M31-M$5:M30)))/1000)/T$3, ""))</f>
        <v>#N/A</v>
      </c>
    </row>
    <row r="32" spans="1:24" x14ac:dyDescent="0.25">
      <c r="A32" s="1">
        <f t="shared" si="2"/>
        <v>280</v>
      </c>
      <c r="B32" s="1">
        <f t="shared" si="3"/>
        <v>0</v>
      </c>
      <c r="I32" s="1" t="e">
        <f t="shared" si="4"/>
        <v>#N/A</v>
      </c>
      <c r="J32" s="1" t="e">
        <f t="shared" si="0"/>
        <v>#N/A</v>
      </c>
      <c r="K32" s="1" t="e">
        <f t="shared" si="5"/>
        <v>#N/A</v>
      </c>
      <c r="L32" s="8" t="e" cm="1">
        <f t="array" ref="L32">IF(I32="","", IFERROR(((IF(I$5&lt;&gt;"", I$5*A$5, 0) + SUMPRODUCT(--(I$6:I32&lt;&gt;""), I$6:I32, (A$6:A32-A$5:A31)))/1000)/H$3, ""))</f>
        <v>#N/A</v>
      </c>
      <c r="M32" s="1">
        <f t="shared" si="6"/>
        <v>280</v>
      </c>
      <c r="N32" s="1">
        <f t="shared" si="7"/>
        <v>0</v>
      </c>
      <c r="U32" s="1" t="e">
        <f t="shared" si="8"/>
        <v>#N/A</v>
      </c>
      <c r="V32" s="1" t="e">
        <f t="shared" si="1"/>
        <v>#N/A</v>
      </c>
      <c r="W32" s="1" t="e">
        <f t="shared" si="9"/>
        <v>#N/A</v>
      </c>
      <c r="X32" s="8" t="e" cm="1">
        <f t="array" ref="X32">IF(U32="","", IFERROR(((IF(U$5&lt;&gt;"", U$5*M$5, 0) + SUMPRODUCT(--(U$6:U32&lt;&gt;""), U$6:U32, (M$6:M32-M$5:M31)))/1000)/T$3, ""))</f>
        <v>#N/A</v>
      </c>
    </row>
    <row r="33" spans="1:24" x14ac:dyDescent="0.25">
      <c r="A33" s="1">
        <f t="shared" si="2"/>
        <v>290</v>
      </c>
      <c r="B33" s="1">
        <f t="shared" si="3"/>
        <v>0</v>
      </c>
      <c r="I33" s="1" t="e">
        <f t="shared" si="4"/>
        <v>#N/A</v>
      </c>
      <c r="J33" s="1" t="e">
        <f t="shared" si="0"/>
        <v>#N/A</v>
      </c>
      <c r="K33" s="1" t="e">
        <f t="shared" si="5"/>
        <v>#N/A</v>
      </c>
      <c r="L33" s="8" t="e" cm="1">
        <f t="array" ref="L33">IF(I33="","", IFERROR(((IF(I$5&lt;&gt;"", I$5*A$5, 0) + SUMPRODUCT(--(I$6:I33&lt;&gt;""), I$6:I33, (A$6:A33-A$5:A32)))/1000)/H$3, ""))</f>
        <v>#N/A</v>
      </c>
      <c r="M33" s="1">
        <f t="shared" si="6"/>
        <v>290</v>
      </c>
      <c r="N33" s="1">
        <f t="shared" si="7"/>
        <v>0</v>
      </c>
      <c r="U33" s="1" t="e">
        <f t="shared" si="8"/>
        <v>#N/A</v>
      </c>
      <c r="V33" s="1" t="e">
        <f t="shared" si="1"/>
        <v>#N/A</v>
      </c>
      <c r="W33" s="1" t="e">
        <f t="shared" si="9"/>
        <v>#N/A</v>
      </c>
      <c r="X33" s="8" t="e" cm="1">
        <f t="array" ref="X33">IF(U33="","", IFERROR(((IF(U$5&lt;&gt;"", U$5*M$5, 0) + SUMPRODUCT(--(U$6:U33&lt;&gt;""), U$6:U33, (M$6:M33-M$5:M32)))/1000)/T$3, ""))</f>
        <v>#N/A</v>
      </c>
    </row>
    <row r="34" spans="1:24" x14ac:dyDescent="0.25">
      <c r="A34" s="1">
        <f t="shared" si="2"/>
        <v>300</v>
      </c>
      <c r="B34" s="1">
        <f t="shared" si="3"/>
        <v>0</v>
      </c>
      <c r="I34" s="1" t="e">
        <f t="shared" si="4"/>
        <v>#N/A</v>
      </c>
      <c r="J34" s="1" t="e">
        <f t="shared" si="0"/>
        <v>#N/A</v>
      </c>
      <c r="K34" s="1" t="e">
        <f t="shared" si="5"/>
        <v>#N/A</v>
      </c>
      <c r="L34" s="8" t="e" cm="1">
        <f t="array" ref="L34">IF(I34="","", IFERROR(((IF(I$5&lt;&gt;"", I$5*A$5, 0) + SUMPRODUCT(--(I$6:I34&lt;&gt;""), I$6:I34, (A$6:A34-A$5:A33)))/1000)/H$3, ""))</f>
        <v>#N/A</v>
      </c>
      <c r="M34" s="1">
        <f t="shared" si="6"/>
        <v>300</v>
      </c>
      <c r="N34" s="1">
        <f t="shared" si="7"/>
        <v>0</v>
      </c>
      <c r="U34" s="1" t="e">
        <f t="shared" si="8"/>
        <v>#N/A</v>
      </c>
      <c r="V34" s="1" t="e">
        <f t="shared" si="1"/>
        <v>#N/A</v>
      </c>
      <c r="W34" s="1" t="e">
        <f t="shared" si="9"/>
        <v>#N/A</v>
      </c>
      <c r="X34" s="8" t="e" cm="1">
        <f t="array" ref="X34">IF(U34="","", IFERROR(((IF(U$5&lt;&gt;"", U$5*M$5, 0) + SUMPRODUCT(--(U$6:U34&lt;&gt;""), U$6:U34, (M$6:M34-M$5:M33)))/1000)/T$3, ""))</f>
        <v>#N/A</v>
      </c>
    </row>
    <row r="35" spans="1:24" x14ac:dyDescent="0.25">
      <c r="A35" s="1">
        <f t="shared" si="2"/>
        <v>310</v>
      </c>
      <c r="B35" s="1">
        <f t="shared" si="3"/>
        <v>0</v>
      </c>
      <c r="I35" s="1" t="e">
        <f t="shared" si="4"/>
        <v>#N/A</v>
      </c>
      <c r="J35" s="1" t="e">
        <f t="shared" si="0"/>
        <v>#N/A</v>
      </c>
      <c r="K35" s="1" t="e">
        <f t="shared" si="5"/>
        <v>#N/A</v>
      </c>
      <c r="L35" s="8" t="e" cm="1">
        <f t="array" ref="L35">IF(I35="","", IFERROR(((IF(I$5&lt;&gt;"", I$5*A$5, 0) + SUMPRODUCT(--(I$6:I35&lt;&gt;""), I$6:I35, (A$6:A35-A$5:A34)))/1000)/H$3, ""))</f>
        <v>#N/A</v>
      </c>
      <c r="M35" s="1">
        <f t="shared" si="6"/>
        <v>310</v>
      </c>
      <c r="N35" s="1">
        <f t="shared" si="7"/>
        <v>0</v>
      </c>
      <c r="U35" s="1" t="e">
        <f t="shared" si="8"/>
        <v>#N/A</v>
      </c>
      <c r="V35" s="1" t="e">
        <f t="shared" si="1"/>
        <v>#N/A</v>
      </c>
      <c r="W35" s="1" t="e">
        <f t="shared" si="9"/>
        <v>#N/A</v>
      </c>
      <c r="X35" s="8" t="e" cm="1">
        <f t="array" ref="X35">IF(U35="","", IFERROR(((IF(U$5&lt;&gt;"", U$5*M$5, 0) + SUMPRODUCT(--(U$6:U35&lt;&gt;""), U$6:U35, (M$6:M35-M$5:M34)))/1000)/T$3, ""))</f>
        <v>#N/A</v>
      </c>
    </row>
    <row r="36" spans="1:24" x14ac:dyDescent="0.25">
      <c r="A36" s="1">
        <f t="shared" si="2"/>
        <v>320</v>
      </c>
      <c r="B36" s="1">
        <f t="shared" si="3"/>
        <v>0</v>
      </c>
      <c r="I36" s="1" t="e">
        <f t="shared" si="4"/>
        <v>#N/A</v>
      </c>
      <c r="J36" s="1" t="e">
        <f t="shared" si="0"/>
        <v>#N/A</v>
      </c>
      <c r="K36" s="1" t="e">
        <f t="shared" si="5"/>
        <v>#N/A</v>
      </c>
      <c r="L36" s="8" t="e" cm="1">
        <f t="array" ref="L36">IF(I36="","", IFERROR(((IF(I$5&lt;&gt;"", I$5*A$5, 0) + SUMPRODUCT(--(I$6:I36&lt;&gt;""), I$6:I36, (A$6:A36-A$5:A35)))/1000)/H$3, ""))</f>
        <v>#N/A</v>
      </c>
      <c r="M36" s="1">
        <f t="shared" si="6"/>
        <v>320</v>
      </c>
      <c r="N36" s="1">
        <f t="shared" si="7"/>
        <v>0</v>
      </c>
      <c r="U36" s="1" t="e">
        <f t="shared" si="8"/>
        <v>#N/A</v>
      </c>
      <c r="V36" s="1" t="e">
        <f t="shared" si="1"/>
        <v>#N/A</v>
      </c>
      <c r="W36" s="1" t="e">
        <f t="shared" si="9"/>
        <v>#N/A</v>
      </c>
      <c r="X36" s="8" t="e" cm="1">
        <f t="array" ref="X36">IF(U36="","", IFERROR(((IF(U$5&lt;&gt;"", U$5*M$5, 0) + SUMPRODUCT(--(U$6:U36&lt;&gt;""), U$6:U36, (M$6:M36-M$5:M35)))/1000)/T$3, ""))</f>
        <v>#N/A</v>
      </c>
    </row>
    <row r="37" spans="1:24" x14ac:dyDescent="0.25">
      <c r="A37" s="1">
        <f t="shared" si="2"/>
        <v>330</v>
      </c>
      <c r="B37" s="1">
        <f t="shared" si="3"/>
        <v>0</v>
      </c>
      <c r="I37" s="1" t="e">
        <f t="shared" si="4"/>
        <v>#N/A</v>
      </c>
      <c r="J37" s="1" t="e">
        <f t="shared" si="0"/>
        <v>#N/A</v>
      </c>
      <c r="K37" s="1" t="e">
        <f t="shared" si="5"/>
        <v>#N/A</v>
      </c>
      <c r="L37" s="8" t="e" cm="1">
        <f t="array" ref="L37">IF(I37="","", IFERROR(((IF(I$5&lt;&gt;"", I$5*A$5, 0) + SUMPRODUCT(--(I$6:I37&lt;&gt;""), I$6:I37, (A$6:A37-A$5:A36)))/1000)/H$3, ""))</f>
        <v>#N/A</v>
      </c>
      <c r="M37" s="1">
        <f t="shared" si="6"/>
        <v>330</v>
      </c>
      <c r="N37" s="1">
        <f t="shared" si="7"/>
        <v>0</v>
      </c>
      <c r="U37" s="1" t="e">
        <f t="shared" si="8"/>
        <v>#N/A</v>
      </c>
      <c r="V37" s="1" t="e">
        <f t="shared" si="1"/>
        <v>#N/A</v>
      </c>
      <c r="W37" s="1" t="e">
        <f t="shared" si="9"/>
        <v>#N/A</v>
      </c>
      <c r="X37" s="8" t="e" cm="1">
        <f t="array" ref="X37">IF(U37="","", IFERROR(((IF(U$5&lt;&gt;"", U$5*M$5, 0) + SUMPRODUCT(--(U$6:U37&lt;&gt;""), U$6:U37, (M$6:M37-M$5:M36)))/1000)/T$3, ""))</f>
        <v>#N/A</v>
      </c>
    </row>
    <row r="38" spans="1:24" x14ac:dyDescent="0.25">
      <c r="A38" s="1">
        <f t="shared" si="2"/>
        <v>340</v>
      </c>
      <c r="B38" s="1">
        <f t="shared" si="3"/>
        <v>0</v>
      </c>
      <c r="I38" s="1" t="e">
        <f t="shared" si="4"/>
        <v>#N/A</v>
      </c>
      <c r="J38" s="1" t="e">
        <f t="shared" si="0"/>
        <v>#N/A</v>
      </c>
      <c r="K38" s="1" t="e">
        <f t="shared" si="5"/>
        <v>#N/A</v>
      </c>
      <c r="L38" s="8" t="e" cm="1">
        <f t="array" ref="L38">IF(I38="","", IFERROR(((IF(I$5&lt;&gt;"", I$5*A$5, 0) + SUMPRODUCT(--(I$6:I38&lt;&gt;""), I$6:I38, (A$6:A38-A$5:A37)))/1000)/H$3, ""))</f>
        <v>#N/A</v>
      </c>
      <c r="M38" s="1">
        <f t="shared" si="6"/>
        <v>340</v>
      </c>
      <c r="N38" s="1">
        <f t="shared" si="7"/>
        <v>0</v>
      </c>
      <c r="U38" s="1" t="e">
        <f t="shared" si="8"/>
        <v>#N/A</v>
      </c>
      <c r="V38" s="1" t="e">
        <f t="shared" si="1"/>
        <v>#N/A</v>
      </c>
      <c r="W38" s="1" t="e">
        <f t="shared" si="9"/>
        <v>#N/A</v>
      </c>
      <c r="X38" s="8" t="e" cm="1">
        <f t="array" ref="X38">IF(U38="","", IFERROR(((IF(U$5&lt;&gt;"", U$5*M$5, 0) + SUMPRODUCT(--(U$6:U38&lt;&gt;""), U$6:U38, (M$6:M38-M$5:M37)))/1000)/T$3, ""))</f>
        <v>#N/A</v>
      </c>
    </row>
    <row r="39" spans="1:24" x14ac:dyDescent="0.25">
      <c r="A39" s="1">
        <f t="shared" si="2"/>
        <v>350</v>
      </c>
      <c r="B39" s="1">
        <f t="shared" si="3"/>
        <v>0</v>
      </c>
      <c r="I39" s="1" t="e">
        <f t="shared" si="4"/>
        <v>#N/A</v>
      </c>
      <c r="J39" s="1" t="e">
        <f t="shared" si="0"/>
        <v>#N/A</v>
      </c>
      <c r="K39" s="1" t="e">
        <f t="shared" si="5"/>
        <v>#N/A</v>
      </c>
      <c r="L39" s="8" t="e" cm="1">
        <f t="array" ref="L39">IF(I39="","", IFERROR(((IF(I$5&lt;&gt;"", I$5*A$5, 0) + SUMPRODUCT(--(I$6:I39&lt;&gt;""), I$6:I39, (A$6:A39-A$5:A38)))/1000)/H$3, ""))</f>
        <v>#N/A</v>
      </c>
      <c r="M39" s="1">
        <f t="shared" si="6"/>
        <v>350</v>
      </c>
      <c r="N39" s="1">
        <f t="shared" si="7"/>
        <v>0</v>
      </c>
      <c r="U39" s="1" t="e">
        <f t="shared" si="8"/>
        <v>#N/A</v>
      </c>
      <c r="V39" s="1" t="e">
        <f t="shared" si="1"/>
        <v>#N/A</v>
      </c>
      <c r="W39" s="1" t="e">
        <f t="shared" si="9"/>
        <v>#N/A</v>
      </c>
      <c r="X39" s="8" t="e" cm="1">
        <f t="array" ref="X39">IF(U39="","", IFERROR(((IF(U$5&lt;&gt;"", U$5*M$5, 0) + SUMPRODUCT(--(U$6:U39&lt;&gt;""), U$6:U39, (M$6:M39-M$5:M38)))/1000)/T$3, ""))</f>
        <v>#N/A</v>
      </c>
    </row>
    <row r="40" spans="1:24" x14ac:dyDescent="0.25">
      <c r="A40" s="1">
        <f t="shared" si="2"/>
        <v>360</v>
      </c>
      <c r="B40" s="1">
        <f t="shared" si="3"/>
        <v>0</v>
      </c>
      <c r="I40" s="1" t="e">
        <f t="shared" si="4"/>
        <v>#N/A</v>
      </c>
      <c r="J40" s="1" t="e">
        <f t="shared" si="0"/>
        <v>#N/A</v>
      </c>
      <c r="K40" s="1" t="e">
        <f t="shared" si="5"/>
        <v>#N/A</v>
      </c>
      <c r="L40" s="8" t="e" cm="1">
        <f t="array" ref="L40">IF(I40="","", IFERROR(((IF(I$5&lt;&gt;"", I$5*A$5, 0) + SUMPRODUCT(--(I$6:I40&lt;&gt;""), I$6:I40, (A$6:A40-A$5:A39)))/1000)/H$3, ""))</f>
        <v>#N/A</v>
      </c>
      <c r="M40" s="1">
        <f t="shared" si="6"/>
        <v>360</v>
      </c>
      <c r="N40" s="1">
        <f t="shared" si="7"/>
        <v>0</v>
      </c>
      <c r="U40" s="1" t="e">
        <f t="shared" si="8"/>
        <v>#N/A</v>
      </c>
      <c r="V40" s="1" t="e">
        <f t="shared" si="1"/>
        <v>#N/A</v>
      </c>
      <c r="W40" s="1" t="e">
        <f t="shared" si="9"/>
        <v>#N/A</v>
      </c>
      <c r="X40" s="8" t="e" cm="1">
        <f t="array" ref="X40">IF(U40="","", IFERROR(((IF(U$5&lt;&gt;"", U$5*M$5, 0) + SUMPRODUCT(--(U$6:U40&lt;&gt;""), U$6:U40, (M$6:M40-M$5:M39)))/1000)/T$3, ""))</f>
        <v>#N/A</v>
      </c>
    </row>
    <row r="41" spans="1:24" x14ac:dyDescent="0.25">
      <c r="A41" s="1">
        <f t="shared" si="2"/>
        <v>370</v>
      </c>
      <c r="B41" s="1">
        <f t="shared" si="3"/>
        <v>0</v>
      </c>
      <c r="I41" s="1" t="e">
        <f t="shared" si="4"/>
        <v>#N/A</v>
      </c>
      <c r="J41" s="1" t="e">
        <f t="shared" si="0"/>
        <v>#N/A</v>
      </c>
      <c r="K41" s="1" t="e">
        <f t="shared" si="5"/>
        <v>#N/A</v>
      </c>
      <c r="L41" s="8" t="e" cm="1">
        <f t="array" ref="L41">IF(I41="","", IFERROR(((IF(I$5&lt;&gt;"", I$5*A$5, 0) + SUMPRODUCT(--(I$6:I41&lt;&gt;""), I$6:I41, (A$6:A41-A$5:A40)))/1000)/H$3, ""))</f>
        <v>#N/A</v>
      </c>
      <c r="M41" s="1">
        <f t="shared" si="6"/>
        <v>370</v>
      </c>
      <c r="N41" s="1">
        <f t="shared" si="7"/>
        <v>0</v>
      </c>
      <c r="U41" s="1" t="e">
        <f t="shared" si="8"/>
        <v>#N/A</v>
      </c>
      <c r="V41" s="1" t="e">
        <f t="shared" si="1"/>
        <v>#N/A</v>
      </c>
      <c r="W41" s="1" t="e">
        <f t="shared" si="9"/>
        <v>#N/A</v>
      </c>
      <c r="X41" s="8" t="e" cm="1">
        <f t="array" ref="X41">IF(U41="","", IFERROR(((IF(U$5&lt;&gt;"", U$5*M$5, 0) + SUMPRODUCT(--(U$6:U41&lt;&gt;""), U$6:U41, (M$6:M41-M$5:M40)))/1000)/T$3, ""))</f>
        <v>#N/A</v>
      </c>
    </row>
    <row r="42" spans="1:24" x14ac:dyDescent="0.25">
      <c r="A42" s="1">
        <f t="shared" si="2"/>
        <v>380</v>
      </c>
      <c r="B42" s="1">
        <f t="shared" si="3"/>
        <v>0</v>
      </c>
      <c r="I42" s="1" t="e">
        <f t="shared" si="4"/>
        <v>#N/A</v>
      </c>
      <c r="J42" s="1" t="e">
        <f t="shared" si="0"/>
        <v>#N/A</v>
      </c>
      <c r="K42" s="1" t="e">
        <f t="shared" si="5"/>
        <v>#N/A</v>
      </c>
      <c r="L42" s="8" t="e" cm="1">
        <f t="array" ref="L42">IF(I42="","", IFERROR(((IF(I$5&lt;&gt;"", I$5*A$5, 0) + SUMPRODUCT(--(I$6:I42&lt;&gt;""), I$6:I42, (A$6:A42-A$5:A41)))/1000)/H$3, ""))</f>
        <v>#N/A</v>
      </c>
      <c r="M42" s="1">
        <f t="shared" si="6"/>
        <v>380</v>
      </c>
      <c r="N42" s="1">
        <f t="shared" si="7"/>
        <v>0</v>
      </c>
      <c r="U42" s="1" t="e">
        <f t="shared" si="8"/>
        <v>#N/A</v>
      </c>
      <c r="V42" s="1" t="e">
        <f t="shared" si="1"/>
        <v>#N/A</v>
      </c>
      <c r="W42" s="1" t="e">
        <f t="shared" si="9"/>
        <v>#N/A</v>
      </c>
      <c r="X42" s="8" t="e" cm="1">
        <f t="array" ref="X42">IF(U42="","", IFERROR(((IF(U$5&lt;&gt;"", U$5*M$5, 0) + SUMPRODUCT(--(U$6:U42&lt;&gt;""), U$6:U42, (M$6:M42-M$5:M41)))/1000)/T$3, ""))</f>
        <v>#N/A</v>
      </c>
    </row>
    <row r="43" spans="1:24" x14ac:dyDescent="0.25">
      <c r="A43" s="1">
        <f t="shared" si="2"/>
        <v>390</v>
      </c>
      <c r="B43" s="1">
        <f t="shared" si="3"/>
        <v>0</v>
      </c>
      <c r="I43" s="1" t="e">
        <f t="shared" si="4"/>
        <v>#N/A</v>
      </c>
      <c r="J43" s="1" t="e">
        <f t="shared" si="0"/>
        <v>#N/A</v>
      </c>
      <c r="K43" s="1" t="e">
        <f t="shared" si="5"/>
        <v>#N/A</v>
      </c>
      <c r="L43" s="8" t="e" cm="1">
        <f t="array" ref="L43">IF(I43="","", IFERROR(((IF(I$5&lt;&gt;"", I$5*A$5, 0) + SUMPRODUCT(--(I$6:I43&lt;&gt;""), I$6:I43, (A$6:A43-A$5:A42)))/1000)/H$3, ""))</f>
        <v>#N/A</v>
      </c>
      <c r="M43" s="1">
        <f t="shared" si="6"/>
        <v>390</v>
      </c>
      <c r="N43" s="1">
        <f t="shared" si="7"/>
        <v>0</v>
      </c>
      <c r="U43" s="1" t="e">
        <f t="shared" si="8"/>
        <v>#N/A</v>
      </c>
      <c r="V43" s="1" t="e">
        <f t="shared" si="1"/>
        <v>#N/A</v>
      </c>
      <c r="W43" s="1" t="e">
        <f t="shared" si="9"/>
        <v>#N/A</v>
      </c>
      <c r="X43" s="8" t="e" cm="1">
        <f t="array" ref="X43">IF(U43="","", IFERROR(((IF(U$5&lt;&gt;"", U$5*M$5, 0) + SUMPRODUCT(--(U$6:U43&lt;&gt;""), U$6:U43, (M$6:M43-M$5:M42)))/1000)/T$3, ""))</f>
        <v>#N/A</v>
      </c>
    </row>
    <row r="44" spans="1:24" x14ac:dyDescent="0.25">
      <c r="A44" s="1">
        <f t="shared" si="2"/>
        <v>400</v>
      </c>
      <c r="B44" s="1">
        <f t="shared" si="3"/>
        <v>0</v>
      </c>
      <c r="I44" s="1" t="e">
        <f t="shared" si="4"/>
        <v>#N/A</v>
      </c>
      <c r="J44" s="1" t="e">
        <f t="shared" si="0"/>
        <v>#N/A</v>
      </c>
      <c r="K44" s="1" t="e">
        <f t="shared" si="5"/>
        <v>#N/A</v>
      </c>
      <c r="L44" s="8" t="e" cm="1">
        <f t="array" ref="L44">IF(I44="","", IFERROR(((IF(I$5&lt;&gt;"", I$5*A$5, 0) + SUMPRODUCT(--(I$6:I44&lt;&gt;""), I$6:I44, (A$6:A44-A$5:A43)))/1000)/H$3, ""))</f>
        <v>#N/A</v>
      </c>
      <c r="M44" s="1">
        <f t="shared" si="6"/>
        <v>400</v>
      </c>
      <c r="N44" s="1">
        <f t="shared" si="7"/>
        <v>0</v>
      </c>
      <c r="U44" s="1" t="e">
        <f t="shared" si="8"/>
        <v>#N/A</v>
      </c>
      <c r="V44" s="1" t="e">
        <f t="shared" si="1"/>
        <v>#N/A</v>
      </c>
      <c r="W44" s="1" t="e">
        <f t="shared" si="9"/>
        <v>#N/A</v>
      </c>
      <c r="X44" s="8" t="e" cm="1">
        <f t="array" ref="X44">IF(U44="","", IFERROR(((IF(U$5&lt;&gt;"", U$5*M$5, 0) + SUMPRODUCT(--(U$6:U44&lt;&gt;""), U$6:U44, (M$6:M44-M$5:M43)))/1000)/T$3, ""))</f>
        <v>#N/A</v>
      </c>
    </row>
    <row r="45" spans="1:24" x14ac:dyDescent="0.25">
      <c r="A45" s="1">
        <f t="shared" si="2"/>
        <v>410</v>
      </c>
      <c r="B45" s="1">
        <f t="shared" si="3"/>
        <v>0</v>
      </c>
      <c r="I45" s="1" t="e">
        <f t="shared" si="4"/>
        <v>#N/A</v>
      </c>
      <c r="J45" s="1" t="e">
        <f t="shared" si="0"/>
        <v>#N/A</v>
      </c>
      <c r="K45" s="1" t="e">
        <f t="shared" si="5"/>
        <v>#N/A</v>
      </c>
      <c r="L45" s="8" t="e" cm="1">
        <f t="array" ref="L45">IF(I45="","", IFERROR(((IF(I$5&lt;&gt;"", I$5*A$5, 0) + SUMPRODUCT(--(I$6:I45&lt;&gt;""), I$6:I45, (A$6:A45-A$5:A44)))/1000)/H$3, ""))</f>
        <v>#N/A</v>
      </c>
      <c r="M45" s="1">
        <f t="shared" si="6"/>
        <v>410</v>
      </c>
      <c r="N45" s="1">
        <f t="shared" si="7"/>
        <v>0</v>
      </c>
      <c r="U45" s="1" t="e">
        <f t="shared" si="8"/>
        <v>#N/A</v>
      </c>
      <c r="V45" s="1" t="e">
        <f t="shared" si="1"/>
        <v>#N/A</v>
      </c>
      <c r="W45" s="1" t="e">
        <f t="shared" si="9"/>
        <v>#N/A</v>
      </c>
      <c r="X45" s="8" t="e" cm="1">
        <f t="array" ref="X45">IF(U45="","", IFERROR(((IF(U$5&lt;&gt;"", U$5*M$5, 0) + SUMPRODUCT(--(U$6:U45&lt;&gt;""), U$6:U45, (M$6:M45-M$5:M44)))/1000)/T$3, ""))</f>
        <v>#N/A</v>
      </c>
    </row>
    <row r="46" spans="1:24" x14ac:dyDescent="0.25">
      <c r="A46" s="1">
        <f t="shared" si="2"/>
        <v>420</v>
      </c>
      <c r="B46" s="1">
        <f t="shared" si="3"/>
        <v>0</v>
      </c>
      <c r="I46" s="1" t="e">
        <f t="shared" si="4"/>
        <v>#N/A</v>
      </c>
      <c r="J46" s="1" t="e">
        <f t="shared" si="0"/>
        <v>#N/A</v>
      </c>
      <c r="K46" s="1" t="e">
        <f t="shared" si="5"/>
        <v>#N/A</v>
      </c>
      <c r="L46" s="8" t="e" cm="1">
        <f t="array" ref="L46">IF(I46="","", IFERROR(((IF(I$5&lt;&gt;"", I$5*A$5, 0) + SUMPRODUCT(--(I$6:I46&lt;&gt;""), I$6:I46, (A$6:A46-A$5:A45)))/1000)/H$3, ""))</f>
        <v>#N/A</v>
      </c>
      <c r="M46" s="1">
        <f t="shared" si="6"/>
        <v>420</v>
      </c>
      <c r="N46" s="1">
        <f t="shared" si="7"/>
        <v>0</v>
      </c>
      <c r="U46" s="1" t="e">
        <f t="shared" si="8"/>
        <v>#N/A</v>
      </c>
      <c r="V46" s="1" t="e">
        <f t="shared" si="1"/>
        <v>#N/A</v>
      </c>
      <c r="W46" s="1" t="e">
        <f t="shared" si="9"/>
        <v>#N/A</v>
      </c>
      <c r="X46" s="8" t="e" cm="1">
        <f t="array" ref="X46">IF(U46="","", IFERROR(((IF(U$5&lt;&gt;"", U$5*M$5, 0) + SUMPRODUCT(--(U$6:U46&lt;&gt;""), U$6:U46, (M$6:M46-M$5:M45)))/1000)/T$3, ""))</f>
        <v>#N/A</v>
      </c>
    </row>
    <row r="47" spans="1:24" x14ac:dyDescent="0.25">
      <c r="A47" s="1">
        <f t="shared" si="2"/>
        <v>430</v>
      </c>
      <c r="B47" s="1">
        <f t="shared" si="3"/>
        <v>0</v>
      </c>
      <c r="I47" s="1" t="e">
        <f t="shared" si="4"/>
        <v>#N/A</v>
      </c>
      <c r="J47" s="1" t="e">
        <f t="shared" si="0"/>
        <v>#N/A</v>
      </c>
      <c r="K47" s="1" t="e">
        <f t="shared" si="5"/>
        <v>#N/A</v>
      </c>
      <c r="L47" s="8" t="e" cm="1">
        <f t="array" ref="L47">IF(I47="","", IFERROR(((IF(I$5&lt;&gt;"", I$5*A$5, 0) + SUMPRODUCT(--(I$6:I47&lt;&gt;""), I$6:I47, (A$6:A47-A$5:A46)))/1000)/H$3, ""))</f>
        <v>#N/A</v>
      </c>
      <c r="M47" s="1">
        <f t="shared" si="6"/>
        <v>430</v>
      </c>
      <c r="N47" s="1">
        <f t="shared" si="7"/>
        <v>0</v>
      </c>
      <c r="U47" s="1" t="e">
        <f t="shared" si="8"/>
        <v>#N/A</v>
      </c>
      <c r="V47" s="1" t="e">
        <f t="shared" si="1"/>
        <v>#N/A</v>
      </c>
      <c r="W47" s="1" t="e">
        <f t="shared" si="9"/>
        <v>#N/A</v>
      </c>
      <c r="X47" s="8" t="e" cm="1">
        <f t="array" ref="X47">IF(U47="","", IFERROR(((IF(U$5&lt;&gt;"", U$5*M$5, 0) + SUMPRODUCT(--(U$6:U47&lt;&gt;""), U$6:U47, (M$6:M47-M$5:M46)))/1000)/T$3, ""))</f>
        <v>#N/A</v>
      </c>
    </row>
    <row r="48" spans="1:24" x14ac:dyDescent="0.25">
      <c r="A48" s="1">
        <f t="shared" si="2"/>
        <v>440</v>
      </c>
      <c r="B48" s="1">
        <f t="shared" si="3"/>
        <v>0</v>
      </c>
      <c r="I48" s="1" t="e">
        <f t="shared" si="4"/>
        <v>#N/A</v>
      </c>
      <c r="J48" s="1" t="e">
        <f t="shared" si="0"/>
        <v>#N/A</v>
      </c>
      <c r="K48" s="1" t="e">
        <f t="shared" si="5"/>
        <v>#N/A</v>
      </c>
      <c r="L48" s="8" t="e" cm="1">
        <f t="array" ref="L48">IF(I48="","", IFERROR(((IF(I$5&lt;&gt;"", I$5*A$5, 0) + SUMPRODUCT(--(I$6:I48&lt;&gt;""), I$6:I48, (A$6:A48-A$5:A47)))/1000)/H$3, ""))</f>
        <v>#N/A</v>
      </c>
      <c r="M48" s="1">
        <f t="shared" si="6"/>
        <v>440</v>
      </c>
      <c r="N48" s="1">
        <f t="shared" si="7"/>
        <v>0</v>
      </c>
      <c r="U48" s="1" t="e">
        <f t="shared" si="8"/>
        <v>#N/A</v>
      </c>
      <c r="V48" s="1" t="e">
        <f t="shared" si="1"/>
        <v>#N/A</v>
      </c>
      <c r="W48" s="1" t="e">
        <f t="shared" si="9"/>
        <v>#N/A</v>
      </c>
      <c r="X48" s="8" t="e" cm="1">
        <f t="array" ref="X48">IF(U48="","", IFERROR(((IF(U$5&lt;&gt;"", U$5*M$5, 0) + SUMPRODUCT(--(U$6:U48&lt;&gt;""), U$6:U48, (M$6:M48-M$5:M47)))/1000)/T$3, ""))</f>
        <v>#N/A</v>
      </c>
    </row>
    <row r="49" spans="1:24" x14ac:dyDescent="0.25">
      <c r="A49" s="1">
        <f t="shared" si="2"/>
        <v>450</v>
      </c>
      <c r="B49" s="1">
        <f t="shared" si="3"/>
        <v>0</v>
      </c>
      <c r="I49" s="1" t="e">
        <f t="shared" si="4"/>
        <v>#N/A</v>
      </c>
      <c r="J49" s="1" t="e">
        <f t="shared" si="0"/>
        <v>#N/A</v>
      </c>
      <c r="K49" s="1" t="e">
        <f t="shared" si="5"/>
        <v>#N/A</v>
      </c>
      <c r="L49" s="8" t="e" cm="1">
        <f t="array" ref="L49">IF(I49="","", IFERROR(((IF(I$5&lt;&gt;"", I$5*A$5, 0) + SUMPRODUCT(--(I$6:I49&lt;&gt;""), I$6:I49, (A$6:A49-A$5:A48)))/1000)/H$3, ""))</f>
        <v>#N/A</v>
      </c>
      <c r="M49" s="1">
        <f t="shared" si="6"/>
        <v>450</v>
      </c>
      <c r="N49" s="1">
        <f t="shared" si="7"/>
        <v>0</v>
      </c>
      <c r="U49" s="1" t="e">
        <f t="shared" si="8"/>
        <v>#N/A</v>
      </c>
      <c r="V49" s="1" t="e">
        <f t="shared" si="1"/>
        <v>#N/A</v>
      </c>
      <c r="W49" s="1" t="e">
        <f t="shared" si="9"/>
        <v>#N/A</v>
      </c>
      <c r="X49" s="8" t="e" cm="1">
        <f t="array" ref="X49">IF(U49="","", IFERROR(((IF(U$5&lt;&gt;"", U$5*M$5, 0) + SUMPRODUCT(--(U$6:U49&lt;&gt;""), U$6:U49, (M$6:M49-M$5:M48)))/1000)/T$3, ""))</f>
        <v>#N/A</v>
      </c>
    </row>
    <row r="50" spans="1:24" x14ac:dyDescent="0.25">
      <c r="A50" s="1">
        <f t="shared" si="2"/>
        <v>460</v>
      </c>
      <c r="B50" s="1">
        <f t="shared" si="3"/>
        <v>0</v>
      </c>
      <c r="I50" s="1" t="e">
        <f t="shared" si="4"/>
        <v>#N/A</v>
      </c>
      <c r="J50" s="1" t="e">
        <f t="shared" si="0"/>
        <v>#N/A</v>
      </c>
      <c r="K50" s="1" t="e">
        <f t="shared" si="5"/>
        <v>#N/A</v>
      </c>
      <c r="L50" s="8" t="e" cm="1">
        <f t="array" ref="L50">IF(I50="","", IFERROR(((IF(I$5&lt;&gt;"", I$5*A$5, 0) + SUMPRODUCT(--(I$6:I50&lt;&gt;""), I$6:I50, (A$6:A50-A$5:A49)))/1000)/H$3, ""))</f>
        <v>#N/A</v>
      </c>
      <c r="M50" s="1">
        <f t="shared" si="6"/>
        <v>460</v>
      </c>
      <c r="N50" s="1">
        <f t="shared" si="7"/>
        <v>0</v>
      </c>
      <c r="U50" s="1" t="e">
        <f t="shared" si="8"/>
        <v>#N/A</v>
      </c>
      <c r="V50" s="1" t="e">
        <f t="shared" si="1"/>
        <v>#N/A</v>
      </c>
      <c r="W50" s="1" t="e">
        <f t="shared" si="9"/>
        <v>#N/A</v>
      </c>
      <c r="X50" s="8" t="e" cm="1">
        <f t="array" ref="X50">IF(U50="","", IFERROR(((IF(U$5&lt;&gt;"", U$5*M$5, 0) + SUMPRODUCT(--(U$6:U50&lt;&gt;""), U$6:U50, (M$6:M50-M$5:M49)))/1000)/T$3, ""))</f>
        <v>#N/A</v>
      </c>
    </row>
    <row r="51" spans="1:24" x14ac:dyDescent="0.25">
      <c r="A51" s="1">
        <f t="shared" si="2"/>
        <v>470</v>
      </c>
      <c r="B51" s="1">
        <f t="shared" si="3"/>
        <v>0</v>
      </c>
      <c r="I51" s="1" t="e">
        <f t="shared" si="4"/>
        <v>#N/A</v>
      </c>
      <c r="J51" s="1" t="e">
        <f t="shared" si="0"/>
        <v>#N/A</v>
      </c>
      <c r="K51" s="1" t="e">
        <f t="shared" si="5"/>
        <v>#N/A</v>
      </c>
      <c r="L51" s="8" t="e" cm="1">
        <f t="array" ref="L51">IF(I51="","", IFERROR(((IF(I$5&lt;&gt;"", I$5*A$5, 0) + SUMPRODUCT(--(I$6:I51&lt;&gt;""), I$6:I51, (A$6:A51-A$5:A50)))/1000)/H$3, ""))</f>
        <v>#N/A</v>
      </c>
      <c r="M51" s="1">
        <f t="shared" si="6"/>
        <v>470</v>
      </c>
      <c r="N51" s="1">
        <f t="shared" si="7"/>
        <v>0</v>
      </c>
      <c r="U51" s="1" t="e">
        <f t="shared" si="8"/>
        <v>#N/A</v>
      </c>
      <c r="V51" s="1" t="e">
        <f t="shared" si="1"/>
        <v>#N/A</v>
      </c>
      <c r="W51" s="1" t="e">
        <f t="shared" si="9"/>
        <v>#N/A</v>
      </c>
      <c r="X51" s="8" t="e" cm="1">
        <f t="array" ref="X51">IF(U51="","", IFERROR(((IF(U$5&lt;&gt;"", U$5*M$5, 0) + SUMPRODUCT(--(U$6:U51&lt;&gt;""), U$6:U51, (M$6:M51-M$5:M50)))/1000)/T$3, ""))</f>
        <v>#N/A</v>
      </c>
    </row>
    <row r="52" spans="1:24" x14ac:dyDescent="0.25">
      <c r="A52" s="1">
        <f t="shared" si="2"/>
        <v>480</v>
      </c>
      <c r="B52" s="1">
        <f t="shared" si="3"/>
        <v>0</v>
      </c>
      <c r="I52" s="1" t="e">
        <f t="shared" si="4"/>
        <v>#N/A</v>
      </c>
      <c r="J52" s="1" t="e">
        <f t="shared" si="0"/>
        <v>#N/A</v>
      </c>
      <c r="K52" s="1" t="e">
        <f t="shared" si="5"/>
        <v>#N/A</v>
      </c>
      <c r="L52" s="8" t="e" cm="1">
        <f t="array" ref="L52">IF(I52="","", IFERROR(((IF(I$5&lt;&gt;"", I$5*A$5, 0) + SUMPRODUCT(--(I$6:I52&lt;&gt;""), I$6:I52, (A$6:A52-A$5:A51)))/1000)/H$3, ""))</f>
        <v>#N/A</v>
      </c>
      <c r="M52" s="1">
        <f t="shared" si="6"/>
        <v>480</v>
      </c>
      <c r="N52" s="1">
        <f t="shared" si="7"/>
        <v>0</v>
      </c>
      <c r="U52" s="1" t="e">
        <f t="shared" si="8"/>
        <v>#N/A</v>
      </c>
      <c r="V52" s="1" t="e">
        <f t="shared" si="1"/>
        <v>#N/A</v>
      </c>
      <c r="W52" s="1" t="e">
        <f t="shared" si="9"/>
        <v>#N/A</v>
      </c>
      <c r="X52" s="8" t="e" cm="1">
        <f t="array" ref="X52">IF(U52="","", IFERROR(((IF(U$5&lt;&gt;"", U$5*M$5, 0) + SUMPRODUCT(--(U$6:U52&lt;&gt;""), U$6:U52, (M$6:M52-M$5:M51)))/1000)/T$3, ""))</f>
        <v>#N/A</v>
      </c>
    </row>
    <row r="53" spans="1:24" x14ac:dyDescent="0.25">
      <c r="A53" s="1">
        <f t="shared" si="2"/>
        <v>490</v>
      </c>
      <c r="B53" s="1">
        <f t="shared" si="3"/>
        <v>0</v>
      </c>
      <c r="I53" s="1" t="e">
        <f t="shared" si="4"/>
        <v>#N/A</v>
      </c>
      <c r="J53" s="1" t="e">
        <f t="shared" si="0"/>
        <v>#N/A</v>
      </c>
      <c r="K53" s="1" t="e">
        <f t="shared" si="5"/>
        <v>#N/A</v>
      </c>
      <c r="L53" s="8" t="e" cm="1">
        <f t="array" ref="L53">IF(I53="","", IFERROR(((IF(I$5&lt;&gt;"", I$5*A$5, 0) + SUMPRODUCT(--(I$6:I53&lt;&gt;""), I$6:I53, (A$6:A53-A$5:A52)))/1000)/H$3, ""))</f>
        <v>#N/A</v>
      </c>
      <c r="M53" s="1">
        <f t="shared" si="6"/>
        <v>490</v>
      </c>
      <c r="N53" s="1">
        <f t="shared" si="7"/>
        <v>0</v>
      </c>
      <c r="U53" s="1" t="e">
        <f t="shared" si="8"/>
        <v>#N/A</v>
      </c>
      <c r="V53" s="1" t="e">
        <f t="shared" si="1"/>
        <v>#N/A</v>
      </c>
      <c r="W53" s="1" t="e">
        <f t="shared" si="9"/>
        <v>#N/A</v>
      </c>
      <c r="X53" s="8" t="e" cm="1">
        <f t="array" ref="X53">IF(U53="","", IFERROR(((IF(U$5&lt;&gt;"", U$5*M$5, 0) + SUMPRODUCT(--(U$6:U53&lt;&gt;""), U$6:U53, (M$6:M53-M$5:M52)))/1000)/T$3, ""))</f>
        <v>#N/A</v>
      </c>
    </row>
    <row r="54" spans="1:24" x14ac:dyDescent="0.25">
      <c r="A54" s="1">
        <f t="shared" si="2"/>
        <v>500</v>
      </c>
      <c r="B54" s="1">
        <f t="shared" si="3"/>
        <v>0</v>
      </c>
      <c r="I54" s="1" t="e">
        <f t="shared" si="4"/>
        <v>#N/A</v>
      </c>
      <c r="J54" s="1" t="e">
        <f t="shared" si="0"/>
        <v>#N/A</v>
      </c>
      <c r="K54" s="1" t="e">
        <f t="shared" si="5"/>
        <v>#N/A</v>
      </c>
      <c r="L54" s="8" t="e" cm="1">
        <f t="array" ref="L54">IF(I54="","", IFERROR(((IF(I$5&lt;&gt;"", I$5*A$5, 0) + SUMPRODUCT(--(I$6:I54&lt;&gt;""), I$6:I54, (A$6:A54-A$5:A53)))/1000)/H$3, ""))</f>
        <v>#N/A</v>
      </c>
      <c r="M54" s="1">
        <f t="shared" si="6"/>
        <v>500</v>
      </c>
      <c r="N54" s="1">
        <f t="shared" si="7"/>
        <v>0</v>
      </c>
      <c r="U54" s="1" t="e">
        <f t="shared" si="8"/>
        <v>#N/A</v>
      </c>
      <c r="V54" s="1" t="e">
        <f t="shared" si="1"/>
        <v>#N/A</v>
      </c>
      <c r="W54" s="1" t="e">
        <f t="shared" si="9"/>
        <v>#N/A</v>
      </c>
      <c r="X54" s="8" t="e" cm="1">
        <f t="array" ref="X54">IF(U54="","", IFERROR(((IF(U$5&lt;&gt;"", U$5*M$5, 0) + SUMPRODUCT(--(U$6:U54&lt;&gt;""), U$6:U54, (M$6:M54-M$5:M53)))/1000)/T$3, ""))</f>
        <v>#N/A</v>
      </c>
    </row>
    <row r="55" spans="1:24" x14ac:dyDescent="0.25">
      <c r="A55" s="1">
        <f t="shared" si="2"/>
        <v>510</v>
      </c>
      <c r="B55" s="1">
        <f t="shared" si="3"/>
        <v>0</v>
      </c>
      <c r="I55" s="1" t="e">
        <f t="shared" si="4"/>
        <v>#N/A</v>
      </c>
      <c r="J55" s="1" t="e">
        <f t="shared" si="0"/>
        <v>#N/A</v>
      </c>
      <c r="K55" s="1" t="e">
        <f t="shared" si="5"/>
        <v>#N/A</v>
      </c>
      <c r="L55" s="8" t="e" cm="1">
        <f t="array" ref="L55">IF(I55="","", IFERROR(((IF(I$5&lt;&gt;"", I$5*A$5, 0) + SUMPRODUCT(--(I$6:I55&lt;&gt;""), I$6:I55, (A$6:A55-A$5:A54)))/1000)/H$3, ""))</f>
        <v>#N/A</v>
      </c>
      <c r="M55" s="1">
        <f t="shared" si="6"/>
        <v>510</v>
      </c>
      <c r="N55" s="1">
        <f t="shared" si="7"/>
        <v>0</v>
      </c>
      <c r="U55" s="1" t="e">
        <f t="shared" si="8"/>
        <v>#N/A</v>
      </c>
      <c r="V55" s="1" t="e">
        <f t="shared" si="1"/>
        <v>#N/A</v>
      </c>
      <c r="W55" s="1" t="e">
        <f t="shared" si="9"/>
        <v>#N/A</v>
      </c>
      <c r="X55" s="8" t="e" cm="1">
        <f t="array" ref="X55">IF(U55="","", IFERROR(((IF(U$5&lt;&gt;"", U$5*M$5, 0) + SUMPRODUCT(--(U$6:U55&lt;&gt;""), U$6:U55, (M$6:M55-M$5:M54)))/1000)/T$3, ""))</f>
        <v>#N/A</v>
      </c>
    </row>
    <row r="56" spans="1:24" x14ac:dyDescent="0.25">
      <c r="A56" s="1">
        <f t="shared" si="2"/>
        <v>520</v>
      </c>
      <c r="B56" s="1">
        <f t="shared" si="3"/>
        <v>0</v>
      </c>
      <c r="I56" s="1" t="e">
        <f t="shared" si="4"/>
        <v>#N/A</v>
      </c>
      <c r="J56" s="1" t="e">
        <f t="shared" si="0"/>
        <v>#N/A</v>
      </c>
      <c r="K56" s="1" t="e">
        <f t="shared" si="5"/>
        <v>#N/A</v>
      </c>
      <c r="L56" s="8" t="e" cm="1">
        <f t="array" ref="L56">IF(I56="","", IFERROR(((IF(I$5&lt;&gt;"", I$5*A$5, 0) + SUMPRODUCT(--(I$6:I56&lt;&gt;""), I$6:I56, (A$6:A56-A$5:A55)))/1000)/H$3, ""))</f>
        <v>#N/A</v>
      </c>
      <c r="M56" s="1">
        <f t="shared" si="6"/>
        <v>520</v>
      </c>
      <c r="N56" s="1">
        <f t="shared" si="7"/>
        <v>0</v>
      </c>
      <c r="U56" s="1" t="e">
        <f t="shared" si="8"/>
        <v>#N/A</v>
      </c>
      <c r="V56" s="1" t="e">
        <f t="shared" si="1"/>
        <v>#N/A</v>
      </c>
      <c r="W56" s="1" t="e">
        <f t="shared" si="9"/>
        <v>#N/A</v>
      </c>
      <c r="X56" s="8" t="e" cm="1">
        <f t="array" ref="X56">IF(U56="","", IFERROR(((IF(U$5&lt;&gt;"", U$5*M$5, 0) + SUMPRODUCT(--(U$6:U56&lt;&gt;""), U$6:U56, (M$6:M56-M$5:M55)))/1000)/T$3, ""))</f>
        <v>#N/A</v>
      </c>
    </row>
    <row r="57" spans="1:24" x14ac:dyDescent="0.25">
      <c r="A57" s="1">
        <f t="shared" si="2"/>
        <v>530</v>
      </c>
      <c r="B57" s="1">
        <f t="shared" si="3"/>
        <v>0</v>
      </c>
      <c r="I57" s="1" t="e">
        <f t="shared" si="4"/>
        <v>#N/A</v>
      </c>
      <c r="J57" s="1" t="e">
        <f t="shared" si="0"/>
        <v>#N/A</v>
      </c>
      <c r="K57" s="1" t="e">
        <f t="shared" si="5"/>
        <v>#N/A</v>
      </c>
      <c r="L57" s="8" t="e" cm="1">
        <f t="array" ref="L57">IF(I57="","", IFERROR(((IF(I$5&lt;&gt;"", I$5*A$5, 0) + SUMPRODUCT(--(I$6:I57&lt;&gt;""), I$6:I57, (A$6:A57-A$5:A56)))/1000)/H$3, ""))</f>
        <v>#N/A</v>
      </c>
      <c r="M57" s="1">
        <f t="shared" si="6"/>
        <v>530</v>
      </c>
      <c r="N57" s="1">
        <f t="shared" si="7"/>
        <v>0</v>
      </c>
      <c r="U57" s="1" t="e">
        <f t="shared" si="8"/>
        <v>#N/A</v>
      </c>
      <c r="V57" s="1" t="e">
        <f t="shared" si="1"/>
        <v>#N/A</v>
      </c>
      <c r="W57" s="1" t="e">
        <f t="shared" si="9"/>
        <v>#N/A</v>
      </c>
      <c r="X57" s="8" t="e" cm="1">
        <f t="array" ref="X57">IF(U57="","", IFERROR(((IF(U$5&lt;&gt;"", U$5*M$5, 0) + SUMPRODUCT(--(U$6:U57&lt;&gt;""), U$6:U57, (M$6:M57-M$5:M56)))/1000)/T$3, ""))</f>
        <v>#N/A</v>
      </c>
    </row>
    <row r="58" spans="1:24" x14ac:dyDescent="0.25">
      <c r="A58" s="1">
        <f t="shared" si="2"/>
        <v>540</v>
      </c>
      <c r="B58" s="1">
        <f t="shared" si="3"/>
        <v>0</v>
      </c>
      <c r="I58" s="1" t="e">
        <f t="shared" si="4"/>
        <v>#N/A</v>
      </c>
      <c r="J58" s="1" t="e">
        <f t="shared" si="0"/>
        <v>#N/A</v>
      </c>
      <c r="K58" s="1" t="e">
        <f t="shared" si="5"/>
        <v>#N/A</v>
      </c>
      <c r="L58" s="8" t="e" cm="1">
        <f t="array" ref="L58">IF(I58="","", IFERROR(((IF(I$5&lt;&gt;"", I$5*A$5, 0) + SUMPRODUCT(--(I$6:I58&lt;&gt;""), I$6:I58, (A$6:A58-A$5:A57)))/1000)/H$3, ""))</f>
        <v>#N/A</v>
      </c>
      <c r="M58" s="1">
        <f t="shared" si="6"/>
        <v>540</v>
      </c>
      <c r="N58" s="1">
        <f t="shared" si="7"/>
        <v>0</v>
      </c>
      <c r="U58" s="1" t="e">
        <f t="shared" si="8"/>
        <v>#N/A</v>
      </c>
      <c r="V58" s="1" t="e">
        <f t="shared" si="1"/>
        <v>#N/A</v>
      </c>
      <c r="W58" s="1" t="e">
        <f t="shared" si="9"/>
        <v>#N/A</v>
      </c>
      <c r="X58" s="8" t="e" cm="1">
        <f t="array" ref="X58">IF(U58="","", IFERROR(((IF(U$5&lt;&gt;"", U$5*M$5, 0) + SUMPRODUCT(--(U$6:U58&lt;&gt;""), U$6:U58, (M$6:M58-M$5:M57)))/1000)/T$3, ""))</f>
        <v>#N/A</v>
      </c>
    </row>
    <row r="59" spans="1:24" x14ac:dyDescent="0.25">
      <c r="A59" s="1">
        <f t="shared" si="2"/>
        <v>550</v>
      </c>
      <c r="B59" s="1">
        <f t="shared" si="3"/>
        <v>0</v>
      </c>
      <c r="I59" s="1" t="e">
        <f t="shared" si="4"/>
        <v>#N/A</v>
      </c>
      <c r="J59" s="1" t="e">
        <f t="shared" si="0"/>
        <v>#N/A</v>
      </c>
      <c r="K59" s="1" t="e">
        <f t="shared" si="5"/>
        <v>#N/A</v>
      </c>
      <c r="L59" s="8" t="e" cm="1">
        <f t="array" ref="L59">IF(I59="","", IFERROR(((IF(I$5&lt;&gt;"", I$5*A$5, 0) + SUMPRODUCT(--(I$6:I59&lt;&gt;""), I$6:I59, (A$6:A59-A$5:A58)))/1000)/H$3, ""))</f>
        <v>#N/A</v>
      </c>
      <c r="M59" s="1">
        <f t="shared" si="6"/>
        <v>550</v>
      </c>
      <c r="N59" s="1">
        <f t="shared" si="7"/>
        <v>0</v>
      </c>
      <c r="U59" s="1" t="e">
        <f t="shared" si="8"/>
        <v>#N/A</v>
      </c>
      <c r="V59" s="1" t="e">
        <f t="shared" si="1"/>
        <v>#N/A</v>
      </c>
      <c r="W59" s="1" t="e">
        <f t="shared" si="9"/>
        <v>#N/A</v>
      </c>
      <c r="X59" s="8" t="e" cm="1">
        <f t="array" ref="X59">IF(U59="","", IFERROR(((IF(U$5&lt;&gt;"", U$5*M$5, 0) + SUMPRODUCT(--(U$6:U59&lt;&gt;""), U$6:U59, (M$6:M59-M$5:M58)))/1000)/T$3, ""))</f>
        <v>#N/A</v>
      </c>
    </row>
    <row r="60" spans="1:24" x14ac:dyDescent="0.25">
      <c r="A60" s="1">
        <f t="shared" si="2"/>
        <v>560</v>
      </c>
      <c r="B60" s="1">
        <f t="shared" si="3"/>
        <v>0</v>
      </c>
      <c r="I60" s="1" t="e">
        <f t="shared" si="4"/>
        <v>#N/A</v>
      </c>
      <c r="J60" s="1" t="e">
        <f t="shared" si="0"/>
        <v>#N/A</v>
      </c>
      <c r="K60" s="1" t="e">
        <f t="shared" si="5"/>
        <v>#N/A</v>
      </c>
      <c r="L60" s="8" t="e" cm="1">
        <f t="array" ref="L60">IF(I60="","", IFERROR(((IF(I$5&lt;&gt;"", I$5*A$5, 0) + SUMPRODUCT(--(I$6:I60&lt;&gt;""), I$6:I60, (A$6:A60-A$5:A59)))/1000)/H$3, ""))</f>
        <v>#N/A</v>
      </c>
      <c r="M60" s="1">
        <f t="shared" si="6"/>
        <v>560</v>
      </c>
      <c r="N60" s="1">
        <f t="shared" si="7"/>
        <v>0</v>
      </c>
      <c r="U60" s="1" t="e">
        <f t="shared" si="8"/>
        <v>#N/A</v>
      </c>
      <c r="V60" s="1" t="e">
        <f t="shared" si="1"/>
        <v>#N/A</v>
      </c>
      <c r="W60" s="1" t="e">
        <f t="shared" si="9"/>
        <v>#N/A</v>
      </c>
      <c r="X60" s="8" t="e" cm="1">
        <f t="array" ref="X60">IF(U60="","", IFERROR(((IF(U$5&lt;&gt;"", U$5*M$5, 0) + SUMPRODUCT(--(U$6:U60&lt;&gt;""), U$6:U60, (M$6:M60-M$5:M59)))/1000)/T$3, ""))</f>
        <v>#N/A</v>
      </c>
    </row>
    <row r="61" spans="1:24" x14ac:dyDescent="0.25">
      <c r="A61" s="1">
        <f t="shared" si="2"/>
        <v>570</v>
      </c>
      <c r="B61" s="1">
        <f t="shared" si="3"/>
        <v>0</v>
      </c>
      <c r="I61" s="1" t="e">
        <f t="shared" si="4"/>
        <v>#N/A</v>
      </c>
      <c r="J61" s="1" t="e">
        <f t="shared" si="0"/>
        <v>#N/A</v>
      </c>
      <c r="K61" s="1" t="e">
        <f t="shared" si="5"/>
        <v>#N/A</v>
      </c>
      <c r="L61" s="8" t="e" cm="1">
        <f t="array" ref="L61">IF(I61="","", IFERROR(((IF(I$5&lt;&gt;"", I$5*A$5, 0) + SUMPRODUCT(--(I$6:I61&lt;&gt;""), I$6:I61, (A$6:A61-A$5:A60)))/1000)/H$3, ""))</f>
        <v>#N/A</v>
      </c>
      <c r="M61" s="1">
        <f t="shared" si="6"/>
        <v>570</v>
      </c>
      <c r="N61" s="1">
        <f t="shared" si="7"/>
        <v>0</v>
      </c>
      <c r="U61" s="1" t="e">
        <f t="shared" si="8"/>
        <v>#N/A</v>
      </c>
      <c r="V61" s="1" t="e">
        <f t="shared" si="1"/>
        <v>#N/A</v>
      </c>
      <c r="W61" s="1" t="e">
        <f t="shared" si="9"/>
        <v>#N/A</v>
      </c>
      <c r="X61" s="8" t="e" cm="1">
        <f t="array" ref="X61">IF(U61="","", IFERROR(((IF(U$5&lt;&gt;"", U$5*M$5, 0) + SUMPRODUCT(--(U$6:U61&lt;&gt;""), U$6:U61, (M$6:M61-M$5:M60)))/1000)/T$3, ""))</f>
        <v>#N/A</v>
      </c>
    </row>
    <row r="62" spans="1:24" x14ac:dyDescent="0.25">
      <c r="A62" s="1">
        <f t="shared" si="2"/>
        <v>580</v>
      </c>
      <c r="B62" s="1">
        <f t="shared" si="3"/>
        <v>0</v>
      </c>
      <c r="I62" s="1" t="e">
        <f t="shared" si="4"/>
        <v>#N/A</v>
      </c>
      <c r="J62" s="1" t="e">
        <f t="shared" si="0"/>
        <v>#N/A</v>
      </c>
      <c r="K62" s="1" t="e">
        <f t="shared" si="5"/>
        <v>#N/A</v>
      </c>
      <c r="L62" s="8" t="e" cm="1">
        <f t="array" ref="L62">IF(I62="","", IFERROR(((IF(I$5&lt;&gt;"", I$5*A$5, 0) + SUMPRODUCT(--(I$6:I62&lt;&gt;""), I$6:I62, (A$6:A62-A$5:A61)))/1000)/H$3, ""))</f>
        <v>#N/A</v>
      </c>
      <c r="M62" s="1">
        <f t="shared" si="6"/>
        <v>580</v>
      </c>
      <c r="N62" s="1">
        <f t="shared" si="7"/>
        <v>0</v>
      </c>
      <c r="U62" s="1" t="e">
        <f t="shared" si="8"/>
        <v>#N/A</v>
      </c>
      <c r="V62" s="1" t="e">
        <f t="shared" si="1"/>
        <v>#N/A</v>
      </c>
      <c r="W62" s="1" t="e">
        <f t="shared" si="9"/>
        <v>#N/A</v>
      </c>
      <c r="X62" s="8" t="e" cm="1">
        <f t="array" ref="X62">IF(U62="","", IFERROR(((IF(U$5&lt;&gt;"", U$5*M$5, 0) + SUMPRODUCT(--(U$6:U62&lt;&gt;""), U$6:U62, (M$6:M62-M$5:M61)))/1000)/T$3, ""))</f>
        <v>#N/A</v>
      </c>
    </row>
    <row r="63" spans="1:24" x14ac:dyDescent="0.25">
      <c r="A63" s="1">
        <f t="shared" si="2"/>
        <v>590</v>
      </c>
      <c r="B63" s="1">
        <f t="shared" si="3"/>
        <v>0</v>
      </c>
      <c r="I63" s="1" t="e">
        <f t="shared" si="4"/>
        <v>#N/A</v>
      </c>
      <c r="J63" s="1" t="e">
        <f t="shared" si="0"/>
        <v>#N/A</v>
      </c>
      <c r="K63" s="1" t="e">
        <f t="shared" si="5"/>
        <v>#N/A</v>
      </c>
      <c r="L63" s="8" t="e" cm="1">
        <f t="array" ref="L63">IF(I63="","", IFERROR(((IF(I$5&lt;&gt;"", I$5*A$5, 0) + SUMPRODUCT(--(I$6:I63&lt;&gt;""), I$6:I63, (A$6:A63-A$5:A62)))/1000)/H$3, ""))</f>
        <v>#N/A</v>
      </c>
      <c r="M63" s="1">
        <f t="shared" si="6"/>
        <v>590</v>
      </c>
      <c r="N63" s="1">
        <f t="shared" si="7"/>
        <v>0</v>
      </c>
      <c r="U63" s="1" t="e">
        <f t="shared" si="8"/>
        <v>#N/A</v>
      </c>
      <c r="V63" s="1" t="e">
        <f t="shared" si="1"/>
        <v>#N/A</v>
      </c>
      <c r="W63" s="1" t="e">
        <f t="shared" si="9"/>
        <v>#N/A</v>
      </c>
      <c r="X63" s="8" t="e" cm="1">
        <f t="array" ref="X63">IF(U63="","", IFERROR(((IF(U$5&lt;&gt;"", U$5*M$5, 0) + SUMPRODUCT(--(U$6:U63&lt;&gt;""), U$6:U63, (M$6:M63-M$5:M62)))/1000)/T$3, ""))</f>
        <v>#N/A</v>
      </c>
    </row>
    <row r="64" spans="1:24" x14ac:dyDescent="0.25">
      <c r="A64" s="1">
        <f t="shared" si="2"/>
        <v>600</v>
      </c>
      <c r="B64" s="1">
        <f t="shared" si="3"/>
        <v>0</v>
      </c>
      <c r="I64" s="1" t="e">
        <f t="shared" si="4"/>
        <v>#N/A</v>
      </c>
      <c r="J64" s="1" t="e">
        <f t="shared" si="0"/>
        <v>#N/A</v>
      </c>
      <c r="K64" s="1" t="e">
        <f t="shared" si="5"/>
        <v>#N/A</v>
      </c>
      <c r="L64" s="8" t="e" cm="1">
        <f t="array" ref="L64">IF(I64="","", IFERROR(((IF(I$5&lt;&gt;"", I$5*A$5, 0) + SUMPRODUCT(--(I$6:I64&lt;&gt;""), I$6:I64, (A$6:A64-A$5:A63)))/1000)/H$3, ""))</f>
        <v>#N/A</v>
      </c>
      <c r="M64" s="1">
        <f t="shared" si="6"/>
        <v>600</v>
      </c>
      <c r="N64" s="1">
        <f t="shared" si="7"/>
        <v>0</v>
      </c>
      <c r="U64" s="1" t="e">
        <f t="shared" si="8"/>
        <v>#N/A</v>
      </c>
      <c r="V64" s="1" t="e">
        <f t="shared" si="1"/>
        <v>#N/A</v>
      </c>
      <c r="W64" s="1" t="e">
        <f t="shared" si="9"/>
        <v>#N/A</v>
      </c>
      <c r="X64" s="8" t="e" cm="1">
        <f t="array" ref="X64">IF(U64="","", IFERROR(((IF(U$5&lt;&gt;"", U$5*M$5, 0) + SUMPRODUCT(--(U$6:U64&lt;&gt;""), U$6:U64, (M$6:M64-M$5:M63)))/1000)/T$3, ""))</f>
        <v>#N/A</v>
      </c>
    </row>
    <row r="65" spans="1:24" x14ac:dyDescent="0.25">
      <c r="A65" s="1">
        <f t="shared" si="2"/>
        <v>610</v>
      </c>
      <c r="B65" s="1">
        <f t="shared" si="3"/>
        <v>0</v>
      </c>
      <c r="I65" s="1" t="e">
        <f t="shared" si="4"/>
        <v>#N/A</v>
      </c>
      <c r="J65" s="1" t="e">
        <f t="shared" si="0"/>
        <v>#N/A</v>
      </c>
      <c r="K65" s="1" t="e">
        <f t="shared" si="5"/>
        <v>#N/A</v>
      </c>
      <c r="L65" s="8" t="e" cm="1">
        <f t="array" ref="L65">IF(I65="","", IFERROR(((IF(I$5&lt;&gt;"", I$5*A$5, 0) + SUMPRODUCT(--(I$6:I65&lt;&gt;""), I$6:I65, (A$6:A65-A$5:A64)))/1000)/H$3, ""))</f>
        <v>#N/A</v>
      </c>
      <c r="M65" s="1">
        <f t="shared" si="6"/>
        <v>610</v>
      </c>
      <c r="N65" s="1">
        <f t="shared" si="7"/>
        <v>0</v>
      </c>
      <c r="U65" s="1" t="e">
        <f t="shared" si="8"/>
        <v>#N/A</v>
      </c>
      <c r="V65" s="1" t="e">
        <f t="shared" si="1"/>
        <v>#N/A</v>
      </c>
      <c r="W65" s="1" t="e">
        <f t="shared" si="9"/>
        <v>#N/A</v>
      </c>
      <c r="X65" s="8" t="e" cm="1">
        <f t="array" ref="X65">IF(U65="","", IFERROR(((IF(U$5&lt;&gt;"", U$5*M$5, 0) + SUMPRODUCT(--(U$6:U65&lt;&gt;""), U$6:U65, (M$6:M65-M$5:M64)))/1000)/T$3, ""))</f>
        <v>#N/A</v>
      </c>
    </row>
    <row r="66" spans="1:24" x14ac:dyDescent="0.25">
      <c r="A66" s="1">
        <f t="shared" si="2"/>
        <v>620</v>
      </c>
      <c r="B66" s="1">
        <f t="shared" si="3"/>
        <v>0</v>
      </c>
      <c r="I66" s="1" t="e">
        <f t="shared" si="4"/>
        <v>#N/A</v>
      </c>
      <c r="J66" s="1" t="e">
        <f t="shared" si="0"/>
        <v>#N/A</v>
      </c>
      <c r="K66" s="1" t="e">
        <f t="shared" si="5"/>
        <v>#N/A</v>
      </c>
      <c r="L66" s="8" t="e" cm="1">
        <f t="array" ref="L66">IF(I66="","", IFERROR(((IF(I$5&lt;&gt;"", I$5*A$5, 0) + SUMPRODUCT(--(I$6:I66&lt;&gt;""), I$6:I66, (A$6:A66-A$5:A65)))/1000)/H$3, ""))</f>
        <v>#N/A</v>
      </c>
      <c r="M66" s="1">
        <f t="shared" si="6"/>
        <v>620</v>
      </c>
      <c r="N66" s="1">
        <f t="shared" si="7"/>
        <v>0</v>
      </c>
      <c r="U66" s="1" t="e">
        <f t="shared" si="8"/>
        <v>#N/A</v>
      </c>
      <c r="V66" s="1" t="e">
        <f t="shared" si="1"/>
        <v>#N/A</v>
      </c>
      <c r="W66" s="1" t="e">
        <f t="shared" si="9"/>
        <v>#N/A</v>
      </c>
      <c r="X66" s="8" t="e" cm="1">
        <f t="array" ref="X66">IF(U66="","", IFERROR(((IF(U$5&lt;&gt;"", U$5*M$5, 0) + SUMPRODUCT(--(U$6:U66&lt;&gt;""), U$6:U66, (M$6:M66-M$5:M65)))/1000)/T$3, ""))</f>
        <v>#N/A</v>
      </c>
    </row>
    <row r="67" spans="1:24" x14ac:dyDescent="0.25">
      <c r="A67" s="1">
        <f t="shared" si="2"/>
        <v>630</v>
      </c>
      <c r="B67" s="1">
        <f t="shared" si="3"/>
        <v>0</v>
      </c>
      <c r="I67" s="1" t="e">
        <f t="shared" si="4"/>
        <v>#N/A</v>
      </c>
      <c r="J67" s="1" t="e">
        <f t="shared" si="0"/>
        <v>#N/A</v>
      </c>
      <c r="K67" s="1" t="e">
        <f t="shared" si="5"/>
        <v>#N/A</v>
      </c>
      <c r="L67" s="8" t="e" cm="1">
        <f t="array" ref="L67">IF(I67="","", IFERROR(((IF(I$5&lt;&gt;"", I$5*A$5, 0) + SUMPRODUCT(--(I$6:I67&lt;&gt;""), I$6:I67, (A$6:A67-A$5:A66)))/1000)/H$3, ""))</f>
        <v>#N/A</v>
      </c>
      <c r="M67" s="1">
        <f t="shared" si="6"/>
        <v>630</v>
      </c>
      <c r="N67" s="1">
        <f t="shared" si="7"/>
        <v>0</v>
      </c>
      <c r="U67" s="1" t="e">
        <f t="shared" si="8"/>
        <v>#N/A</v>
      </c>
      <c r="V67" s="1" t="e">
        <f t="shared" si="1"/>
        <v>#N/A</v>
      </c>
      <c r="W67" s="1" t="e">
        <f t="shared" si="9"/>
        <v>#N/A</v>
      </c>
      <c r="X67" s="8" t="e" cm="1">
        <f t="array" ref="X67">IF(U67="","", IFERROR(((IF(U$5&lt;&gt;"", U$5*M$5, 0) + SUMPRODUCT(--(U$6:U67&lt;&gt;""), U$6:U67, (M$6:M67-M$5:M66)))/1000)/T$3, ""))</f>
        <v>#N/A</v>
      </c>
    </row>
    <row r="68" spans="1:24" x14ac:dyDescent="0.25">
      <c r="A68" s="1">
        <f t="shared" si="2"/>
        <v>640</v>
      </c>
      <c r="B68" s="1">
        <f t="shared" si="3"/>
        <v>0</v>
      </c>
      <c r="I68" s="1" t="e">
        <f t="shared" si="4"/>
        <v>#N/A</v>
      </c>
      <c r="J68" s="1" t="e">
        <f t="shared" si="0"/>
        <v>#N/A</v>
      </c>
      <c r="K68" s="1" t="e">
        <f t="shared" si="5"/>
        <v>#N/A</v>
      </c>
      <c r="L68" s="8" t="e" cm="1">
        <f t="array" ref="L68">IF(I68="","", IFERROR(((IF(I$5&lt;&gt;"", I$5*A$5, 0) + SUMPRODUCT(--(I$6:I68&lt;&gt;""), I$6:I68, (A$6:A68-A$5:A67)))/1000)/H$3, ""))</f>
        <v>#N/A</v>
      </c>
      <c r="M68" s="1">
        <f t="shared" si="6"/>
        <v>640</v>
      </c>
      <c r="N68" s="1">
        <f t="shared" si="7"/>
        <v>0</v>
      </c>
      <c r="U68" s="1" t="e">
        <f t="shared" si="8"/>
        <v>#N/A</v>
      </c>
      <c r="V68" s="1" t="e">
        <f t="shared" si="1"/>
        <v>#N/A</v>
      </c>
      <c r="W68" s="1" t="e">
        <f t="shared" si="9"/>
        <v>#N/A</v>
      </c>
      <c r="X68" s="8" t="e" cm="1">
        <f t="array" ref="X68">IF(U68="","", IFERROR(((IF(U$5&lt;&gt;"", U$5*M$5, 0) + SUMPRODUCT(--(U$6:U68&lt;&gt;""), U$6:U68, (M$6:M68-M$5:M67)))/1000)/T$3, ""))</f>
        <v>#N/A</v>
      </c>
    </row>
    <row r="69" spans="1:24" x14ac:dyDescent="0.25">
      <c r="A69" s="1">
        <f t="shared" si="2"/>
        <v>650</v>
      </c>
      <c r="B69" s="1">
        <f t="shared" si="3"/>
        <v>0</v>
      </c>
      <c r="I69" s="1" t="e">
        <f t="shared" si="4"/>
        <v>#N/A</v>
      </c>
      <c r="J69" s="1" t="e">
        <f t="shared" si="0"/>
        <v>#N/A</v>
      </c>
      <c r="K69" s="1" t="e">
        <f t="shared" si="5"/>
        <v>#N/A</v>
      </c>
      <c r="L69" s="8" t="e" cm="1">
        <f t="array" ref="L69">IF(I69="","", IFERROR(((IF(I$5&lt;&gt;"", I$5*A$5, 0) + SUMPRODUCT(--(I$6:I69&lt;&gt;""), I$6:I69, (A$6:A69-A$5:A68)))/1000)/H$3, ""))</f>
        <v>#N/A</v>
      </c>
      <c r="M69" s="1">
        <f t="shared" si="6"/>
        <v>650</v>
      </c>
      <c r="N69" s="1">
        <f t="shared" si="7"/>
        <v>0</v>
      </c>
      <c r="U69" s="1" t="e">
        <f t="shared" si="8"/>
        <v>#N/A</v>
      </c>
      <c r="V69" s="1" t="e">
        <f t="shared" si="1"/>
        <v>#N/A</v>
      </c>
      <c r="W69" s="1" t="e">
        <f t="shared" si="9"/>
        <v>#N/A</v>
      </c>
      <c r="X69" s="8" t="e" cm="1">
        <f t="array" ref="X69">IF(U69="","", IFERROR(((IF(U$5&lt;&gt;"", U$5*M$5, 0) + SUMPRODUCT(--(U$6:U69&lt;&gt;""), U$6:U69, (M$6:M69-M$5:M68)))/1000)/T$3, ""))</f>
        <v>#N/A</v>
      </c>
    </row>
    <row r="70" spans="1:24" x14ac:dyDescent="0.25">
      <c r="A70" s="1">
        <f t="shared" si="2"/>
        <v>660</v>
      </c>
      <c r="B70" s="1">
        <f t="shared" si="3"/>
        <v>0</v>
      </c>
      <c r="I70" s="1" t="e">
        <f t="shared" si="4"/>
        <v>#N/A</v>
      </c>
      <c r="J70" s="1" t="e">
        <f t="shared" ref="J70:J115" si="10">IF(I70="","",I70/F$2/2.5)</f>
        <v>#N/A</v>
      </c>
      <c r="K70" s="1" t="e">
        <f t="shared" si="5"/>
        <v>#N/A</v>
      </c>
      <c r="L70" s="8" t="e" cm="1">
        <f t="array" ref="L70">IF(I70="","", IFERROR(((IF(I$5&lt;&gt;"", I$5*A$5, 0) + SUMPRODUCT(--(I$6:I70&lt;&gt;""), I$6:I70, (A$6:A70-A$5:A69)))/1000)/H$3, ""))</f>
        <v>#N/A</v>
      </c>
      <c r="M70" s="1">
        <f t="shared" si="6"/>
        <v>660</v>
      </c>
      <c r="N70" s="1">
        <f t="shared" si="7"/>
        <v>0</v>
      </c>
      <c r="U70" s="1" t="e">
        <f t="shared" si="8"/>
        <v>#N/A</v>
      </c>
      <c r="V70" s="1" t="e">
        <f t="shared" ref="V70:V115" si="11">IF(U70="","",U70/R$2/2.5)</f>
        <v>#N/A</v>
      </c>
      <c r="W70" s="1" t="e">
        <f t="shared" si="9"/>
        <v>#N/A</v>
      </c>
      <c r="X70" s="8" t="e" cm="1">
        <f t="array" ref="X70">IF(U70="","", IFERROR(((IF(U$5&lt;&gt;"", U$5*M$5, 0) + SUMPRODUCT(--(U$6:U70&lt;&gt;""), U$6:U70, (M$6:M70-M$5:M69)))/1000)/T$3, ""))</f>
        <v>#N/A</v>
      </c>
    </row>
    <row r="71" spans="1:24" x14ac:dyDescent="0.25">
      <c r="A71" s="1">
        <f t="shared" ref="A71:A115" si="12">A70+10</f>
        <v>670</v>
      </c>
      <c r="B71" s="1">
        <f t="shared" ref="B71:B115" si="13">C70</f>
        <v>0</v>
      </c>
      <c r="I71" s="1" t="e">
        <f t="shared" ref="I71:I115" si="14">IF(C71="", NA(), (B71-C71)*1000/(A71-A70))</f>
        <v>#N/A</v>
      </c>
      <c r="J71" s="1" t="e">
        <f t="shared" si="10"/>
        <v>#N/A</v>
      </c>
      <c r="K71" s="1" t="e">
        <f t="shared" ref="K71:K115" si="15">IF(I71="","", 100*_xlfn.STDEV.P(I70:I71)/AVERAGE(I70:I71))</f>
        <v>#N/A</v>
      </c>
      <c r="L71" s="8" t="e" cm="1">
        <f t="array" ref="L71">IF(I71="","", IFERROR(((IF(I$5&lt;&gt;"", I$5*A$5, 0) + SUMPRODUCT(--(I$6:I71&lt;&gt;""), I$6:I71, (A$6:A71-A$5:A70)))/1000)/H$3, ""))</f>
        <v>#N/A</v>
      </c>
      <c r="M71" s="1">
        <f t="shared" ref="M71:M115" si="16">M70+10</f>
        <v>670</v>
      </c>
      <c r="N71" s="1">
        <f t="shared" ref="N71:N115" si="17">O70</f>
        <v>0</v>
      </c>
      <c r="U71" s="1" t="e">
        <f t="shared" ref="U71:U115" si="18">IF(O71="", NA(), (N71-O71)*1000/(M71-M70))</f>
        <v>#N/A</v>
      </c>
      <c r="V71" s="1" t="e">
        <f t="shared" si="11"/>
        <v>#N/A</v>
      </c>
      <c r="W71" s="1" t="e">
        <f t="shared" ref="W71:W115" si="19">IF(U71="","", 100*_xlfn.STDEV.P(U70:U71)/AVERAGE(U70:U71))</f>
        <v>#N/A</v>
      </c>
      <c r="X71" s="8" t="e" cm="1">
        <f t="array" ref="X71">IF(U71="","", IFERROR(((IF(U$5&lt;&gt;"", U$5*M$5, 0) + SUMPRODUCT(--(U$6:U71&lt;&gt;""), U$6:U71, (M$6:M71-M$5:M70)))/1000)/T$3, ""))</f>
        <v>#N/A</v>
      </c>
    </row>
    <row r="72" spans="1:24" x14ac:dyDescent="0.25">
      <c r="A72" s="1">
        <f t="shared" si="12"/>
        <v>680</v>
      </c>
      <c r="B72" s="1">
        <f t="shared" si="13"/>
        <v>0</v>
      </c>
      <c r="I72" s="1" t="e">
        <f t="shared" si="14"/>
        <v>#N/A</v>
      </c>
      <c r="J72" s="1" t="e">
        <f t="shared" si="10"/>
        <v>#N/A</v>
      </c>
      <c r="K72" s="1" t="e">
        <f t="shared" si="15"/>
        <v>#N/A</v>
      </c>
      <c r="L72" s="8" t="e" cm="1">
        <f t="array" ref="L72">IF(I72="","", IFERROR(((IF(I$5&lt;&gt;"", I$5*A$5, 0) + SUMPRODUCT(--(I$6:I72&lt;&gt;""), I$6:I72, (A$6:A72-A$5:A71)))/1000)/H$3, ""))</f>
        <v>#N/A</v>
      </c>
      <c r="M72" s="1">
        <f t="shared" si="16"/>
        <v>680</v>
      </c>
      <c r="N72" s="1">
        <f t="shared" si="17"/>
        <v>0</v>
      </c>
      <c r="U72" s="1" t="e">
        <f t="shared" si="18"/>
        <v>#N/A</v>
      </c>
      <c r="V72" s="1" t="e">
        <f t="shared" si="11"/>
        <v>#N/A</v>
      </c>
      <c r="W72" s="1" t="e">
        <f t="shared" si="19"/>
        <v>#N/A</v>
      </c>
      <c r="X72" s="8" t="e" cm="1">
        <f t="array" ref="X72">IF(U72="","", IFERROR(((IF(U$5&lt;&gt;"", U$5*M$5, 0) + SUMPRODUCT(--(U$6:U72&lt;&gt;""), U$6:U72, (M$6:M72-M$5:M71)))/1000)/T$3, ""))</f>
        <v>#N/A</v>
      </c>
    </row>
    <row r="73" spans="1:24" x14ac:dyDescent="0.25">
      <c r="A73" s="1">
        <f t="shared" si="12"/>
        <v>690</v>
      </c>
      <c r="B73" s="1">
        <f t="shared" si="13"/>
        <v>0</v>
      </c>
      <c r="I73" s="1" t="e">
        <f t="shared" si="14"/>
        <v>#N/A</v>
      </c>
      <c r="J73" s="1" t="e">
        <f t="shared" si="10"/>
        <v>#N/A</v>
      </c>
      <c r="K73" s="1" t="e">
        <f t="shared" si="15"/>
        <v>#N/A</v>
      </c>
      <c r="L73" s="8" t="e" cm="1">
        <f t="array" ref="L73">IF(I73="","", IFERROR(((IF(I$5&lt;&gt;"", I$5*A$5, 0) + SUMPRODUCT(--(I$6:I73&lt;&gt;""), I$6:I73, (A$6:A73-A$5:A72)))/1000)/H$3, ""))</f>
        <v>#N/A</v>
      </c>
      <c r="M73" s="1">
        <f t="shared" si="16"/>
        <v>690</v>
      </c>
      <c r="N73" s="1">
        <f t="shared" si="17"/>
        <v>0</v>
      </c>
      <c r="U73" s="1" t="e">
        <f t="shared" si="18"/>
        <v>#N/A</v>
      </c>
      <c r="V73" s="1" t="e">
        <f t="shared" si="11"/>
        <v>#N/A</v>
      </c>
      <c r="W73" s="1" t="e">
        <f t="shared" si="19"/>
        <v>#N/A</v>
      </c>
      <c r="X73" s="8" t="e" cm="1">
        <f t="array" ref="X73">IF(U73="","", IFERROR(((IF(U$5&lt;&gt;"", U$5*M$5, 0) + SUMPRODUCT(--(U$6:U73&lt;&gt;""), U$6:U73, (M$6:M73-M$5:M72)))/1000)/T$3, ""))</f>
        <v>#N/A</v>
      </c>
    </row>
    <row r="74" spans="1:24" x14ac:dyDescent="0.25">
      <c r="A74" s="1">
        <f t="shared" si="12"/>
        <v>700</v>
      </c>
      <c r="B74" s="1">
        <f t="shared" si="13"/>
        <v>0</v>
      </c>
      <c r="I74" s="1" t="e">
        <f t="shared" si="14"/>
        <v>#N/A</v>
      </c>
      <c r="J74" s="1" t="e">
        <f t="shared" si="10"/>
        <v>#N/A</v>
      </c>
      <c r="K74" s="1" t="e">
        <f t="shared" si="15"/>
        <v>#N/A</v>
      </c>
      <c r="L74" s="8" t="e" cm="1">
        <f t="array" ref="L74">IF(I74="","", IFERROR(((IF(I$5&lt;&gt;"", I$5*A$5, 0) + SUMPRODUCT(--(I$6:I74&lt;&gt;""), I$6:I74, (A$6:A74-A$5:A73)))/1000)/H$3, ""))</f>
        <v>#N/A</v>
      </c>
      <c r="M74" s="1">
        <f t="shared" si="16"/>
        <v>700</v>
      </c>
      <c r="N74" s="1">
        <f t="shared" si="17"/>
        <v>0</v>
      </c>
      <c r="U74" s="1" t="e">
        <f t="shared" si="18"/>
        <v>#N/A</v>
      </c>
      <c r="V74" s="1" t="e">
        <f t="shared" si="11"/>
        <v>#N/A</v>
      </c>
      <c r="W74" s="1" t="e">
        <f t="shared" si="19"/>
        <v>#N/A</v>
      </c>
      <c r="X74" s="8" t="e" cm="1">
        <f t="array" ref="X74">IF(U74="","", IFERROR(((IF(U$5&lt;&gt;"", U$5*M$5, 0) + SUMPRODUCT(--(U$6:U74&lt;&gt;""), U$6:U74, (M$6:M74-M$5:M73)))/1000)/T$3, ""))</f>
        <v>#N/A</v>
      </c>
    </row>
    <row r="75" spans="1:24" x14ac:dyDescent="0.25">
      <c r="A75" s="1">
        <f t="shared" si="12"/>
        <v>710</v>
      </c>
      <c r="B75" s="1">
        <f t="shared" si="13"/>
        <v>0</v>
      </c>
      <c r="I75" s="1" t="e">
        <f t="shared" si="14"/>
        <v>#N/A</v>
      </c>
      <c r="J75" s="1" t="e">
        <f t="shared" si="10"/>
        <v>#N/A</v>
      </c>
      <c r="K75" s="1" t="e">
        <f t="shared" si="15"/>
        <v>#N/A</v>
      </c>
      <c r="L75" s="8" t="e" cm="1">
        <f t="array" ref="L75">IF(I75="","", IFERROR(((IF(I$5&lt;&gt;"", I$5*A$5, 0) + SUMPRODUCT(--(I$6:I75&lt;&gt;""), I$6:I75, (A$6:A75-A$5:A74)))/1000)/H$3, ""))</f>
        <v>#N/A</v>
      </c>
      <c r="M75" s="1">
        <f t="shared" si="16"/>
        <v>710</v>
      </c>
      <c r="N75" s="1">
        <f t="shared" si="17"/>
        <v>0</v>
      </c>
      <c r="U75" s="1" t="e">
        <f t="shared" si="18"/>
        <v>#N/A</v>
      </c>
      <c r="V75" s="1" t="e">
        <f t="shared" si="11"/>
        <v>#N/A</v>
      </c>
      <c r="W75" s="1" t="e">
        <f t="shared" si="19"/>
        <v>#N/A</v>
      </c>
      <c r="X75" s="8" t="e" cm="1">
        <f t="array" ref="X75">IF(U75="","", IFERROR(((IF(U$5&lt;&gt;"", U$5*M$5, 0) + SUMPRODUCT(--(U$6:U75&lt;&gt;""), U$6:U75, (M$6:M75-M$5:M74)))/1000)/T$3, ""))</f>
        <v>#N/A</v>
      </c>
    </row>
    <row r="76" spans="1:24" x14ac:dyDescent="0.25">
      <c r="A76" s="1">
        <f t="shared" si="12"/>
        <v>720</v>
      </c>
      <c r="B76" s="1">
        <f t="shared" si="13"/>
        <v>0</v>
      </c>
      <c r="I76" s="1" t="e">
        <f t="shared" si="14"/>
        <v>#N/A</v>
      </c>
      <c r="J76" s="1" t="e">
        <f t="shared" si="10"/>
        <v>#N/A</v>
      </c>
      <c r="K76" s="1" t="e">
        <f t="shared" si="15"/>
        <v>#N/A</v>
      </c>
      <c r="L76" s="8" t="e" cm="1">
        <f t="array" ref="L76">IF(I76="","", IFERROR(((IF(I$5&lt;&gt;"", I$5*A$5, 0) + SUMPRODUCT(--(I$6:I76&lt;&gt;""), I$6:I76, (A$6:A76-A$5:A75)))/1000)/H$3, ""))</f>
        <v>#N/A</v>
      </c>
      <c r="M76" s="1">
        <f t="shared" si="16"/>
        <v>720</v>
      </c>
      <c r="N76" s="1">
        <f t="shared" si="17"/>
        <v>0</v>
      </c>
      <c r="U76" s="1" t="e">
        <f t="shared" si="18"/>
        <v>#N/A</v>
      </c>
      <c r="V76" s="1" t="e">
        <f t="shared" si="11"/>
        <v>#N/A</v>
      </c>
      <c r="W76" s="1" t="e">
        <f t="shared" si="19"/>
        <v>#N/A</v>
      </c>
      <c r="X76" s="8" t="e" cm="1">
        <f t="array" ref="X76">IF(U76="","", IFERROR(((IF(U$5&lt;&gt;"", U$5*M$5, 0) + SUMPRODUCT(--(U$6:U76&lt;&gt;""), U$6:U76, (M$6:M76-M$5:M75)))/1000)/T$3, ""))</f>
        <v>#N/A</v>
      </c>
    </row>
    <row r="77" spans="1:24" x14ac:dyDescent="0.25">
      <c r="A77" s="1">
        <f t="shared" si="12"/>
        <v>730</v>
      </c>
      <c r="B77" s="1">
        <f t="shared" si="13"/>
        <v>0</v>
      </c>
      <c r="I77" s="1" t="e">
        <f t="shared" si="14"/>
        <v>#N/A</v>
      </c>
      <c r="J77" s="1" t="e">
        <f t="shared" si="10"/>
        <v>#N/A</v>
      </c>
      <c r="K77" s="1" t="e">
        <f t="shared" si="15"/>
        <v>#N/A</v>
      </c>
      <c r="L77" s="8" t="e" cm="1">
        <f t="array" ref="L77">IF(I77="","", IFERROR(((IF(I$5&lt;&gt;"", I$5*A$5, 0) + SUMPRODUCT(--(I$6:I77&lt;&gt;""), I$6:I77, (A$6:A77-A$5:A76)))/1000)/H$3, ""))</f>
        <v>#N/A</v>
      </c>
      <c r="M77" s="1">
        <f t="shared" si="16"/>
        <v>730</v>
      </c>
      <c r="N77" s="1">
        <f t="shared" si="17"/>
        <v>0</v>
      </c>
      <c r="U77" s="1" t="e">
        <f t="shared" si="18"/>
        <v>#N/A</v>
      </c>
      <c r="V77" s="1" t="e">
        <f t="shared" si="11"/>
        <v>#N/A</v>
      </c>
      <c r="W77" s="1" t="e">
        <f t="shared" si="19"/>
        <v>#N/A</v>
      </c>
      <c r="X77" s="8" t="e" cm="1">
        <f t="array" ref="X77">IF(U77="","", IFERROR(((IF(U$5&lt;&gt;"", U$5*M$5, 0) + SUMPRODUCT(--(U$6:U77&lt;&gt;""), U$6:U77, (M$6:M77-M$5:M76)))/1000)/T$3, ""))</f>
        <v>#N/A</v>
      </c>
    </row>
    <row r="78" spans="1:24" x14ac:dyDescent="0.25">
      <c r="A78" s="1">
        <f t="shared" si="12"/>
        <v>740</v>
      </c>
      <c r="B78" s="1">
        <f t="shared" si="13"/>
        <v>0</v>
      </c>
      <c r="I78" s="1" t="e">
        <f t="shared" si="14"/>
        <v>#N/A</v>
      </c>
      <c r="J78" s="1" t="e">
        <f t="shared" si="10"/>
        <v>#N/A</v>
      </c>
      <c r="K78" s="1" t="e">
        <f t="shared" si="15"/>
        <v>#N/A</v>
      </c>
      <c r="L78" s="8" t="e" cm="1">
        <f t="array" ref="L78">IF(I78="","", IFERROR(((IF(I$5&lt;&gt;"", I$5*A$5, 0) + SUMPRODUCT(--(I$6:I78&lt;&gt;""), I$6:I78, (A$6:A78-A$5:A77)))/1000)/H$3, ""))</f>
        <v>#N/A</v>
      </c>
      <c r="M78" s="1">
        <f t="shared" si="16"/>
        <v>740</v>
      </c>
      <c r="N78" s="1">
        <f t="shared" si="17"/>
        <v>0</v>
      </c>
      <c r="U78" s="1" t="e">
        <f t="shared" si="18"/>
        <v>#N/A</v>
      </c>
      <c r="V78" s="1" t="e">
        <f t="shared" si="11"/>
        <v>#N/A</v>
      </c>
      <c r="W78" s="1" t="e">
        <f t="shared" si="19"/>
        <v>#N/A</v>
      </c>
      <c r="X78" s="8" t="e" cm="1">
        <f t="array" ref="X78">IF(U78="","", IFERROR(((IF(U$5&lt;&gt;"", U$5*M$5, 0) + SUMPRODUCT(--(U$6:U78&lt;&gt;""), U$6:U78, (M$6:M78-M$5:M77)))/1000)/T$3, ""))</f>
        <v>#N/A</v>
      </c>
    </row>
    <row r="79" spans="1:24" x14ac:dyDescent="0.25">
      <c r="A79" s="1">
        <f t="shared" si="12"/>
        <v>750</v>
      </c>
      <c r="B79" s="1">
        <f t="shared" si="13"/>
        <v>0</v>
      </c>
      <c r="I79" s="1" t="e">
        <f t="shared" si="14"/>
        <v>#N/A</v>
      </c>
      <c r="J79" s="1" t="e">
        <f t="shared" si="10"/>
        <v>#N/A</v>
      </c>
      <c r="K79" s="1" t="e">
        <f t="shared" si="15"/>
        <v>#N/A</v>
      </c>
      <c r="L79" s="8" t="e" cm="1">
        <f t="array" ref="L79">IF(I79="","", IFERROR(((IF(I$5&lt;&gt;"", I$5*A$5, 0) + SUMPRODUCT(--(I$6:I79&lt;&gt;""), I$6:I79, (A$6:A79-A$5:A78)))/1000)/H$3, ""))</f>
        <v>#N/A</v>
      </c>
      <c r="M79" s="1">
        <f t="shared" si="16"/>
        <v>750</v>
      </c>
      <c r="N79" s="1">
        <f t="shared" si="17"/>
        <v>0</v>
      </c>
      <c r="U79" s="1" t="e">
        <f t="shared" si="18"/>
        <v>#N/A</v>
      </c>
      <c r="V79" s="1" t="e">
        <f t="shared" si="11"/>
        <v>#N/A</v>
      </c>
      <c r="W79" s="1" t="e">
        <f t="shared" si="19"/>
        <v>#N/A</v>
      </c>
      <c r="X79" s="8" t="e" cm="1">
        <f t="array" ref="X79">IF(U79="","", IFERROR(((IF(U$5&lt;&gt;"", U$5*M$5, 0) + SUMPRODUCT(--(U$6:U79&lt;&gt;""), U$6:U79, (M$6:M79-M$5:M78)))/1000)/T$3, ""))</f>
        <v>#N/A</v>
      </c>
    </row>
    <row r="80" spans="1:24" x14ac:dyDescent="0.25">
      <c r="A80" s="1">
        <f t="shared" si="12"/>
        <v>760</v>
      </c>
      <c r="B80" s="1">
        <f t="shared" si="13"/>
        <v>0</v>
      </c>
      <c r="I80" s="1" t="e">
        <f t="shared" si="14"/>
        <v>#N/A</v>
      </c>
      <c r="J80" s="1" t="e">
        <f t="shared" si="10"/>
        <v>#N/A</v>
      </c>
      <c r="K80" s="1" t="e">
        <f t="shared" si="15"/>
        <v>#N/A</v>
      </c>
      <c r="L80" s="8" t="e" cm="1">
        <f t="array" ref="L80">IF(I80="","", IFERROR(((IF(I$5&lt;&gt;"", I$5*A$5, 0) + SUMPRODUCT(--(I$6:I80&lt;&gt;""), I$6:I80, (A$6:A80-A$5:A79)))/1000)/H$3, ""))</f>
        <v>#N/A</v>
      </c>
      <c r="M80" s="1">
        <f t="shared" si="16"/>
        <v>760</v>
      </c>
      <c r="N80" s="1">
        <f t="shared" si="17"/>
        <v>0</v>
      </c>
      <c r="U80" s="1" t="e">
        <f t="shared" si="18"/>
        <v>#N/A</v>
      </c>
      <c r="V80" s="1" t="e">
        <f t="shared" si="11"/>
        <v>#N/A</v>
      </c>
      <c r="W80" s="1" t="e">
        <f t="shared" si="19"/>
        <v>#N/A</v>
      </c>
      <c r="X80" s="8" t="e" cm="1">
        <f t="array" ref="X80">IF(U80="","", IFERROR(((IF(U$5&lt;&gt;"", U$5*M$5, 0) + SUMPRODUCT(--(U$6:U80&lt;&gt;""), U$6:U80, (M$6:M80-M$5:M79)))/1000)/T$3, ""))</f>
        <v>#N/A</v>
      </c>
    </row>
    <row r="81" spans="1:24" x14ac:dyDescent="0.25">
      <c r="A81" s="1">
        <f t="shared" si="12"/>
        <v>770</v>
      </c>
      <c r="B81" s="1">
        <f t="shared" si="13"/>
        <v>0</v>
      </c>
      <c r="I81" s="1" t="e">
        <f t="shared" si="14"/>
        <v>#N/A</v>
      </c>
      <c r="J81" s="1" t="e">
        <f t="shared" si="10"/>
        <v>#N/A</v>
      </c>
      <c r="K81" s="1" t="e">
        <f t="shared" si="15"/>
        <v>#N/A</v>
      </c>
      <c r="L81" s="8" t="e" cm="1">
        <f t="array" ref="L81">IF(I81="","", IFERROR(((IF(I$5&lt;&gt;"", I$5*A$5, 0) + SUMPRODUCT(--(I$6:I81&lt;&gt;""), I$6:I81, (A$6:A81-A$5:A80)))/1000)/H$3, ""))</f>
        <v>#N/A</v>
      </c>
      <c r="M81" s="1">
        <f t="shared" si="16"/>
        <v>770</v>
      </c>
      <c r="N81" s="1">
        <f t="shared" si="17"/>
        <v>0</v>
      </c>
      <c r="U81" s="1" t="e">
        <f t="shared" si="18"/>
        <v>#N/A</v>
      </c>
      <c r="V81" s="1" t="e">
        <f t="shared" si="11"/>
        <v>#N/A</v>
      </c>
      <c r="W81" s="1" t="e">
        <f t="shared" si="19"/>
        <v>#N/A</v>
      </c>
      <c r="X81" s="8" t="e" cm="1">
        <f t="array" ref="X81">IF(U81="","", IFERROR(((IF(U$5&lt;&gt;"", U$5*M$5, 0) + SUMPRODUCT(--(U$6:U81&lt;&gt;""), U$6:U81, (M$6:M81-M$5:M80)))/1000)/T$3, ""))</f>
        <v>#N/A</v>
      </c>
    </row>
    <row r="82" spans="1:24" x14ac:dyDescent="0.25">
      <c r="A82" s="1">
        <f t="shared" si="12"/>
        <v>780</v>
      </c>
      <c r="B82" s="1">
        <f t="shared" si="13"/>
        <v>0</v>
      </c>
      <c r="I82" s="1" t="e">
        <f t="shared" si="14"/>
        <v>#N/A</v>
      </c>
      <c r="J82" s="1" t="e">
        <f t="shared" si="10"/>
        <v>#N/A</v>
      </c>
      <c r="K82" s="1" t="e">
        <f t="shared" si="15"/>
        <v>#N/A</v>
      </c>
      <c r="L82" s="8" t="e" cm="1">
        <f t="array" ref="L82">IF(I82="","", IFERROR(((IF(I$5&lt;&gt;"", I$5*A$5, 0) + SUMPRODUCT(--(I$6:I82&lt;&gt;""), I$6:I82, (A$6:A82-A$5:A81)))/1000)/H$3, ""))</f>
        <v>#N/A</v>
      </c>
      <c r="M82" s="1">
        <f t="shared" si="16"/>
        <v>780</v>
      </c>
      <c r="N82" s="1">
        <f t="shared" si="17"/>
        <v>0</v>
      </c>
      <c r="U82" s="1" t="e">
        <f t="shared" si="18"/>
        <v>#N/A</v>
      </c>
      <c r="V82" s="1" t="e">
        <f t="shared" si="11"/>
        <v>#N/A</v>
      </c>
      <c r="W82" s="1" t="e">
        <f t="shared" si="19"/>
        <v>#N/A</v>
      </c>
      <c r="X82" s="8" t="e" cm="1">
        <f t="array" ref="X82">IF(U82="","", IFERROR(((IF(U$5&lt;&gt;"", U$5*M$5, 0) + SUMPRODUCT(--(U$6:U82&lt;&gt;""), U$6:U82, (M$6:M82-M$5:M81)))/1000)/T$3, ""))</f>
        <v>#N/A</v>
      </c>
    </row>
    <row r="83" spans="1:24" x14ac:dyDescent="0.25">
      <c r="A83" s="1">
        <f t="shared" si="12"/>
        <v>790</v>
      </c>
      <c r="B83" s="1">
        <f t="shared" si="13"/>
        <v>0</v>
      </c>
      <c r="I83" s="1" t="e">
        <f t="shared" si="14"/>
        <v>#N/A</v>
      </c>
      <c r="J83" s="1" t="e">
        <f t="shared" si="10"/>
        <v>#N/A</v>
      </c>
      <c r="K83" s="1" t="e">
        <f t="shared" si="15"/>
        <v>#N/A</v>
      </c>
      <c r="L83" s="8" t="e" cm="1">
        <f t="array" ref="L83">IF(I83="","", IFERROR(((IF(I$5&lt;&gt;"", I$5*A$5, 0) + SUMPRODUCT(--(I$6:I83&lt;&gt;""), I$6:I83, (A$6:A83-A$5:A82)))/1000)/H$3, ""))</f>
        <v>#N/A</v>
      </c>
      <c r="M83" s="1">
        <f t="shared" si="16"/>
        <v>790</v>
      </c>
      <c r="N83" s="1">
        <f t="shared" si="17"/>
        <v>0</v>
      </c>
      <c r="U83" s="1" t="e">
        <f t="shared" si="18"/>
        <v>#N/A</v>
      </c>
      <c r="V83" s="1" t="e">
        <f t="shared" si="11"/>
        <v>#N/A</v>
      </c>
      <c r="W83" s="1" t="e">
        <f t="shared" si="19"/>
        <v>#N/A</v>
      </c>
      <c r="X83" s="8" t="e" cm="1">
        <f t="array" ref="X83">IF(U83="","", IFERROR(((IF(U$5&lt;&gt;"", U$5*M$5, 0) + SUMPRODUCT(--(U$6:U83&lt;&gt;""), U$6:U83, (M$6:M83-M$5:M82)))/1000)/T$3, ""))</f>
        <v>#N/A</v>
      </c>
    </row>
    <row r="84" spans="1:24" x14ac:dyDescent="0.25">
      <c r="A84" s="1">
        <f t="shared" si="12"/>
        <v>800</v>
      </c>
      <c r="B84" s="1">
        <f t="shared" si="13"/>
        <v>0</v>
      </c>
      <c r="I84" s="1" t="e">
        <f t="shared" si="14"/>
        <v>#N/A</v>
      </c>
      <c r="J84" s="1" t="e">
        <f t="shared" si="10"/>
        <v>#N/A</v>
      </c>
      <c r="K84" s="1" t="e">
        <f t="shared" si="15"/>
        <v>#N/A</v>
      </c>
      <c r="L84" s="8" t="e" cm="1">
        <f t="array" ref="L84">IF(I84="","", IFERROR(((IF(I$5&lt;&gt;"", I$5*A$5, 0) + SUMPRODUCT(--(I$6:I84&lt;&gt;""), I$6:I84, (A$6:A84-A$5:A83)))/1000)/H$3, ""))</f>
        <v>#N/A</v>
      </c>
      <c r="M84" s="1">
        <f t="shared" si="16"/>
        <v>800</v>
      </c>
      <c r="N84" s="1">
        <f t="shared" si="17"/>
        <v>0</v>
      </c>
      <c r="U84" s="1" t="e">
        <f t="shared" si="18"/>
        <v>#N/A</v>
      </c>
      <c r="V84" s="1" t="e">
        <f t="shared" si="11"/>
        <v>#N/A</v>
      </c>
      <c r="W84" s="1" t="e">
        <f t="shared" si="19"/>
        <v>#N/A</v>
      </c>
      <c r="X84" s="8" t="e" cm="1">
        <f t="array" ref="X84">IF(U84="","", IFERROR(((IF(U$5&lt;&gt;"", U$5*M$5, 0) + SUMPRODUCT(--(U$6:U84&lt;&gt;""), U$6:U84, (M$6:M84-M$5:M83)))/1000)/T$3, ""))</f>
        <v>#N/A</v>
      </c>
    </row>
    <row r="85" spans="1:24" x14ac:dyDescent="0.25">
      <c r="A85" s="1">
        <f t="shared" si="12"/>
        <v>810</v>
      </c>
      <c r="B85" s="1">
        <f t="shared" si="13"/>
        <v>0</v>
      </c>
      <c r="I85" s="1" t="e">
        <f t="shared" si="14"/>
        <v>#N/A</v>
      </c>
      <c r="J85" s="1" t="e">
        <f t="shared" si="10"/>
        <v>#N/A</v>
      </c>
      <c r="K85" s="1" t="e">
        <f t="shared" si="15"/>
        <v>#N/A</v>
      </c>
      <c r="L85" s="8" t="e" cm="1">
        <f t="array" ref="L85">IF(I85="","", IFERROR(((IF(I$5&lt;&gt;"", I$5*A$5, 0) + SUMPRODUCT(--(I$6:I85&lt;&gt;""), I$6:I85, (A$6:A85-A$5:A84)))/1000)/H$3, ""))</f>
        <v>#N/A</v>
      </c>
      <c r="M85" s="1">
        <f t="shared" si="16"/>
        <v>810</v>
      </c>
      <c r="N85" s="1">
        <f t="shared" si="17"/>
        <v>0</v>
      </c>
      <c r="U85" s="1" t="e">
        <f t="shared" si="18"/>
        <v>#N/A</v>
      </c>
      <c r="V85" s="1" t="e">
        <f t="shared" si="11"/>
        <v>#N/A</v>
      </c>
      <c r="W85" s="1" t="e">
        <f t="shared" si="19"/>
        <v>#N/A</v>
      </c>
      <c r="X85" s="8" t="e" cm="1">
        <f t="array" ref="X85">IF(U85="","", IFERROR(((IF(U$5&lt;&gt;"", U$5*M$5, 0) + SUMPRODUCT(--(U$6:U85&lt;&gt;""), U$6:U85, (M$6:M85-M$5:M84)))/1000)/T$3, ""))</f>
        <v>#N/A</v>
      </c>
    </row>
    <row r="86" spans="1:24" x14ac:dyDescent="0.25">
      <c r="A86" s="1">
        <f t="shared" si="12"/>
        <v>820</v>
      </c>
      <c r="B86" s="1">
        <f t="shared" si="13"/>
        <v>0</v>
      </c>
      <c r="I86" s="1" t="e">
        <f t="shared" si="14"/>
        <v>#N/A</v>
      </c>
      <c r="J86" s="1" t="e">
        <f t="shared" si="10"/>
        <v>#N/A</v>
      </c>
      <c r="K86" s="1" t="e">
        <f t="shared" si="15"/>
        <v>#N/A</v>
      </c>
      <c r="L86" s="8" t="e" cm="1">
        <f t="array" ref="L86">IF(I86="","", IFERROR(((IF(I$5&lt;&gt;"", I$5*A$5, 0) + SUMPRODUCT(--(I$6:I86&lt;&gt;""), I$6:I86, (A$6:A86-A$5:A85)))/1000)/H$3, ""))</f>
        <v>#N/A</v>
      </c>
      <c r="M86" s="1">
        <f t="shared" si="16"/>
        <v>820</v>
      </c>
      <c r="N86" s="1">
        <f t="shared" si="17"/>
        <v>0</v>
      </c>
      <c r="U86" s="1" t="e">
        <f t="shared" si="18"/>
        <v>#N/A</v>
      </c>
      <c r="V86" s="1" t="e">
        <f t="shared" si="11"/>
        <v>#N/A</v>
      </c>
      <c r="W86" s="1" t="e">
        <f t="shared" si="19"/>
        <v>#N/A</v>
      </c>
      <c r="X86" s="8" t="e" cm="1">
        <f t="array" ref="X86">IF(U86="","", IFERROR(((IF(U$5&lt;&gt;"", U$5*M$5, 0) + SUMPRODUCT(--(U$6:U86&lt;&gt;""), U$6:U86, (M$6:M86-M$5:M85)))/1000)/T$3, ""))</f>
        <v>#N/A</v>
      </c>
    </row>
    <row r="87" spans="1:24" x14ac:dyDescent="0.25">
      <c r="A87" s="1">
        <f t="shared" si="12"/>
        <v>830</v>
      </c>
      <c r="B87" s="1">
        <f t="shared" si="13"/>
        <v>0</v>
      </c>
      <c r="I87" s="1" t="e">
        <f t="shared" si="14"/>
        <v>#N/A</v>
      </c>
      <c r="J87" s="1" t="e">
        <f t="shared" si="10"/>
        <v>#N/A</v>
      </c>
      <c r="K87" s="1" t="e">
        <f t="shared" si="15"/>
        <v>#N/A</v>
      </c>
      <c r="L87" s="8" t="e" cm="1">
        <f t="array" ref="L87">IF(I87="","", IFERROR(((IF(I$5&lt;&gt;"", I$5*A$5, 0) + SUMPRODUCT(--(I$6:I87&lt;&gt;""), I$6:I87, (A$6:A87-A$5:A86)))/1000)/H$3, ""))</f>
        <v>#N/A</v>
      </c>
      <c r="M87" s="1">
        <f t="shared" si="16"/>
        <v>830</v>
      </c>
      <c r="N87" s="1">
        <f t="shared" si="17"/>
        <v>0</v>
      </c>
      <c r="U87" s="1" t="e">
        <f t="shared" si="18"/>
        <v>#N/A</v>
      </c>
      <c r="V87" s="1" t="e">
        <f t="shared" si="11"/>
        <v>#N/A</v>
      </c>
      <c r="W87" s="1" t="e">
        <f t="shared" si="19"/>
        <v>#N/A</v>
      </c>
      <c r="X87" s="8" t="e" cm="1">
        <f t="array" ref="X87">IF(U87="","", IFERROR(((IF(U$5&lt;&gt;"", U$5*M$5, 0) + SUMPRODUCT(--(U$6:U87&lt;&gt;""), U$6:U87, (M$6:M87-M$5:M86)))/1000)/T$3, ""))</f>
        <v>#N/A</v>
      </c>
    </row>
    <row r="88" spans="1:24" x14ac:dyDescent="0.25">
      <c r="A88" s="1">
        <f t="shared" si="12"/>
        <v>840</v>
      </c>
      <c r="B88" s="1">
        <f t="shared" si="13"/>
        <v>0</v>
      </c>
      <c r="I88" s="1" t="e">
        <f t="shared" si="14"/>
        <v>#N/A</v>
      </c>
      <c r="J88" s="1" t="e">
        <f t="shared" si="10"/>
        <v>#N/A</v>
      </c>
      <c r="K88" s="1" t="e">
        <f t="shared" si="15"/>
        <v>#N/A</v>
      </c>
      <c r="L88" s="8" t="e" cm="1">
        <f t="array" ref="L88">IF(I88="","", IFERROR(((IF(I$5&lt;&gt;"", I$5*A$5, 0) + SUMPRODUCT(--(I$6:I88&lt;&gt;""), I$6:I88, (A$6:A88-A$5:A87)))/1000)/H$3, ""))</f>
        <v>#N/A</v>
      </c>
      <c r="M88" s="1">
        <f t="shared" si="16"/>
        <v>840</v>
      </c>
      <c r="N88" s="1">
        <f t="shared" si="17"/>
        <v>0</v>
      </c>
      <c r="U88" s="1" t="e">
        <f t="shared" si="18"/>
        <v>#N/A</v>
      </c>
      <c r="V88" s="1" t="e">
        <f t="shared" si="11"/>
        <v>#N/A</v>
      </c>
      <c r="W88" s="1" t="e">
        <f t="shared" si="19"/>
        <v>#N/A</v>
      </c>
      <c r="X88" s="8" t="e" cm="1">
        <f t="array" ref="X88">IF(U88="","", IFERROR(((IF(U$5&lt;&gt;"", U$5*M$5, 0) + SUMPRODUCT(--(U$6:U88&lt;&gt;""), U$6:U88, (M$6:M88-M$5:M87)))/1000)/T$3, ""))</f>
        <v>#N/A</v>
      </c>
    </row>
    <row r="89" spans="1:24" x14ac:dyDescent="0.25">
      <c r="A89" s="1">
        <f t="shared" si="12"/>
        <v>850</v>
      </c>
      <c r="B89" s="1">
        <f t="shared" si="13"/>
        <v>0</v>
      </c>
      <c r="I89" s="1" t="e">
        <f t="shared" si="14"/>
        <v>#N/A</v>
      </c>
      <c r="J89" s="1" t="e">
        <f t="shared" si="10"/>
        <v>#N/A</v>
      </c>
      <c r="K89" s="1" t="e">
        <f t="shared" si="15"/>
        <v>#N/A</v>
      </c>
      <c r="L89" s="8" t="e" cm="1">
        <f t="array" ref="L89">IF(I89="","", IFERROR(((IF(I$5&lt;&gt;"", I$5*A$5, 0) + SUMPRODUCT(--(I$6:I89&lt;&gt;""), I$6:I89, (A$6:A89-A$5:A88)))/1000)/H$3, ""))</f>
        <v>#N/A</v>
      </c>
      <c r="M89" s="1">
        <f t="shared" si="16"/>
        <v>850</v>
      </c>
      <c r="N89" s="1">
        <f t="shared" si="17"/>
        <v>0</v>
      </c>
      <c r="U89" s="1" t="e">
        <f t="shared" si="18"/>
        <v>#N/A</v>
      </c>
      <c r="V89" s="1" t="e">
        <f t="shared" si="11"/>
        <v>#N/A</v>
      </c>
      <c r="W89" s="1" t="e">
        <f t="shared" si="19"/>
        <v>#N/A</v>
      </c>
      <c r="X89" s="8" t="e" cm="1">
        <f t="array" ref="X89">IF(U89="","", IFERROR(((IF(U$5&lt;&gt;"", U$5*M$5, 0) + SUMPRODUCT(--(U$6:U89&lt;&gt;""), U$6:U89, (M$6:M89-M$5:M88)))/1000)/T$3, ""))</f>
        <v>#N/A</v>
      </c>
    </row>
    <row r="90" spans="1:24" x14ac:dyDescent="0.25">
      <c r="A90" s="1">
        <f t="shared" si="12"/>
        <v>860</v>
      </c>
      <c r="B90" s="1">
        <f t="shared" si="13"/>
        <v>0</v>
      </c>
      <c r="I90" s="1" t="e">
        <f t="shared" si="14"/>
        <v>#N/A</v>
      </c>
      <c r="J90" s="1" t="e">
        <f t="shared" si="10"/>
        <v>#N/A</v>
      </c>
      <c r="K90" s="1" t="e">
        <f t="shared" si="15"/>
        <v>#N/A</v>
      </c>
      <c r="L90" s="8" t="e" cm="1">
        <f t="array" ref="L90">IF(I90="","", IFERROR(((IF(I$5&lt;&gt;"", I$5*A$5, 0) + SUMPRODUCT(--(I$6:I90&lt;&gt;""), I$6:I90, (A$6:A90-A$5:A89)))/1000)/H$3, ""))</f>
        <v>#N/A</v>
      </c>
      <c r="M90" s="1">
        <f t="shared" si="16"/>
        <v>860</v>
      </c>
      <c r="N90" s="1">
        <f t="shared" si="17"/>
        <v>0</v>
      </c>
      <c r="U90" s="1" t="e">
        <f t="shared" si="18"/>
        <v>#N/A</v>
      </c>
      <c r="V90" s="1" t="e">
        <f t="shared" si="11"/>
        <v>#N/A</v>
      </c>
      <c r="W90" s="1" t="e">
        <f t="shared" si="19"/>
        <v>#N/A</v>
      </c>
      <c r="X90" s="8" t="e" cm="1">
        <f t="array" ref="X90">IF(U90="","", IFERROR(((IF(U$5&lt;&gt;"", U$5*M$5, 0) + SUMPRODUCT(--(U$6:U90&lt;&gt;""), U$6:U90, (M$6:M90-M$5:M89)))/1000)/T$3, ""))</f>
        <v>#N/A</v>
      </c>
    </row>
    <row r="91" spans="1:24" x14ac:dyDescent="0.25">
      <c r="A91" s="1">
        <f t="shared" si="12"/>
        <v>870</v>
      </c>
      <c r="B91" s="1">
        <f t="shared" si="13"/>
        <v>0</v>
      </c>
      <c r="I91" s="1" t="e">
        <f t="shared" si="14"/>
        <v>#N/A</v>
      </c>
      <c r="J91" s="1" t="e">
        <f t="shared" si="10"/>
        <v>#N/A</v>
      </c>
      <c r="K91" s="1" t="e">
        <f t="shared" si="15"/>
        <v>#N/A</v>
      </c>
      <c r="L91" s="8" t="e" cm="1">
        <f t="array" ref="L91">IF(I91="","", IFERROR(((IF(I$5&lt;&gt;"", I$5*A$5, 0) + SUMPRODUCT(--(I$6:I91&lt;&gt;""), I$6:I91, (A$6:A91-A$5:A90)))/1000)/H$3, ""))</f>
        <v>#N/A</v>
      </c>
      <c r="M91" s="1">
        <f t="shared" si="16"/>
        <v>870</v>
      </c>
      <c r="N91" s="1">
        <f t="shared" si="17"/>
        <v>0</v>
      </c>
      <c r="U91" s="1" t="e">
        <f t="shared" si="18"/>
        <v>#N/A</v>
      </c>
      <c r="V91" s="1" t="e">
        <f t="shared" si="11"/>
        <v>#N/A</v>
      </c>
      <c r="W91" s="1" t="e">
        <f t="shared" si="19"/>
        <v>#N/A</v>
      </c>
      <c r="X91" s="8" t="e" cm="1">
        <f t="array" ref="X91">IF(U91="","", IFERROR(((IF(U$5&lt;&gt;"", U$5*M$5, 0) + SUMPRODUCT(--(U$6:U91&lt;&gt;""), U$6:U91, (M$6:M91-M$5:M90)))/1000)/T$3, ""))</f>
        <v>#N/A</v>
      </c>
    </row>
    <row r="92" spans="1:24" x14ac:dyDescent="0.25">
      <c r="A92" s="1">
        <f t="shared" si="12"/>
        <v>880</v>
      </c>
      <c r="B92" s="1">
        <f t="shared" si="13"/>
        <v>0</v>
      </c>
      <c r="I92" s="1" t="e">
        <f t="shared" si="14"/>
        <v>#N/A</v>
      </c>
      <c r="J92" s="1" t="e">
        <f t="shared" si="10"/>
        <v>#N/A</v>
      </c>
      <c r="K92" s="1" t="e">
        <f t="shared" si="15"/>
        <v>#N/A</v>
      </c>
      <c r="L92" s="8" t="e" cm="1">
        <f t="array" ref="L92">IF(I92="","", IFERROR(((IF(I$5&lt;&gt;"", I$5*A$5, 0) + SUMPRODUCT(--(I$6:I92&lt;&gt;""), I$6:I92, (A$6:A92-A$5:A91)))/1000)/H$3, ""))</f>
        <v>#N/A</v>
      </c>
      <c r="M92" s="1">
        <f t="shared" si="16"/>
        <v>880</v>
      </c>
      <c r="N92" s="1">
        <f t="shared" si="17"/>
        <v>0</v>
      </c>
      <c r="U92" s="1" t="e">
        <f t="shared" si="18"/>
        <v>#N/A</v>
      </c>
      <c r="V92" s="1" t="e">
        <f t="shared" si="11"/>
        <v>#N/A</v>
      </c>
      <c r="W92" s="1" t="e">
        <f t="shared" si="19"/>
        <v>#N/A</v>
      </c>
      <c r="X92" s="8" t="e" cm="1">
        <f t="array" ref="X92">IF(U92="","", IFERROR(((IF(U$5&lt;&gt;"", U$5*M$5, 0) + SUMPRODUCT(--(U$6:U92&lt;&gt;""), U$6:U92, (M$6:M92-M$5:M91)))/1000)/T$3, ""))</f>
        <v>#N/A</v>
      </c>
    </row>
    <row r="93" spans="1:24" x14ac:dyDescent="0.25">
      <c r="A93" s="1">
        <f t="shared" si="12"/>
        <v>890</v>
      </c>
      <c r="B93" s="1">
        <f t="shared" si="13"/>
        <v>0</v>
      </c>
      <c r="I93" s="1" t="e">
        <f t="shared" si="14"/>
        <v>#N/A</v>
      </c>
      <c r="J93" s="1" t="e">
        <f t="shared" si="10"/>
        <v>#N/A</v>
      </c>
      <c r="K93" s="1" t="e">
        <f t="shared" si="15"/>
        <v>#N/A</v>
      </c>
      <c r="L93" s="8" t="e" cm="1">
        <f t="array" ref="L93">IF(I93="","", IFERROR(((IF(I$5&lt;&gt;"", I$5*A$5, 0) + SUMPRODUCT(--(I$6:I93&lt;&gt;""), I$6:I93, (A$6:A93-A$5:A92)))/1000)/H$3, ""))</f>
        <v>#N/A</v>
      </c>
      <c r="M93" s="1">
        <f t="shared" si="16"/>
        <v>890</v>
      </c>
      <c r="N93" s="1">
        <f t="shared" si="17"/>
        <v>0</v>
      </c>
      <c r="U93" s="1" t="e">
        <f t="shared" si="18"/>
        <v>#N/A</v>
      </c>
      <c r="V93" s="1" t="e">
        <f t="shared" si="11"/>
        <v>#N/A</v>
      </c>
      <c r="W93" s="1" t="e">
        <f t="shared" si="19"/>
        <v>#N/A</v>
      </c>
      <c r="X93" s="8" t="e" cm="1">
        <f t="array" ref="X93">IF(U93="","", IFERROR(((IF(U$5&lt;&gt;"", U$5*M$5, 0) + SUMPRODUCT(--(U$6:U93&lt;&gt;""), U$6:U93, (M$6:M93-M$5:M92)))/1000)/T$3, ""))</f>
        <v>#N/A</v>
      </c>
    </row>
    <row r="94" spans="1:24" x14ac:dyDescent="0.25">
      <c r="A94" s="1">
        <f t="shared" si="12"/>
        <v>900</v>
      </c>
      <c r="B94" s="1">
        <f t="shared" si="13"/>
        <v>0</v>
      </c>
      <c r="I94" s="1" t="e">
        <f t="shared" si="14"/>
        <v>#N/A</v>
      </c>
      <c r="J94" s="1" t="e">
        <f t="shared" si="10"/>
        <v>#N/A</v>
      </c>
      <c r="K94" s="1" t="e">
        <f t="shared" si="15"/>
        <v>#N/A</v>
      </c>
      <c r="L94" s="8" t="e" cm="1">
        <f t="array" ref="L94">IF(I94="","", IFERROR(((IF(I$5&lt;&gt;"", I$5*A$5, 0) + SUMPRODUCT(--(I$6:I94&lt;&gt;""), I$6:I94, (A$6:A94-A$5:A93)))/1000)/H$3, ""))</f>
        <v>#N/A</v>
      </c>
      <c r="M94" s="1">
        <f t="shared" si="16"/>
        <v>900</v>
      </c>
      <c r="N94" s="1">
        <f t="shared" si="17"/>
        <v>0</v>
      </c>
      <c r="U94" s="1" t="e">
        <f t="shared" si="18"/>
        <v>#N/A</v>
      </c>
      <c r="V94" s="1" t="e">
        <f t="shared" si="11"/>
        <v>#N/A</v>
      </c>
      <c r="W94" s="1" t="e">
        <f t="shared" si="19"/>
        <v>#N/A</v>
      </c>
      <c r="X94" s="8" t="e" cm="1">
        <f t="array" ref="X94">IF(U94="","", IFERROR(((IF(U$5&lt;&gt;"", U$5*M$5, 0) + SUMPRODUCT(--(U$6:U94&lt;&gt;""), U$6:U94, (M$6:M94-M$5:M93)))/1000)/T$3, ""))</f>
        <v>#N/A</v>
      </c>
    </row>
    <row r="95" spans="1:24" x14ac:dyDescent="0.25">
      <c r="A95" s="1">
        <f t="shared" si="12"/>
        <v>910</v>
      </c>
      <c r="B95" s="1">
        <f t="shared" si="13"/>
        <v>0</v>
      </c>
      <c r="I95" s="1" t="e">
        <f t="shared" si="14"/>
        <v>#N/A</v>
      </c>
      <c r="J95" s="1" t="e">
        <f t="shared" si="10"/>
        <v>#N/A</v>
      </c>
      <c r="K95" s="1" t="e">
        <f t="shared" si="15"/>
        <v>#N/A</v>
      </c>
      <c r="L95" s="8" t="e" cm="1">
        <f t="array" ref="L95">IF(I95="","", IFERROR(((IF(I$5&lt;&gt;"", I$5*A$5, 0) + SUMPRODUCT(--(I$6:I95&lt;&gt;""), I$6:I95, (A$6:A95-A$5:A94)))/1000)/H$3, ""))</f>
        <v>#N/A</v>
      </c>
      <c r="M95" s="1">
        <f t="shared" si="16"/>
        <v>910</v>
      </c>
      <c r="N95" s="1">
        <f t="shared" si="17"/>
        <v>0</v>
      </c>
      <c r="U95" s="1" t="e">
        <f t="shared" si="18"/>
        <v>#N/A</v>
      </c>
      <c r="V95" s="1" t="e">
        <f t="shared" si="11"/>
        <v>#N/A</v>
      </c>
      <c r="W95" s="1" t="e">
        <f t="shared" si="19"/>
        <v>#N/A</v>
      </c>
      <c r="X95" s="8" t="e" cm="1">
        <f t="array" ref="X95">IF(U95="","", IFERROR(((IF(U$5&lt;&gt;"", U$5*M$5, 0) + SUMPRODUCT(--(U$6:U95&lt;&gt;""), U$6:U95, (M$6:M95-M$5:M94)))/1000)/T$3, ""))</f>
        <v>#N/A</v>
      </c>
    </row>
    <row r="96" spans="1:24" x14ac:dyDescent="0.25">
      <c r="A96" s="1">
        <f t="shared" si="12"/>
        <v>920</v>
      </c>
      <c r="B96" s="1">
        <f t="shared" si="13"/>
        <v>0</v>
      </c>
      <c r="I96" s="1" t="e">
        <f t="shared" si="14"/>
        <v>#N/A</v>
      </c>
      <c r="J96" s="1" t="e">
        <f t="shared" si="10"/>
        <v>#N/A</v>
      </c>
      <c r="K96" s="1" t="e">
        <f t="shared" si="15"/>
        <v>#N/A</v>
      </c>
      <c r="L96" s="8" t="e" cm="1">
        <f t="array" ref="L96">IF(I96="","", IFERROR(((IF(I$5&lt;&gt;"", I$5*A$5, 0) + SUMPRODUCT(--(I$6:I96&lt;&gt;""), I$6:I96, (A$6:A96-A$5:A95)))/1000)/H$3, ""))</f>
        <v>#N/A</v>
      </c>
      <c r="M96" s="1">
        <f t="shared" si="16"/>
        <v>920</v>
      </c>
      <c r="N96" s="1">
        <f t="shared" si="17"/>
        <v>0</v>
      </c>
      <c r="U96" s="1" t="e">
        <f t="shared" si="18"/>
        <v>#N/A</v>
      </c>
      <c r="V96" s="1" t="e">
        <f t="shared" si="11"/>
        <v>#N/A</v>
      </c>
      <c r="W96" s="1" t="e">
        <f t="shared" si="19"/>
        <v>#N/A</v>
      </c>
      <c r="X96" s="8" t="e" cm="1">
        <f t="array" ref="X96">IF(U96="","", IFERROR(((IF(U$5&lt;&gt;"", U$5*M$5, 0) + SUMPRODUCT(--(U$6:U96&lt;&gt;""), U$6:U96, (M$6:M96-M$5:M95)))/1000)/T$3, ""))</f>
        <v>#N/A</v>
      </c>
    </row>
    <row r="97" spans="1:24" x14ac:dyDescent="0.25">
      <c r="A97" s="1">
        <f t="shared" si="12"/>
        <v>930</v>
      </c>
      <c r="B97" s="1">
        <f t="shared" si="13"/>
        <v>0</v>
      </c>
      <c r="I97" s="1" t="e">
        <f t="shared" si="14"/>
        <v>#N/A</v>
      </c>
      <c r="J97" s="1" t="e">
        <f t="shared" si="10"/>
        <v>#N/A</v>
      </c>
      <c r="K97" s="1" t="e">
        <f t="shared" si="15"/>
        <v>#N/A</v>
      </c>
      <c r="L97" s="8" t="e" cm="1">
        <f t="array" ref="L97">IF(I97="","", IFERROR(((IF(I$5&lt;&gt;"", I$5*A$5, 0) + SUMPRODUCT(--(I$6:I97&lt;&gt;""), I$6:I97, (A$6:A97-A$5:A96)))/1000)/H$3, ""))</f>
        <v>#N/A</v>
      </c>
      <c r="M97" s="1">
        <f t="shared" si="16"/>
        <v>930</v>
      </c>
      <c r="N97" s="1">
        <f t="shared" si="17"/>
        <v>0</v>
      </c>
      <c r="U97" s="1" t="e">
        <f t="shared" si="18"/>
        <v>#N/A</v>
      </c>
      <c r="V97" s="1" t="e">
        <f t="shared" si="11"/>
        <v>#N/A</v>
      </c>
      <c r="W97" s="1" t="e">
        <f t="shared" si="19"/>
        <v>#N/A</v>
      </c>
      <c r="X97" s="8" t="e" cm="1">
        <f t="array" ref="X97">IF(U97="","", IFERROR(((IF(U$5&lt;&gt;"", U$5*M$5, 0) + SUMPRODUCT(--(U$6:U97&lt;&gt;""), U$6:U97, (M$6:M97-M$5:M96)))/1000)/T$3, ""))</f>
        <v>#N/A</v>
      </c>
    </row>
    <row r="98" spans="1:24" x14ac:dyDescent="0.25">
      <c r="A98" s="1">
        <f t="shared" si="12"/>
        <v>940</v>
      </c>
      <c r="B98" s="1">
        <f t="shared" si="13"/>
        <v>0</v>
      </c>
      <c r="I98" s="1" t="e">
        <f t="shared" si="14"/>
        <v>#N/A</v>
      </c>
      <c r="J98" s="1" t="e">
        <f t="shared" si="10"/>
        <v>#N/A</v>
      </c>
      <c r="K98" s="1" t="e">
        <f t="shared" si="15"/>
        <v>#N/A</v>
      </c>
      <c r="L98" s="8" t="e" cm="1">
        <f t="array" ref="L98">IF(I98="","", IFERROR(((IF(I$5&lt;&gt;"", I$5*A$5, 0) + SUMPRODUCT(--(I$6:I98&lt;&gt;""), I$6:I98, (A$6:A98-A$5:A97)))/1000)/H$3, ""))</f>
        <v>#N/A</v>
      </c>
      <c r="M98" s="1">
        <f t="shared" si="16"/>
        <v>940</v>
      </c>
      <c r="N98" s="1">
        <f t="shared" si="17"/>
        <v>0</v>
      </c>
      <c r="U98" s="1" t="e">
        <f t="shared" si="18"/>
        <v>#N/A</v>
      </c>
      <c r="V98" s="1" t="e">
        <f t="shared" si="11"/>
        <v>#N/A</v>
      </c>
      <c r="W98" s="1" t="e">
        <f t="shared" si="19"/>
        <v>#N/A</v>
      </c>
      <c r="X98" s="8" t="e" cm="1">
        <f t="array" ref="X98">IF(U98="","", IFERROR(((IF(U$5&lt;&gt;"", U$5*M$5, 0) + SUMPRODUCT(--(U$6:U98&lt;&gt;""), U$6:U98, (M$6:M98-M$5:M97)))/1000)/T$3, ""))</f>
        <v>#N/A</v>
      </c>
    </row>
    <row r="99" spans="1:24" x14ac:dyDescent="0.25">
      <c r="A99" s="1">
        <f t="shared" si="12"/>
        <v>950</v>
      </c>
      <c r="B99" s="1">
        <f t="shared" si="13"/>
        <v>0</v>
      </c>
      <c r="I99" s="1" t="e">
        <f t="shared" si="14"/>
        <v>#N/A</v>
      </c>
      <c r="J99" s="1" t="e">
        <f t="shared" si="10"/>
        <v>#N/A</v>
      </c>
      <c r="K99" s="1" t="e">
        <f t="shared" si="15"/>
        <v>#N/A</v>
      </c>
      <c r="L99" s="8" t="e" cm="1">
        <f t="array" ref="L99">IF(I99="","", IFERROR(((IF(I$5&lt;&gt;"", I$5*A$5, 0) + SUMPRODUCT(--(I$6:I99&lt;&gt;""), I$6:I99, (A$6:A99-A$5:A98)))/1000)/H$3, ""))</f>
        <v>#N/A</v>
      </c>
      <c r="M99" s="1">
        <f t="shared" si="16"/>
        <v>950</v>
      </c>
      <c r="N99" s="1">
        <f t="shared" si="17"/>
        <v>0</v>
      </c>
      <c r="U99" s="1" t="e">
        <f t="shared" si="18"/>
        <v>#N/A</v>
      </c>
      <c r="V99" s="1" t="e">
        <f t="shared" si="11"/>
        <v>#N/A</v>
      </c>
      <c r="W99" s="1" t="e">
        <f t="shared" si="19"/>
        <v>#N/A</v>
      </c>
      <c r="X99" s="8" t="e" cm="1">
        <f t="array" ref="X99">IF(U99="","", IFERROR(((IF(U$5&lt;&gt;"", U$5*M$5, 0) + SUMPRODUCT(--(U$6:U99&lt;&gt;""), U$6:U99, (M$6:M99-M$5:M98)))/1000)/T$3, ""))</f>
        <v>#N/A</v>
      </c>
    </row>
    <row r="100" spans="1:24" x14ac:dyDescent="0.25">
      <c r="A100" s="1">
        <f t="shared" si="12"/>
        <v>960</v>
      </c>
      <c r="B100" s="1">
        <f t="shared" si="13"/>
        <v>0</v>
      </c>
      <c r="I100" s="1" t="e">
        <f t="shared" si="14"/>
        <v>#N/A</v>
      </c>
      <c r="J100" s="1" t="e">
        <f t="shared" si="10"/>
        <v>#N/A</v>
      </c>
      <c r="K100" s="1" t="e">
        <f t="shared" si="15"/>
        <v>#N/A</v>
      </c>
      <c r="L100" s="8" t="e" cm="1">
        <f t="array" ref="L100">IF(I100="","", IFERROR(((IF(I$5&lt;&gt;"", I$5*A$5, 0) + SUMPRODUCT(--(I$6:I100&lt;&gt;""), I$6:I100, (A$6:A100-A$5:A99)))/1000)/H$3, ""))</f>
        <v>#N/A</v>
      </c>
      <c r="M100" s="1">
        <f t="shared" si="16"/>
        <v>960</v>
      </c>
      <c r="N100" s="1">
        <f t="shared" si="17"/>
        <v>0</v>
      </c>
      <c r="U100" s="1" t="e">
        <f t="shared" si="18"/>
        <v>#N/A</v>
      </c>
      <c r="V100" s="1" t="e">
        <f t="shared" si="11"/>
        <v>#N/A</v>
      </c>
      <c r="W100" s="1" t="e">
        <f t="shared" si="19"/>
        <v>#N/A</v>
      </c>
      <c r="X100" s="8" t="e" cm="1">
        <f t="array" ref="X100">IF(U100="","", IFERROR(((IF(U$5&lt;&gt;"", U$5*M$5, 0) + SUMPRODUCT(--(U$6:U100&lt;&gt;""), U$6:U100, (M$6:M100-M$5:M99)))/1000)/T$3, ""))</f>
        <v>#N/A</v>
      </c>
    </row>
    <row r="101" spans="1:24" x14ac:dyDescent="0.25">
      <c r="A101" s="1">
        <f t="shared" si="12"/>
        <v>970</v>
      </c>
      <c r="B101" s="1">
        <f t="shared" si="13"/>
        <v>0</v>
      </c>
      <c r="I101" s="1" t="e">
        <f t="shared" si="14"/>
        <v>#N/A</v>
      </c>
      <c r="J101" s="1" t="e">
        <f t="shared" si="10"/>
        <v>#N/A</v>
      </c>
      <c r="K101" s="1" t="e">
        <f t="shared" si="15"/>
        <v>#N/A</v>
      </c>
      <c r="L101" s="8" t="e" cm="1">
        <f t="array" ref="L101">IF(I101="","", IFERROR(((IF(I$5&lt;&gt;"", I$5*A$5, 0) + SUMPRODUCT(--(I$6:I101&lt;&gt;""), I$6:I101, (A$6:A101-A$5:A100)))/1000)/H$3, ""))</f>
        <v>#N/A</v>
      </c>
      <c r="M101" s="1">
        <f t="shared" si="16"/>
        <v>970</v>
      </c>
      <c r="N101" s="1">
        <f t="shared" si="17"/>
        <v>0</v>
      </c>
      <c r="U101" s="1" t="e">
        <f t="shared" si="18"/>
        <v>#N/A</v>
      </c>
      <c r="V101" s="1" t="e">
        <f t="shared" si="11"/>
        <v>#N/A</v>
      </c>
      <c r="W101" s="1" t="e">
        <f t="shared" si="19"/>
        <v>#N/A</v>
      </c>
      <c r="X101" s="8" t="e" cm="1">
        <f t="array" ref="X101">IF(U101="","", IFERROR(((IF(U$5&lt;&gt;"", U$5*M$5, 0) + SUMPRODUCT(--(U$6:U101&lt;&gt;""), U$6:U101, (M$6:M101-M$5:M100)))/1000)/T$3, ""))</f>
        <v>#N/A</v>
      </c>
    </row>
    <row r="102" spans="1:24" x14ac:dyDescent="0.25">
      <c r="A102" s="1">
        <f t="shared" si="12"/>
        <v>980</v>
      </c>
      <c r="B102" s="1">
        <f t="shared" si="13"/>
        <v>0</v>
      </c>
      <c r="I102" s="1" t="e">
        <f t="shared" si="14"/>
        <v>#N/A</v>
      </c>
      <c r="J102" s="1" t="e">
        <f t="shared" si="10"/>
        <v>#N/A</v>
      </c>
      <c r="K102" s="1" t="e">
        <f t="shared" si="15"/>
        <v>#N/A</v>
      </c>
      <c r="L102" s="8" t="e" cm="1">
        <f t="array" ref="L102">IF(I102="","", IFERROR(((IF(I$5&lt;&gt;"", I$5*A$5, 0) + SUMPRODUCT(--(I$6:I102&lt;&gt;""), I$6:I102, (A$6:A102-A$5:A101)))/1000)/H$3, ""))</f>
        <v>#N/A</v>
      </c>
      <c r="M102" s="1">
        <f t="shared" si="16"/>
        <v>980</v>
      </c>
      <c r="N102" s="1">
        <f t="shared" si="17"/>
        <v>0</v>
      </c>
      <c r="U102" s="1" t="e">
        <f t="shared" si="18"/>
        <v>#N/A</v>
      </c>
      <c r="V102" s="1" t="e">
        <f t="shared" si="11"/>
        <v>#N/A</v>
      </c>
      <c r="W102" s="1" t="e">
        <f t="shared" si="19"/>
        <v>#N/A</v>
      </c>
      <c r="X102" s="8" t="e" cm="1">
        <f t="array" ref="X102">IF(U102="","", IFERROR(((IF(U$5&lt;&gt;"", U$5*M$5, 0) + SUMPRODUCT(--(U$6:U102&lt;&gt;""), U$6:U102, (M$6:M102-M$5:M101)))/1000)/T$3, ""))</f>
        <v>#N/A</v>
      </c>
    </row>
    <row r="103" spans="1:24" x14ac:dyDescent="0.25">
      <c r="A103" s="1">
        <f t="shared" si="12"/>
        <v>990</v>
      </c>
      <c r="B103" s="1">
        <f t="shared" si="13"/>
        <v>0</v>
      </c>
      <c r="I103" s="1" t="e">
        <f t="shared" si="14"/>
        <v>#N/A</v>
      </c>
      <c r="J103" s="1" t="e">
        <f t="shared" si="10"/>
        <v>#N/A</v>
      </c>
      <c r="K103" s="1" t="e">
        <f t="shared" si="15"/>
        <v>#N/A</v>
      </c>
      <c r="L103" s="8" t="e" cm="1">
        <f t="array" ref="L103">IF(I103="","", IFERROR(((IF(I$5&lt;&gt;"", I$5*A$5, 0) + SUMPRODUCT(--(I$6:I103&lt;&gt;""), I$6:I103, (A$6:A103-A$5:A102)))/1000)/H$3, ""))</f>
        <v>#N/A</v>
      </c>
      <c r="M103" s="1">
        <f t="shared" si="16"/>
        <v>990</v>
      </c>
      <c r="N103" s="1">
        <f t="shared" si="17"/>
        <v>0</v>
      </c>
      <c r="U103" s="1" t="e">
        <f t="shared" si="18"/>
        <v>#N/A</v>
      </c>
      <c r="V103" s="1" t="e">
        <f t="shared" si="11"/>
        <v>#N/A</v>
      </c>
      <c r="W103" s="1" t="e">
        <f t="shared" si="19"/>
        <v>#N/A</v>
      </c>
      <c r="X103" s="8" t="e" cm="1">
        <f t="array" ref="X103">IF(U103="","", IFERROR(((IF(U$5&lt;&gt;"", U$5*M$5, 0) + SUMPRODUCT(--(U$6:U103&lt;&gt;""), U$6:U103, (M$6:M103-M$5:M102)))/1000)/T$3, ""))</f>
        <v>#N/A</v>
      </c>
    </row>
    <row r="104" spans="1:24" x14ac:dyDescent="0.25">
      <c r="A104" s="1">
        <f t="shared" si="12"/>
        <v>1000</v>
      </c>
      <c r="B104" s="1">
        <f t="shared" si="13"/>
        <v>0</v>
      </c>
      <c r="I104" s="1" t="e">
        <f t="shared" si="14"/>
        <v>#N/A</v>
      </c>
      <c r="J104" s="1" t="e">
        <f t="shared" si="10"/>
        <v>#N/A</v>
      </c>
      <c r="K104" s="1" t="e">
        <f t="shared" si="15"/>
        <v>#N/A</v>
      </c>
      <c r="L104" s="8" t="e" cm="1">
        <f t="array" ref="L104">IF(I104="","", IFERROR(((IF(I$5&lt;&gt;"", I$5*A$5, 0) + SUMPRODUCT(--(I$6:I104&lt;&gt;""), I$6:I104, (A$6:A104-A$5:A103)))/1000)/H$3, ""))</f>
        <v>#N/A</v>
      </c>
      <c r="M104" s="1">
        <f t="shared" si="16"/>
        <v>1000</v>
      </c>
      <c r="N104" s="1">
        <f t="shared" si="17"/>
        <v>0</v>
      </c>
      <c r="U104" s="1" t="e">
        <f t="shared" si="18"/>
        <v>#N/A</v>
      </c>
      <c r="V104" s="1" t="e">
        <f t="shared" si="11"/>
        <v>#N/A</v>
      </c>
      <c r="W104" s="1" t="e">
        <f t="shared" si="19"/>
        <v>#N/A</v>
      </c>
      <c r="X104" s="8" t="e" cm="1">
        <f t="array" ref="X104">IF(U104="","", IFERROR(((IF(U$5&lt;&gt;"", U$5*M$5, 0) + SUMPRODUCT(--(U$6:U104&lt;&gt;""), U$6:U104, (M$6:M104-M$5:M103)))/1000)/T$3, ""))</f>
        <v>#N/A</v>
      </c>
    </row>
    <row r="105" spans="1:24" x14ac:dyDescent="0.25">
      <c r="A105" s="1">
        <f t="shared" si="12"/>
        <v>1010</v>
      </c>
      <c r="B105" s="1">
        <f t="shared" si="13"/>
        <v>0</v>
      </c>
      <c r="I105" s="1" t="e">
        <f t="shared" si="14"/>
        <v>#N/A</v>
      </c>
      <c r="J105" s="1" t="e">
        <f t="shared" si="10"/>
        <v>#N/A</v>
      </c>
      <c r="K105" s="1" t="e">
        <f t="shared" si="15"/>
        <v>#N/A</v>
      </c>
      <c r="L105" s="8" t="e" cm="1">
        <f t="array" ref="L105">IF(I105="","", IFERROR(((IF(I$5&lt;&gt;"", I$5*A$5, 0) + SUMPRODUCT(--(I$6:I105&lt;&gt;""), I$6:I105, (A$6:A105-A$5:A104)))/1000)/H$3, ""))</f>
        <v>#N/A</v>
      </c>
      <c r="M105" s="1">
        <f t="shared" si="16"/>
        <v>1010</v>
      </c>
      <c r="N105" s="1">
        <f t="shared" si="17"/>
        <v>0</v>
      </c>
      <c r="U105" s="1" t="e">
        <f t="shared" si="18"/>
        <v>#N/A</v>
      </c>
      <c r="V105" s="1" t="e">
        <f t="shared" si="11"/>
        <v>#N/A</v>
      </c>
      <c r="W105" s="1" t="e">
        <f t="shared" si="19"/>
        <v>#N/A</v>
      </c>
      <c r="X105" s="8" t="e" cm="1">
        <f t="array" ref="X105">IF(U105="","", IFERROR(((IF(U$5&lt;&gt;"", U$5*M$5, 0) + SUMPRODUCT(--(U$6:U105&lt;&gt;""), U$6:U105, (M$6:M105-M$5:M104)))/1000)/T$3, ""))</f>
        <v>#N/A</v>
      </c>
    </row>
    <row r="106" spans="1:24" x14ac:dyDescent="0.25">
      <c r="A106" s="1">
        <f t="shared" si="12"/>
        <v>1020</v>
      </c>
      <c r="B106" s="1">
        <f t="shared" si="13"/>
        <v>0</v>
      </c>
      <c r="I106" s="1" t="e">
        <f t="shared" si="14"/>
        <v>#N/A</v>
      </c>
      <c r="J106" s="1" t="e">
        <f t="shared" si="10"/>
        <v>#N/A</v>
      </c>
      <c r="K106" s="1" t="e">
        <f t="shared" si="15"/>
        <v>#N/A</v>
      </c>
      <c r="L106" s="8" t="e" cm="1">
        <f t="array" ref="L106">IF(I106="","", IFERROR(((IF(I$5&lt;&gt;"", I$5*A$5, 0) + SUMPRODUCT(--(I$6:I106&lt;&gt;""), I$6:I106, (A$6:A106-A$5:A105)))/1000)/H$3, ""))</f>
        <v>#N/A</v>
      </c>
      <c r="M106" s="1">
        <f t="shared" si="16"/>
        <v>1020</v>
      </c>
      <c r="N106" s="1">
        <f t="shared" si="17"/>
        <v>0</v>
      </c>
      <c r="U106" s="1" t="e">
        <f t="shared" si="18"/>
        <v>#N/A</v>
      </c>
      <c r="V106" s="1" t="e">
        <f t="shared" si="11"/>
        <v>#N/A</v>
      </c>
      <c r="W106" s="1" t="e">
        <f t="shared" si="19"/>
        <v>#N/A</v>
      </c>
      <c r="X106" s="8" t="e" cm="1">
        <f t="array" ref="X106">IF(U106="","", IFERROR(((IF(U$5&lt;&gt;"", U$5*M$5, 0) + SUMPRODUCT(--(U$6:U106&lt;&gt;""), U$6:U106, (M$6:M106-M$5:M105)))/1000)/T$3, ""))</f>
        <v>#N/A</v>
      </c>
    </row>
    <row r="107" spans="1:24" x14ac:dyDescent="0.25">
      <c r="A107" s="1">
        <f t="shared" si="12"/>
        <v>1030</v>
      </c>
      <c r="B107" s="1">
        <f t="shared" si="13"/>
        <v>0</v>
      </c>
      <c r="I107" s="1" t="e">
        <f t="shared" si="14"/>
        <v>#N/A</v>
      </c>
      <c r="J107" s="1" t="e">
        <f t="shared" si="10"/>
        <v>#N/A</v>
      </c>
      <c r="K107" s="1" t="e">
        <f t="shared" si="15"/>
        <v>#N/A</v>
      </c>
      <c r="L107" s="8" t="e" cm="1">
        <f t="array" ref="L107">IF(I107="","", IFERROR(((IF(I$5&lt;&gt;"", I$5*A$5, 0) + SUMPRODUCT(--(I$6:I107&lt;&gt;""), I$6:I107, (A$6:A107-A$5:A106)))/1000)/H$3, ""))</f>
        <v>#N/A</v>
      </c>
      <c r="M107" s="1">
        <f t="shared" si="16"/>
        <v>1030</v>
      </c>
      <c r="N107" s="1">
        <f t="shared" si="17"/>
        <v>0</v>
      </c>
      <c r="U107" s="1" t="e">
        <f t="shared" si="18"/>
        <v>#N/A</v>
      </c>
      <c r="V107" s="1" t="e">
        <f t="shared" si="11"/>
        <v>#N/A</v>
      </c>
      <c r="W107" s="1" t="e">
        <f t="shared" si="19"/>
        <v>#N/A</v>
      </c>
      <c r="X107" s="8" t="e" cm="1">
        <f t="array" ref="X107">IF(U107="","", IFERROR(((IF(U$5&lt;&gt;"", U$5*M$5, 0) + SUMPRODUCT(--(U$6:U107&lt;&gt;""), U$6:U107, (M$6:M107-M$5:M106)))/1000)/T$3, ""))</f>
        <v>#N/A</v>
      </c>
    </row>
    <row r="108" spans="1:24" x14ac:dyDescent="0.25">
      <c r="A108" s="1">
        <f t="shared" si="12"/>
        <v>1040</v>
      </c>
      <c r="B108" s="1">
        <f t="shared" si="13"/>
        <v>0</v>
      </c>
      <c r="I108" s="1" t="e">
        <f t="shared" si="14"/>
        <v>#N/A</v>
      </c>
      <c r="J108" s="1" t="e">
        <f t="shared" si="10"/>
        <v>#N/A</v>
      </c>
      <c r="K108" s="1" t="e">
        <f t="shared" si="15"/>
        <v>#N/A</v>
      </c>
      <c r="L108" s="8" t="e" cm="1">
        <f t="array" ref="L108">IF(I108="","", IFERROR(((IF(I$5&lt;&gt;"", I$5*A$5, 0) + SUMPRODUCT(--(I$6:I108&lt;&gt;""), I$6:I108, (A$6:A108-A$5:A107)))/1000)/H$3, ""))</f>
        <v>#N/A</v>
      </c>
      <c r="M108" s="1">
        <f t="shared" si="16"/>
        <v>1040</v>
      </c>
      <c r="N108" s="1">
        <f t="shared" si="17"/>
        <v>0</v>
      </c>
      <c r="U108" s="1" t="e">
        <f t="shared" si="18"/>
        <v>#N/A</v>
      </c>
      <c r="V108" s="1" t="e">
        <f t="shared" si="11"/>
        <v>#N/A</v>
      </c>
      <c r="W108" s="1" t="e">
        <f t="shared" si="19"/>
        <v>#N/A</v>
      </c>
      <c r="X108" s="8" t="e" cm="1">
        <f t="array" ref="X108">IF(U108="","", IFERROR(((IF(U$5&lt;&gt;"", U$5*M$5, 0) + SUMPRODUCT(--(U$6:U108&lt;&gt;""), U$6:U108, (M$6:M108-M$5:M107)))/1000)/T$3, ""))</f>
        <v>#N/A</v>
      </c>
    </row>
    <row r="109" spans="1:24" x14ac:dyDescent="0.25">
      <c r="A109" s="1">
        <f t="shared" si="12"/>
        <v>1050</v>
      </c>
      <c r="B109" s="1">
        <f t="shared" si="13"/>
        <v>0</v>
      </c>
      <c r="I109" s="1" t="e">
        <f t="shared" si="14"/>
        <v>#N/A</v>
      </c>
      <c r="J109" s="1" t="e">
        <f t="shared" si="10"/>
        <v>#N/A</v>
      </c>
      <c r="K109" s="1" t="e">
        <f t="shared" si="15"/>
        <v>#N/A</v>
      </c>
      <c r="L109" s="8" t="e" cm="1">
        <f t="array" ref="L109">IF(I109="","", IFERROR(((IF(I$5&lt;&gt;"", I$5*A$5, 0) + SUMPRODUCT(--(I$6:I109&lt;&gt;""), I$6:I109, (A$6:A109-A$5:A108)))/1000)/H$3, ""))</f>
        <v>#N/A</v>
      </c>
      <c r="M109" s="1">
        <f t="shared" si="16"/>
        <v>1050</v>
      </c>
      <c r="N109" s="1">
        <f t="shared" si="17"/>
        <v>0</v>
      </c>
      <c r="U109" s="1" t="e">
        <f t="shared" si="18"/>
        <v>#N/A</v>
      </c>
      <c r="V109" s="1" t="e">
        <f t="shared" si="11"/>
        <v>#N/A</v>
      </c>
      <c r="W109" s="1" t="e">
        <f t="shared" si="19"/>
        <v>#N/A</v>
      </c>
      <c r="X109" s="8" t="e" cm="1">
        <f t="array" ref="X109">IF(U109="","", IFERROR(((IF(U$5&lt;&gt;"", U$5*M$5, 0) + SUMPRODUCT(--(U$6:U109&lt;&gt;""), U$6:U109, (M$6:M109-M$5:M108)))/1000)/T$3, ""))</f>
        <v>#N/A</v>
      </c>
    </row>
    <row r="110" spans="1:24" x14ac:dyDescent="0.25">
      <c r="A110" s="1">
        <f t="shared" si="12"/>
        <v>1060</v>
      </c>
      <c r="B110" s="1">
        <f t="shared" si="13"/>
        <v>0</v>
      </c>
      <c r="I110" s="1" t="e">
        <f t="shared" si="14"/>
        <v>#N/A</v>
      </c>
      <c r="J110" s="1" t="e">
        <f t="shared" si="10"/>
        <v>#N/A</v>
      </c>
      <c r="K110" s="1" t="e">
        <f t="shared" si="15"/>
        <v>#N/A</v>
      </c>
      <c r="L110" s="8" t="e" cm="1">
        <f t="array" ref="L110">IF(I110="","", IFERROR(((IF(I$5&lt;&gt;"", I$5*A$5, 0) + SUMPRODUCT(--(I$6:I110&lt;&gt;""), I$6:I110, (A$6:A110-A$5:A109)))/1000)/H$3, ""))</f>
        <v>#N/A</v>
      </c>
      <c r="M110" s="1">
        <f t="shared" si="16"/>
        <v>1060</v>
      </c>
      <c r="N110" s="1">
        <f t="shared" si="17"/>
        <v>0</v>
      </c>
      <c r="U110" s="1" t="e">
        <f t="shared" si="18"/>
        <v>#N/A</v>
      </c>
      <c r="V110" s="1" t="e">
        <f t="shared" si="11"/>
        <v>#N/A</v>
      </c>
      <c r="W110" s="1" t="e">
        <f t="shared" si="19"/>
        <v>#N/A</v>
      </c>
      <c r="X110" s="8" t="e" cm="1">
        <f t="array" ref="X110">IF(U110="","", IFERROR(((IF(U$5&lt;&gt;"", U$5*M$5, 0) + SUMPRODUCT(--(U$6:U110&lt;&gt;""), U$6:U110, (M$6:M110-M$5:M109)))/1000)/T$3, ""))</f>
        <v>#N/A</v>
      </c>
    </row>
    <row r="111" spans="1:24" x14ac:dyDescent="0.25">
      <c r="A111" s="1">
        <f t="shared" si="12"/>
        <v>1070</v>
      </c>
      <c r="B111" s="1">
        <f t="shared" si="13"/>
        <v>0</v>
      </c>
      <c r="I111" s="1" t="e">
        <f t="shared" si="14"/>
        <v>#N/A</v>
      </c>
      <c r="J111" s="1" t="e">
        <f t="shared" si="10"/>
        <v>#N/A</v>
      </c>
      <c r="K111" s="1" t="e">
        <f t="shared" si="15"/>
        <v>#N/A</v>
      </c>
      <c r="L111" s="8" t="e" cm="1">
        <f t="array" ref="L111">IF(I111="","", IFERROR(((IF(I$5&lt;&gt;"", I$5*A$5, 0) + SUMPRODUCT(--(I$6:I111&lt;&gt;""), I$6:I111, (A$6:A111-A$5:A110)))/1000)/H$3, ""))</f>
        <v>#N/A</v>
      </c>
      <c r="M111" s="1">
        <f t="shared" si="16"/>
        <v>1070</v>
      </c>
      <c r="N111" s="1">
        <f t="shared" si="17"/>
        <v>0</v>
      </c>
      <c r="U111" s="1" t="e">
        <f t="shared" si="18"/>
        <v>#N/A</v>
      </c>
      <c r="V111" s="1" t="e">
        <f t="shared" si="11"/>
        <v>#N/A</v>
      </c>
      <c r="W111" s="1" t="e">
        <f t="shared" si="19"/>
        <v>#N/A</v>
      </c>
      <c r="X111" s="8" t="e" cm="1">
        <f t="array" ref="X111">IF(U111="","", IFERROR(((IF(U$5&lt;&gt;"", U$5*M$5, 0) + SUMPRODUCT(--(U$6:U111&lt;&gt;""), U$6:U111, (M$6:M111-M$5:M110)))/1000)/T$3, ""))</f>
        <v>#N/A</v>
      </c>
    </row>
    <row r="112" spans="1:24" x14ac:dyDescent="0.25">
      <c r="A112" s="1">
        <f t="shared" si="12"/>
        <v>1080</v>
      </c>
      <c r="B112" s="1">
        <f t="shared" si="13"/>
        <v>0</v>
      </c>
      <c r="I112" s="1" t="e">
        <f t="shared" si="14"/>
        <v>#N/A</v>
      </c>
      <c r="J112" s="1" t="e">
        <f t="shared" si="10"/>
        <v>#N/A</v>
      </c>
      <c r="K112" s="1" t="e">
        <f t="shared" si="15"/>
        <v>#N/A</v>
      </c>
      <c r="L112" s="8" t="e" cm="1">
        <f t="array" ref="L112">IF(I112="","", IFERROR(((IF(I$5&lt;&gt;"", I$5*A$5, 0) + SUMPRODUCT(--(I$6:I112&lt;&gt;""), I$6:I112, (A$6:A112-A$5:A111)))/1000)/H$3, ""))</f>
        <v>#N/A</v>
      </c>
      <c r="M112" s="1">
        <f t="shared" si="16"/>
        <v>1080</v>
      </c>
      <c r="N112" s="1">
        <f t="shared" si="17"/>
        <v>0</v>
      </c>
      <c r="U112" s="1" t="e">
        <f t="shared" si="18"/>
        <v>#N/A</v>
      </c>
      <c r="V112" s="1" t="e">
        <f t="shared" si="11"/>
        <v>#N/A</v>
      </c>
      <c r="W112" s="1" t="e">
        <f t="shared" si="19"/>
        <v>#N/A</v>
      </c>
      <c r="X112" s="8" t="e" cm="1">
        <f t="array" ref="X112">IF(U112="","", IFERROR(((IF(U$5&lt;&gt;"", U$5*M$5, 0) + SUMPRODUCT(--(U$6:U112&lt;&gt;""), U$6:U112, (M$6:M112-M$5:M111)))/1000)/T$3, ""))</f>
        <v>#N/A</v>
      </c>
    </row>
    <row r="113" spans="1:24" x14ac:dyDescent="0.25">
      <c r="A113" s="1">
        <f t="shared" si="12"/>
        <v>1090</v>
      </c>
      <c r="B113" s="1">
        <f t="shared" si="13"/>
        <v>0</v>
      </c>
      <c r="I113" s="1" t="e">
        <f t="shared" si="14"/>
        <v>#N/A</v>
      </c>
      <c r="J113" s="1" t="e">
        <f t="shared" si="10"/>
        <v>#N/A</v>
      </c>
      <c r="K113" s="1" t="e">
        <f t="shared" si="15"/>
        <v>#N/A</v>
      </c>
      <c r="L113" s="8" t="e" cm="1">
        <f t="array" ref="L113">IF(I113="","", IFERROR(((IF(I$5&lt;&gt;"", I$5*A$5, 0) + SUMPRODUCT(--(I$6:I113&lt;&gt;""), I$6:I113, (A$6:A113-A$5:A112)))/1000)/H$3, ""))</f>
        <v>#N/A</v>
      </c>
      <c r="M113" s="1">
        <f t="shared" si="16"/>
        <v>1090</v>
      </c>
      <c r="N113" s="1">
        <f t="shared" si="17"/>
        <v>0</v>
      </c>
      <c r="U113" s="1" t="e">
        <f t="shared" si="18"/>
        <v>#N/A</v>
      </c>
      <c r="V113" s="1" t="e">
        <f t="shared" si="11"/>
        <v>#N/A</v>
      </c>
      <c r="W113" s="1" t="e">
        <f t="shared" si="19"/>
        <v>#N/A</v>
      </c>
      <c r="X113" s="8" t="e" cm="1">
        <f t="array" ref="X113">IF(U113="","", IFERROR(((IF(U$5&lt;&gt;"", U$5*M$5, 0) + SUMPRODUCT(--(U$6:U113&lt;&gt;""), U$6:U113, (M$6:M113-M$5:M112)))/1000)/T$3, ""))</f>
        <v>#N/A</v>
      </c>
    </row>
    <row r="114" spans="1:24" x14ac:dyDescent="0.25">
      <c r="A114" s="1">
        <f t="shared" si="12"/>
        <v>1100</v>
      </c>
      <c r="B114" s="1">
        <f t="shared" si="13"/>
        <v>0</v>
      </c>
      <c r="I114" s="1" t="e">
        <f t="shared" si="14"/>
        <v>#N/A</v>
      </c>
      <c r="J114" s="1" t="e">
        <f t="shared" si="10"/>
        <v>#N/A</v>
      </c>
      <c r="K114" s="1" t="e">
        <f t="shared" si="15"/>
        <v>#N/A</v>
      </c>
      <c r="L114" s="8" t="e" cm="1">
        <f t="array" ref="L114">IF(I114="","", IFERROR(((IF(I$5&lt;&gt;"", I$5*A$5, 0) + SUMPRODUCT(--(I$6:I114&lt;&gt;""), I$6:I114, (A$6:A114-A$5:A113)))/1000)/H$3, ""))</f>
        <v>#N/A</v>
      </c>
      <c r="M114" s="1">
        <f t="shared" si="16"/>
        <v>1100</v>
      </c>
      <c r="N114" s="1">
        <f t="shared" si="17"/>
        <v>0</v>
      </c>
      <c r="U114" s="1" t="e">
        <f t="shared" si="18"/>
        <v>#N/A</v>
      </c>
      <c r="V114" s="1" t="e">
        <f t="shared" si="11"/>
        <v>#N/A</v>
      </c>
      <c r="W114" s="1" t="e">
        <f t="shared" si="19"/>
        <v>#N/A</v>
      </c>
      <c r="X114" s="8" t="e" cm="1">
        <f t="array" ref="X114">IF(U114="","", IFERROR(((IF(U$5&lt;&gt;"", U$5*M$5, 0) + SUMPRODUCT(--(U$6:U114&lt;&gt;""), U$6:U114, (M$6:M114-M$5:M113)))/1000)/T$3, ""))</f>
        <v>#N/A</v>
      </c>
    </row>
    <row r="115" spans="1:24" x14ac:dyDescent="0.25">
      <c r="A115" s="1">
        <f t="shared" si="12"/>
        <v>1110</v>
      </c>
      <c r="B115" s="1">
        <f t="shared" si="13"/>
        <v>0</v>
      </c>
      <c r="I115" s="1" t="e">
        <f t="shared" si="14"/>
        <v>#N/A</v>
      </c>
      <c r="J115" s="1" t="e">
        <f t="shared" si="10"/>
        <v>#N/A</v>
      </c>
      <c r="K115" s="1" t="e">
        <f t="shared" si="15"/>
        <v>#N/A</v>
      </c>
      <c r="L115" s="8" t="e" cm="1">
        <f t="array" ref="L115">IF(I115="","", IFERROR(((IF(I$5&lt;&gt;"", I$5*A$5, 0) + SUMPRODUCT(--(I$6:I115&lt;&gt;""), I$6:I115, (A$6:A115-A$5:A114)))/1000)/H$3, ""))</f>
        <v>#N/A</v>
      </c>
      <c r="M115" s="1">
        <f t="shared" si="16"/>
        <v>1110</v>
      </c>
      <c r="N115" s="1">
        <f t="shared" si="17"/>
        <v>0</v>
      </c>
      <c r="U115" s="1" t="e">
        <f t="shared" si="18"/>
        <v>#N/A</v>
      </c>
      <c r="V115" s="1" t="e">
        <f t="shared" si="11"/>
        <v>#N/A</v>
      </c>
      <c r="W115" s="1" t="e">
        <f t="shared" si="19"/>
        <v>#N/A</v>
      </c>
      <c r="X115" s="8" t="e" cm="1">
        <f t="array" ref="X115">IF(U115="","", IFERROR(((IF(U$5&lt;&gt;"", U$5*M$5, 0) + SUMPRODUCT(--(U$6:U115&lt;&gt;""), U$6:U115, (M$6:M115-M$5:M114)))/1000)/T$3, ""))</f>
        <v>#N/A</v>
      </c>
    </row>
  </sheetData>
  <conditionalFormatting sqref="I5:L115">
    <cfRule type="containsErrors" dxfId="137" priority="3">
      <formula>ISERROR(I5)</formula>
    </cfRule>
  </conditionalFormatting>
  <conditionalFormatting sqref="K6:K115">
    <cfRule type="cellIs" dxfId="136" priority="12" operator="between">
      <formula>0</formula>
      <formula>15</formula>
    </cfRule>
    <cfRule type="cellIs" dxfId="135" priority="13" operator="between">
      <formula>15</formula>
      <formula>25</formula>
    </cfRule>
    <cfRule type="cellIs" dxfId="134" priority="14" operator="between">
      <formula>25</formula>
      <formula>1000</formula>
    </cfRule>
  </conditionalFormatting>
  <conditionalFormatting sqref="L2:L3 X2:X3">
    <cfRule type="containsErrors" dxfId="133" priority="5">
      <formula>ISERROR(L2)</formula>
    </cfRule>
  </conditionalFormatting>
  <conditionalFormatting sqref="U5:X115">
    <cfRule type="containsErrors" dxfId="132" priority="1">
      <formula>ISERROR(U5)</formula>
    </cfRule>
  </conditionalFormatting>
  <conditionalFormatting sqref="W6:W115">
    <cfRule type="cellIs" dxfId="131" priority="9" operator="between">
      <formula>0</formula>
      <formula>15</formula>
    </cfRule>
    <cfRule type="cellIs" dxfId="130" priority="10" operator="between">
      <formula>15</formula>
      <formula>25</formula>
    </cfRule>
    <cfRule type="cellIs" dxfId="129" priority="11" operator="between">
      <formula>25</formula>
      <formula>1000</formula>
    </cfRule>
  </conditionalFormatting>
  <pageMargins left="0.7" right="0.7" top="0.75" bottom="0.75" header="0.3" footer="0.3"/>
  <ignoredErrors>
    <ignoredError sqref="A1:XFD1 A5:XFD1048576 Y4:XFD4 A3:XFD3 A2:B2 P2:XFD2 D2:N2" evalError="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E4FF-F037-46D5-84AC-5DF4451AC216}">
  <dimension ref="A1:X115"/>
  <sheetViews>
    <sheetView zoomScale="70" zoomScaleNormal="70" workbookViewId="0">
      <selection sqref="A1:XFD4"/>
    </sheetView>
  </sheetViews>
  <sheetFormatPr defaultRowHeight="15" x14ac:dyDescent="0.25"/>
  <cols>
    <col min="1" max="1" width="11.710937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1.71093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16384" width="9.140625" style="1"/>
  </cols>
  <sheetData>
    <row r="1" spans="1:24" s="2" customFormat="1" ht="45" x14ac:dyDescent="0.25">
      <c r="A1" s="3" t="s">
        <v>39</v>
      </c>
      <c r="C1" s="4" t="s">
        <v>6</v>
      </c>
      <c r="E1" s="4" t="s">
        <v>43</v>
      </c>
      <c r="G1" s="4" t="s">
        <v>54</v>
      </c>
      <c r="H1" s="2" t="s">
        <v>53</v>
      </c>
      <c r="J1" s="4" t="s">
        <v>7</v>
      </c>
      <c r="L1" s="6" t="s">
        <v>20</v>
      </c>
      <c r="M1" s="3" t="s">
        <v>39</v>
      </c>
      <c r="O1" s="4" t="s">
        <v>6</v>
      </c>
      <c r="Q1" s="4" t="s">
        <v>43</v>
      </c>
      <c r="S1" s="4" t="s">
        <v>54</v>
      </c>
      <c r="T1" s="2" t="s">
        <v>53</v>
      </c>
      <c r="V1" s="4" t="s">
        <v>7</v>
      </c>
      <c r="X1" s="6" t="s">
        <v>20</v>
      </c>
    </row>
    <row r="2" spans="1:24"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22</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22</v>
      </c>
      <c r="U2" s="4" t="s">
        <v>9</v>
      </c>
      <c r="V2" s="4" t="s">
        <v>10</v>
      </c>
      <c r="X2" s="20" t="e">
        <f>IF(U5="","",AVERAGEIFS(U5:U115,U5:U115,"&lt;&gt;0",U5:U115,"&lt;&gt;"))</f>
        <v>#N/A</v>
      </c>
    </row>
    <row r="3" spans="1:24"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row>
    <row r="4" spans="1:24"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row>
    <row r="5" spans="1:24" x14ac:dyDescent="0.25">
      <c r="A5" s="1">
        <v>10</v>
      </c>
      <c r="B5" s="1">
        <v>0</v>
      </c>
      <c r="I5" s="1" t="e">
        <f>IF(C5="", NA(), (B5-C5)*1000/A5)</f>
        <v>#N/A</v>
      </c>
      <c r="J5" s="1" t="e">
        <f>IF(I5="","",I5/F$2/2.5)</f>
        <v>#N/A</v>
      </c>
      <c r="L5" s="8" t="e">
        <f>IF(I5="","", IFERROR(((IF(I$5&lt;&gt;"", I$5*A$5, 0))/1000)/H$3, ""))</f>
        <v>#N/A</v>
      </c>
      <c r="M5" s="1">
        <v>10</v>
      </c>
      <c r="U5" s="1" t="e">
        <f>IF(O5="", NA(), (N5-O5)*1000/M5)</f>
        <v>#N/A</v>
      </c>
      <c r="V5" s="1" t="e">
        <f>IF(U5="","",U5/R$2/2.5)</f>
        <v>#N/A</v>
      </c>
      <c r="X5" s="8" t="e">
        <f>IF(U5="","", IFERROR(((IF(U$5&lt;&gt;"", U$5*M$5, 0))/1000)/T$3, ""))</f>
        <v>#N/A</v>
      </c>
    </row>
    <row r="6" spans="1:24" x14ac:dyDescent="0.25">
      <c r="A6" s="1">
        <f>A5+10</f>
        <v>20</v>
      </c>
      <c r="B6" s="1">
        <f>C5</f>
        <v>0</v>
      </c>
      <c r="I6" s="1" t="e">
        <f>IF(C6="", NA(), (B6-C6)*1000/(A6-A5))</f>
        <v>#N/A</v>
      </c>
      <c r="J6" s="1" t="e">
        <f t="shared" ref="J6:J69" si="0">IF(I6="","",I6/F$2/2.5)</f>
        <v>#N/A</v>
      </c>
      <c r="K6" s="1" t="e">
        <f>IF(I6="","", 100*_xlfn.STDEV.P(I5:I6)/AVERAGE(I5:I6))</f>
        <v>#N/A</v>
      </c>
      <c r="L6" s="8" t="e" cm="1">
        <f t="array" ref="L6">IF(I6="","", IFERROR(((IF(I$5&lt;&gt;"", I$5*A$5, 0) + SUMPRODUCT(--(I$6:I6&lt;&gt;""), I$6:I6, (A$6:A6-A$5:A5)))/1000)/H$3, ""))</f>
        <v>#N/A</v>
      </c>
      <c r="M6" s="1">
        <f>M5+10</f>
        <v>20</v>
      </c>
      <c r="N6" s="1">
        <f>O5</f>
        <v>0</v>
      </c>
      <c r="U6" s="1" t="e">
        <f>IF(O6="", NA(), (N6-O6)*1000/(M6-M5))</f>
        <v>#N/A</v>
      </c>
      <c r="V6" s="1" t="e">
        <f t="shared" ref="V6:V69" si="1">IF(U6="","",U6/R$2/2.5)</f>
        <v>#N/A</v>
      </c>
      <c r="W6" s="1" t="e">
        <f>IF(U6="","", 100*_xlfn.STDEV.P(U5:U6)/AVERAGE(U5:U6))</f>
        <v>#N/A</v>
      </c>
      <c r="X6" s="8" t="e" cm="1">
        <f t="array" ref="X6">IF(U6="","", IFERROR(((IF(U$5&lt;&gt;"", U$5*M$5, 0) + SUMPRODUCT(--(U$6:U6&lt;&gt;""), U$6:U6, (M$6:M6-M$5:M5)))/1000)/T$3, ""))</f>
        <v>#N/A</v>
      </c>
    </row>
    <row r="7" spans="1:24" x14ac:dyDescent="0.25">
      <c r="A7" s="1">
        <f t="shared" ref="A7:A70" si="2">A6+10</f>
        <v>30</v>
      </c>
      <c r="B7" s="1">
        <f t="shared" ref="B7:B70" si="3">C6</f>
        <v>0</v>
      </c>
      <c r="I7" s="1" t="e">
        <f t="shared" ref="I7:I70" si="4">IF(C7="", NA(), (B7-C7)*1000/(A7-A6))</f>
        <v>#N/A</v>
      </c>
      <c r="J7" s="1" t="e">
        <f t="shared" si="0"/>
        <v>#N/A</v>
      </c>
      <c r="K7" s="1" t="e">
        <f t="shared" ref="K7:K70" si="5">IF(I7="","", 100*_xlfn.STDEV.P(I6:I7)/AVERAGE(I6:I7))</f>
        <v>#N/A</v>
      </c>
      <c r="L7" s="8" t="e" cm="1">
        <f t="array" ref="L7">IF(I7="","", IFERROR(((IF(I$5&lt;&gt;"", I$5*A$5, 0) + SUMPRODUCT(--(I$6:I7&lt;&gt;""), I$6:I7, (A$6:A7-A$5:A6)))/1000)/H$3, ""))</f>
        <v>#N/A</v>
      </c>
      <c r="M7" s="1">
        <f t="shared" ref="M7:M70" si="6">M6+10</f>
        <v>30</v>
      </c>
      <c r="N7" s="1">
        <f t="shared" ref="N7:N70" si="7">O6</f>
        <v>0</v>
      </c>
      <c r="U7" s="1" t="e">
        <f t="shared" ref="U7:U70" si="8">IF(O7="", NA(), (N7-O7)*1000/(M7-M6))</f>
        <v>#N/A</v>
      </c>
      <c r="V7" s="1" t="e">
        <f t="shared" si="1"/>
        <v>#N/A</v>
      </c>
      <c r="W7" s="1" t="e">
        <f t="shared" ref="W7:W70" si="9">IF(U7="","", 100*_xlfn.STDEV.P(U6:U7)/AVERAGE(U6:U7))</f>
        <v>#N/A</v>
      </c>
      <c r="X7" s="8" t="e" cm="1">
        <f t="array" ref="X7">IF(U7="","", IFERROR(((IF(U$5&lt;&gt;"", U$5*M$5, 0) + SUMPRODUCT(--(U$6:U7&lt;&gt;""), U$6:U7, (M$6:M7-M$5:M6)))/1000)/T$3, ""))</f>
        <v>#N/A</v>
      </c>
    </row>
    <row r="8" spans="1:24" x14ac:dyDescent="0.25">
      <c r="A8" s="1">
        <f t="shared" si="2"/>
        <v>40</v>
      </c>
      <c r="B8" s="1">
        <f t="shared" si="3"/>
        <v>0</v>
      </c>
      <c r="I8" s="1" t="e">
        <f t="shared" si="4"/>
        <v>#N/A</v>
      </c>
      <c r="J8" s="1" t="e">
        <f t="shared" si="0"/>
        <v>#N/A</v>
      </c>
      <c r="K8" s="1" t="e">
        <f t="shared" si="5"/>
        <v>#N/A</v>
      </c>
      <c r="L8" s="8" t="e" cm="1">
        <f t="array" ref="L8">IF(I8="","", IFERROR(((IF(I$5&lt;&gt;"", I$5*A$5, 0) + SUMPRODUCT(--(I$6:I8&lt;&gt;""), I$6:I8, (A$6:A8-A$5:A7)))/1000)/H$3, ""))</f>
        <v>#N/A</v>
      </c>
      <c r="M8" s="1">
        <f t="shared" si="6"/>
        <v>40</v>
      </c>
      <c r="N8" s="1">
        <f t="shared" si="7"/>
        <v>0</v>
      </c>
      <c r="U8" s="1" t="e">
        <f t="shared" si="8"/>
        <v>#N/A</v>
      </c>
      <c r="V8" s="1" t="e">
        <f t="shared" si="1"/>
        <v>#N/A</v>
      </c>
      <c r="W8" s="1" t="e">
        <f t="shared" si="9"/>
        <v>#N/A</v>
      </c>
      <c r="X8" s="8" t="e" cm="1">
        <f t="array" ref="X8">IF(U8="","", IFERROR(((IF(U$5&lt;&gt;"", U$5*M$5, 0) + SUMPRODUCT(--(U$6:U8&lt;&gt;""), U$6:U8, (M$6:M8-M$5:M7)))/1000)/T$3, ""))</f>
        <v>#N/A</v>
      </c>
    </row>
    <row r="9" spans="1:24" x14ac:dyDescent="0.25">
      <c r="A9" s="1">
        <f t="shared" si="2"/>
        <v>50</v>
      </c>
      <c r="B9" s="1">
        <f t="shared" si="3"/>
        <v>0</v>
      </c>
      <c r="I9" s="1" t="e">
        <f t="shared" si="4"/>
        <v>#N/A</v>
      </c>
      <c r="J9" s="1" t="e">
        <f t="shared" si="0"/>
        <v>#N/A</v>
      </c>
      <c r="K9" s="1" t="e">
        <f t="shared" si="5"/>
        <v>#N/A</v>
      </c>
      <c r="L9" s="8" t="e" cm="1">
        <f t="array" ref="L9">IF(I9="","", IFERROR(((IF(I$5&lt;&gt;"", I$5*A$5, 0) + SUMPRODUCT(--(I$6:I9&lt;&gt;""), I$6:I9, (A$6:A9-A$5:A8)))/1000)/H$3, ""))</f>
        <v>#N/A</v>
      </c>
      <c r="M9" s="1">
        <f t="shared" si="6"/>
        <v>50</v>
      </c>
      <c r="N9" s="1">
        <f t="shared" si="7"/>
        <v>0</v>
      </c>
      <c r="U9" s="1" t="e">
        <f t="shared" si="8"/>
        <v>#N/A</v>
      </c>
      <c r="V9" s="1" t="e">
        <f t="shared" si="1"/>
        <v>#N/A</v>
      </c>
      <c r="W9" s="1" t="e">
        <f t="shared" si="9"/>
        <v>#N/A</v>
      </c>
      <c r="X9" s="8" t="e" cm="1">
        <f t="array" ref="X9">IF(U9="","", IFERROR(((IF(U$5&lt;&gt;"", U$5*M$5, 0) + SUMPRODUCT(--(U$6:U9&lt;&gt;""), U$6:U9, (M$6:M9-M$5:M8)))/1000)/T$3, ""))</f>
        <v>#N/A</v>
      </c>
    </row>
    <row r="10" spans="1:24" x14ac:dyDescent="0.25">
      <c r="A10" s="1">
        <f t="shared" si="2"/>
        <v>60</v>
      </c>
      <c r="B10" s="1">
        <f t="shared" si="3"/>
        <v>0</v>
      </c>
      <c r="I10" s="1" t="e">
        <f t="shared" si="4"/>
        <v>#N/A</v>
      </c>
      <c r="J10" s="1" t="e">
        <f t="shared" si="0"/>
        <v>#N/A</v>
      </c>
      <c r="K10" s="1" t="e">
        <f t="shared" si="5"/>
        <v>#N/A</v>
      </c>
      <c r="L10" s="8" t="e" cm="1">
        <f t="array" ref="L10">IF(I10="","", IFERROR(((IF(I$5&lt;&gt;"", I$5*A$5, 0) + SUMPRODUCT(--(I$6:I10&lt;&gt;""), I$6:I10, (A$6:A10-A$5:A9)))/1000)/H$3, ""))</f>
        <v>#N/A</v>
      </c>
      <c r="M10" s="1">
        <f t="shared" si="6"/>
        <v>60</v>
      </c>
      <c r="N10" s="1">
        <f t="shared" si="7"/>
        <v>0</v>
      </c>
      <c r="U10" s="1" t="e">
        <f t="shared" si="8"/>
        <v>#N/A</v>
      </c>
      <c r="V10" s="1" t="e">
        <f t="shared" si="1"/>
        <v>#N/A</v>
      </c>
      <c r="W10" s="1" t="e">
        <f t="shared" si="9"/>
        <v>#N/A</v>
      </c>
      <c r="X10" s="8" t="e" cm="1">
        <f t="array" ref="X10">IF(U10="","", IFERROR(((IF(U$5&lt;&gt;"", U$5*M$5, 0) + SUMPRODUCT(--(U$6:U10&lt;&gt;""), U$6:U10, (M$6:M10-M$5:M9)))/1000)/T$3, ""))</f>
        <v>#N/A</v>
      </c>
    </row>
    <row r="11" spans="1:24" x14ac:dyDescent="0.25">
      <c r="A11" s="1">
        <f t="shared" si="2"/>
        <v>70</v>
      </c>
      <c r="B11" s="1">
        <f t="shared" si="3"/>
        <v>0</v>
      </c>
      <c r="I11" s="1" t="e">
        <f t="shared" si="4"/>
        <v>#N/A</v>
      </c>
      <c r="J11" s="1" t="e">
        <f t="shared" si="0"/>
        <v>#N/A</v>
      </c>
      <c r="K11" s="1" t="e">
        <f t="shared" si="5"/>
        <v>#N/A</v>
      </c>
      <c r="L11" s="8" t="e" cm="1">
        <f t="array" ref="L11">IF(I11="","", IFERROR(((IF(I$5&lt;&gt;"", I$5*A$5, 0) + SUMPRODUCT(--(I$6:I11&lt;&gt;""), I$6:I11, (A$6:A11-A$5:A10)))/1000)/H$3, ""))</f>
        <v>#N/A</v>
      </c>
      <c r="M11" s="1">
        <f t="shared" si="6"/>
        <v>70</v>
      </c>
      <c r="N11" s="1">
        <f t="shared" si="7"/>
        <v>0</v>
      </c>
      <c r="U11" s="1" t="e">
        <f t="shared" si="8"/>
        <v>#N/A</v>
      </c>
      <c r="V11" s="1" t="e">
        <f t="shared" si="1"/>
        <v>#N/A</v>
      </c>
      <c r="W11" s="1" t="e">
        <f t="shared" si="9"/>
        <v>#N/A</v>
      </c>
      <c r="X11" s="8" t="e" cm="1">
        <f t="array" ref="X11">IF(U11="","", IFERROR(((IF(U$5&lt;&gt;"", U$5*M$5, 0) + SUMPRODUCT(--(U$6:U11&lt;&gt;""), U$6:U11, (M$6:M11-M$5:M10)))/1000)/T$3, ""))</f>
        <v>#N/A</v>
      </c>
    </row>
    <row r="12" spans="1:24" x14ac:dyDescent="0.25">
      <c r="A12" s="1">
        <f t="shared" si="2"/>
        <v>80</v>
      </c>
      <c r="B12" s="1">
        <f t="shared" si="3"/>
        <v>0</v>
      </c>
      <c r="I12" s="1" t="e">
        <f t="shared" si="4"/>
        <v>#N/A</v>
      </c>
      <c r="J12" s="1" t="e">
        <f t="shared" si="0"/>
        <v>#N/A</v>
      </c>
      <c r="K12" s="1" t="e">
        <f t="shared" si="5"/>
        <v>#N/A</v>
      </c>
      <c r="L12" s="8" t="e" cm="1">
        <f t="array" ref="L12">IF(I12="","", IFERROR(((IF(I$5&lt;&gt;"", I$5*A$5, 0) + SUMPRODUCT(--(I$6:I12&lt;&gt;""), I$6:I12, (A$6:A12-A$5:A11)))/1000)/H$3, ""))</f>
        <v>#N/A</v>
      </c>
      <c r="M12" s="1">
        <f t="shared" si="6"/>
        <v>80</v>
      </c>
      <c r="N12" s="1">
        <f t="shared" si="7"/>
        <v>0</v>
      </c>
      <c r="U12" s="1" t="e">
        <f t="shared" si="8"/>
        <v>#N/A</v>
      </c>
      <c r="V12" s="1" t="e">
        <f t="shared" si="1"/>
        <v>#N/A</v>
      </c>
      <c r="W12" s="1" t="e">
        <f t="shared" si="9"/>
        <v>#N/A</v>
      </c>
      <c r="X12" s="8" t="e" cm="1">
        <f t="array" ref="X12">IF(U12="","", IFERROR(((IF(U$5&lt;&gt;"", U$5*M$5, 0) + SUMPRODUCT(--(U$6:U12&lt;&gt;""), U$6:U12, (M$6:M12-M$5:M11)))/1000)/T$3, ""))</f>
        <v>#N/A</v>
      </c>
    </row>
    <row r="13" spans="1:24" x14ac:dyDescent="0.25">
      <c r="A13" s="1">
        <f t="shared" si="2"/>
        <v>90</v>
      </c>
      <c r="B13" s="1">
        <f t="shared" si="3"/>
        <v>0</v>
      </c>
      <c r="I13" s="1" t="e">
        <f t="shared" si="4"/>
        <v>#N/A</v>
      </c>
      <c r="J13" s="1" t="e">
        <f t="shared" si="0"/>
        <v>#N/A</v>
      </c>
      <c r="K13" s="1" t="e">
        <f t="shared" si="5"/>
        <v>#N/A</v>
      </c>
      <c r="L13" s="8" t="e" cm="1">
        <f t="array" ref="L13">IF(I13="","", IFERROR(((IF(I$5&lt;&gt;"", I$5*A$5, 0) + SUMPRODUCT(--(I$6:I13&lt;&gt;""), I$6:I13, (A$6:A13-A$5:A12)))/1000)/H$3, ""))</f>
        <v>#N/A</v>
      </c>
      <c r="M13" s="1">
        <f t="shared" si="6"/>
        <v>90</v>
      </c>
      <c r="N13" s="1">
        <f t="shared" si="7"/>
        <v>0</v>
      </c>
      <c r="U13" s="1" t="e">
        <f t="shared" si="8"/>
        <v>#N/A</v>
      </c>
      <c r="V13" s="1" t="e">
        <f t="shared" si="1"/>
        <v>#N/A</v>
      </c>
      <c r="W13" s="1" t="e">
        <f t="shared" si="9"/>
        <v>#N/A</v>
      </c>
      <c r="X13" s="8" t="e" cm="1">
        <f t="array" ref="X13">IF(U13="","", IFERROR(((IF(U$5&lt;&gt;"", U$5*M$5, 0) + SUMPRODUCT(--(U$6:U13&lt;&gt;""), U$6:U13, (M$6:M13-M$5:M12)))/1000)/T$3, ""))</f>
        <v>#N/A</v>
      </c>
    </row>
    <row r="14" spans="1:24" x14ac:dyDescent="0.25">
      <c r="A14" s="1">
        <f t="shared" si="2"/>
        <v>100</v>
      </c>
      <c r="B14" s="1">
        <f t="shared" si="3"/>
        <v>0</v>
      </c>
      <c r="I14" s="1" t="e">
        <f t="shared" si="4"/>
        <v>#N/A</v>
      </c>
      <c r="J14" s="1" t="e">
        <f t="shared" si="0"/>
        <v>#N/A</v>
      </c>
      <c r="K14" s="1" t="e">
        <f t="shared" si="5"/>
        <v>#N/A</v>
      </c>
      <c r="L14" s="8" t="e" cm="1">
        <f t="array" ref="L14">IF(I14="","", IFERROR(((IF(I$5&lt;&gt;"", I$5*A$5, 0) + SUMPRODUCT(--(I$6:I14&lt;&gt;""), I$6:I14, (A$6:A14-A$5:A13)))/1000)/H$3, ""))</f>
        <v>#N/A</v>
      </c>
      <c r="M14" s="1">
        <f t="shared" si="6"/>
        <v>100</v>
      </c>
      <c r="N14" s="1">
        <f t="shared" si="7"/>
        <v>0</v>
      </c>
      <c r="U14" s="1" t="e">
        <f t="shared" si="8"/>
        <v>#N/A</v>
      </c>
      <c r="V14" s="1" t="e">
        <f t="shared" si="1"/>
        <v>#N/A</v>
      </c>
      <c r="W14" s="1" t="e">
        <f t="shared" si="9"/>
        <v>#N/A</v>
      </c>
      <c r="X14" s="8" t="e" cm="1">
        <f t="array" ref="X14">IF(U14="","", IFERROR(((IF(U$5&lt;&gt;"", U$5*M$5, 0) + SUMPRODUCT(--(U$6:U14&lt;&gt;""), U$6:U14, (M$6:M14-M$5:M13)))/1000)/T$3, ""))</f>
        <v>#N/A</v>
      </c>
    </row>
    <row r="15" spans="1:24" x14ac:dyDescent="0.25">
      <c r="A15" s="1">
        <f t="shared" si="2"/>
        <v>110</v>
      </c>
      <c r="B15" s="1">
        <f t="shared" si="3"/>
        <v>0</v>
      </c>
      <c r="I15" s="1" t="e">
        <f t="shared" si="4"/>
        <v>#N/A</v>
      </c>
      <c r="J15" s="1" t="e">
        <f t="shared" si="0"/>
        <v>#N/A</v>
      </c>
      <c r="K15" s="1" t="e">
        <f t="shared" si="5"/>
        <v>#N/A</v>
      </c>
      <c r="L15" s="8" t="e" cm="1">
        <f t="array" ref="L15">IF(I15="","", IFERROR(((IF(I$5&lt;&gt;"", I$5*A$5, 0) + SUMPRODUCT(--(I$6:I15&lt;&gt;""), I$6:I15, (A$6:A15-A$5:A14)))/1000)/H$3, ""))</f>
        <v>#N/A</v>
      </c>
      <c r="M15" s="1">
        <f t="shared" si="6"/>
        <v>110</v>
      </c>
      <c r="N15" s="1">
        <f t="shared" si="7"/>
        <v>0</v>
      </c>
      <c r="U15" s="1" t="e">
        <f t="shared" si="8"/>
        <v>#N/A</v>
      </c>
      <c r="V15" s="1" t="e">
        <f t="shared" si="1"/>
        <v>#N/A</v>
      </c>
      <c r="W15" s="1" t="e">
        <f t="shared" si="9"/>
        <v>#N/A</v>
      </c>
      <c r="X15" s="8" t="e" cm="1">
        <f t="array" ref="X15">IF(U15="","", IFERROR(((IF(U$5&lt;&gt;"", U$5*M$5, 0) + SUMPRODUCT(--(U$6:U15&lt;&gt;""), U$6:U15, (M$6:M15-M$5:M14)))/1000)/T$3, ""))</f>
        <v>#N/A</v>
      </c>
    </row>
    <row r="16" spans="1:24" x14ac:dyDescent="0.25">
      <c r="A16" s="1">
        <f t="shared" si="2"/>
        <v>120</v>
      </c>
      <c r="B16" s="1">
        <f t="shared" si="3"/>
        <v>0</v>
      </c>
      <c r="I16" s="1" t="e">
        <f t="shared" si="4"/>
        <v>#N/A</v>
      </c>
      <c r="J16" s="1" t="e">
        <f t="shared" si="0"/>
        <v>#N/A</v>
      </c>
      <c r="K16" s="1" t="e">
        <f t="shared" si="5"/>
        <v>#N/A</v>
      </c>
      <c r="L16" s="8" t="e" cm="1">
        <f t="array" ref="L16">IF(I16="","", IFERROR(((IF(I$5&lt;&gt;"", I$5*A$5, 0) + SUMPRODUCT(--(I$6:I16&lt;&gt;""), I$6:I16, (A$6:A16-A$5:A15)))/1000)/H$3, ""))</f>
        <v>#N/A</v>
      </c>
      <c r="M16" s="1">
        <f t="shared" si="6"/>
        <v>120</v>
      </c>
      <c r="N16" s="1">
        <f t="shared" si="7"/>
        <v>0</v>
      </c>
      <c r="U16" s="1" t="e">
        <f t="shared" si="8"/>
        <v>#N/A</v>
      </c>
      <c r="V16" s="1" t="e">
        <f t="shared" si="1"/>
        <v>#N/A</v>
      </c>
      <c r="W16" s="1" t="e">
        <f t="shared" si="9"/>
        <v>#N/A</v>
      </c>
      <c r="X16" s="8" t="e" cm="1">
        <f t="array" ref="X16">IF(U16="","", IFERROR(((IF(U$5&lt;&gt;"", U$5*M$5, 0) + SUMPRODUCT(--(U$6:U16&lt;&gt;""), U$6:U16, (M$6:M16-M$5:M15)))/1000)/T$3, ""))</f>
        <v>#N/A</v>
      </c>
    </row>
    <row r="17" spans="1:24" x14ac:dyDescent="0.25">
      <c r="A17" s="1">
        <f t="shared" si="2"/>
        <v>130</v>
      </c>
      <c r="B17" s="1">
        <f t="shared" si="3"/>
        <v>0</v>
      </c>
      <c r="I17" s="1" t="e">
        <f t="shared" si="4"/>
        <v>#N/A</v>
      </c>
      <c r="J17" s="1" t="e">
        <f t="shared" si="0"/>
        <v>#N/A</v>
      </c>
      <c r="K17" s="1" t="e">
        <f t="shared" si="5"/>
        <v>#N/A</v>
      </c>
      <c r="L17" s="8" t="e" cm="1">
        <f t="array" ref="L17">IF(I17="","", IFERROR(((IF(I$5&lt;&gt;"", I$5*A$5, 0) + SUMPRODUCT(--(I$6:I17&lt;&gt;""), I$6:I17, (A$6:A17-A$5:A16)))/1000)/H$3, ""))</f>
        <v>#N/A</v>
      </c>
      <c r="M17" s="1">
        <f t="shared" si="6"/>
        <v>130</v>
      </c>
      <c r="N17" s="1">
        <f t="shared" si="7"/>
        <v>0</v>
      </c>
      <c r="U17" s="1" t="e">
        <f t="shared" si="8"/>
        <v>#N/A</v>
      </c>
      <c r="V17" s="1" t="e">
        <f t="shared" si="1"/>
        <v>#N/A</v>
      </c>
      <c r="W17" s="1" t="e">
        <f t="shared" si="9"/>
        <v>#N/A</v>
      </c>
      <c r="X17" s="8" t="e" cm="1">
        <f t="array" ref="X17">IF(U17="","", IFERROR(((IF(U$5&lt;&gt;"", U$5*M$5, 0) + SUMPRODUCT(--(U$6:U17&lt;&gt;""), U$6:U17, (M$6:M17-M$5:M16)))/1000)/T$3, ""))</f>
        <v>#N/A</v>
      </c>
    </row>
    <row r="18" spans="1:24" x14ac:dyDescent="0.25">
      <c r="A18" s="1">
        <f t="shared" si="2"/>
        <v>140</v>
      </c>
      <c r="B18" s="1">
        <f t="shared" si="3"/>
        <v>0</v>
      </c>
      <c r="I18" s="1" t="e">
        <f t="shared" si="4"/>
        <v>#N/A</v>
      </c>
      <c r="J18" s="1" t="e">
        <f t="shared" si="0"/>
        <v>#N/A</v>
      </c>
      <c r="K18" s="1" t="e">
        <f t="shared" si="5"/>
        <v>#N/A</v>
      </c>
      <c r="L18" s="8" t="e" cm="1">
        <f t="array" ref="L18">IF(I18="","", IFERROR(((IF(I$5&lt;&gt;"", I$5*A$5, 0) + SUMPRODUCT(--(I$6:I18&lt;&gt;""), I$6:I18, (A$6:A18-A$5:A17)))/1000)/H$3, ""))</f>
        <v>#N/A</v>
      </c>
      <c r="M18" s="1">
        <f t="shared" si="6"/>
        <v>140</v>
      </c>
      <c r="N18" s="1">
        <f t="shared" si="7"/>
        <v>0</v>
      </c>
      <c r="U18" s="1" t="e">
        <f t="shared" si="8"/>
        <v>#N/A</v>
      </c>
      <c r="V18" s="1" t="e">
        <f t="shared" si="1"/>
        <v>#N/A</v>
      </c>
      <c r="W18" s="1" t="e">
        <f t="shared" si="9"/>
        <v>#N/A</v>
      </c>
      <c r="X18" s="8" t="e" cm="1">
        <f t="array" ref="X18">IF(U18="","", IFERROR(((IF(U$5&lt;&gt;"", U$5*M$5, 0) + SUMPRODUCT(--(U$6:U18&lt;&gt;""), U$6:U18, (M$6:M18-M$5:M17)))/1000)/T$3, ""))</f>
        <v>#N/A</v>
      </c>
    </row>
    <row r="19" spans="1:24" x14ac:dyDescent="0.25">
      <c r="A19" s="1">
        <f t="shared" si="2"/>
        <v>150</v>
      </c>
      <c r="B19" s="1">
        <f t="shared" si="3"/>
        <v>0</v>
      </c>
      <c r="I19" s="1" t="e">
        <f t="shared" si="4"/>
        <v>#N/A</v>
      </c>
      <c r="J19" s="1" t="e">
        <f t="shared" si="0"/>
        <v>#N/A</v>
      </c>
      <c r="K19" s="1" t="e">
        <f t="shared" si="5"/>
        <v>#N/A</v>
      </c>
      <c r="L19" s="8" t="e" cm="1">
        <f t="array" ref="L19">IF(I19="","", IFERROR(((IF(I$5&lt;&gt;"", I$5*A$5, 0) + SUMPRODUCT(--(I$6:I19&lt;&gt;""), I$6:I19, (A$6:A19-A$5:A18)))/1000)/H$3, ""))</f>
        <v>#N/A</v>
      </c>
      <c r="M19" s="1">
        <f t="shared" si="6"/>
        <v>150</v>
      </c>
      <c r="N19" s="1">
        <f t="shared" si="7"/>
        <v>0</v>
      </c>
      <c r="U19" s="1" t="e">
        <f t="shared" si="8"/>
        <v>#N/A</v>
      </c>
      <c r="V19" s="1" t="e">
        <f t="shared" si="1"/>
        <v>#N/A</v>
      </c>
      <c r="W19" s="1" t="e">
        <f t="shared" si="9"/>
        <v>#N/A</v>
      </c>
      <c r="X19" s="8" t="e" cm="1">
        <f t="array" ref="X19">IF(U19="","", IFERROR(((IF(U$5&lt;&gt;"", U$5*M$5, 0) + SUMPRODUCT(--(U$6:U19&lt;&gt;""), U$6:U19, (M$6:M19-M$5:M18)))/1000)/T$3, ""))</f>
        <v>#N/A</v>
      </c>
    </row>
    <row r="20" spans="1:24" x14ac:dyDescent="0.25">
      <c r="A20" s="1">
        <f t="shared" si="2"/>
        <v>160</v>
      </c>
      <c r="B20" s="1">
        <f t="shared" si="3"/>
        <v>0</v>
      </c>
      <c r="I20" s="1" t="e">
        <f t="shared" si="4"/>
        <v>#N/A</v>
      </c>
      <c r="J20" s="1" t="e">
        <f t="shared" si="0"/>
        <v>#N/A</v>
      </c>
      <c r="K20" s="1" t="e">
        <f t="shared" si="5"/>
        <v>#N/A</v>
      </c>
      <c r="L20" s="8" t="e" cm="1">
        <f t="array" ref="L20">IF(I20="","", IFERROR(((IF(I$5&lt;&gt;"", I$5*A$5, 0) + SUMPRODUCT(--(I$6:I20&lt;&gt;""), I$6:I20, (A$6:A20-A$5:A19)))/1000)/H$3, ""))</f>
        <v>#N/A</v>
      </c>
      <c r="M20" s="1">
        <f t="shared" si="6"/>
        <v>160</v>
      </c>
      <c r="N20" s="1">
        <f t="shared" si="7"/>
        <v>0</v>
      </c>
      <c r="U20" s="1" t="e">
        <f t="shared" si="8"/>
        <v>#N/A</v>
      </c>
      <c r="V20" s="1" t="e">
        <f t="shared" si="1"/>
        <v>#N/A</v>
      </c>
      <c r="W20" s="1" t="e">
        <f t="shared" si="9"/>
        <v>#N/A</v>
      </c>
      <c r="X20" s="8" t="e" cm="1">
        <f t="array" ref="X20">IF(U20="","", IFERROR(((IF(U$5&lt;&gt;"", U$5*M$5, 0) + SUMPRODUCT(--(U$6:U20&lt;&gt;""), U$6:U20, (M$6:M20-M$5:M19)))/1000)/T$3, ""))</f>
        <v>#N/A</v>
      </c>
    </row>
    <row r="21" spans="1:24" x14ac:dyDescent="0.25">
      <c r="A21" s="1">
        <f t="shared" si="2"/>
        <v>170</v>
      </c>
      <c r="B21" s="1">
        <f t="shared" si="3"/>
        <v>0</v>
      </c>
      <c r="I21" s="1" t="e">
        <f t="shared" si="4"/>
        <v>#N/A</v>
      </c>
      <c r="J21" s="1" t="e">
        <f t="shared" si="0"/>
        <v>#N/A</v>
      </c>
      <c r="K21" s="1" t="e">
        <f t="shared" si="5"/>
        <v>#N/A</v>
      </c>
      <c r="L21" s="8" t="e" cm="1">
        <f t="array" ref="L21">IF(I21="","", IFERROR(((IF(I$5&lt;&gt;"", I$5*A$5, 0) + SUMPRODUCT(--(I$6:I21&lt;&gt;""), I$6:I21, (A$6:A21-A$5:A20)))/1000)/H$3, ""))</f>
        <v>#N/A</v>
      </c>
      <c r="M21" s="1">
        <f t="shared" si="6"/>
        <v>170</v>
      </c>
      <c r="N21" s="1">
        <f t="shared" si="7"/>
        <v>0</v>
      </c>
      <c r="U21" s="1" t="e">
        <f t="shared" si="8"/>
        <v>#N/A</v>
      </c>
      <c r="V21" s="1" t="e">
        <f t="shared" si="1"/>
        <v>#N/A</v>
      </c>
      <c r="W21" s="1" t="e">
        <f t="shared" si="9"/>
        <v>#N/A</v>
      </c>
      <c r="X21" s="8" t="e" cm="1">
        <f t="array" ref="X21">IF(U21="","", IFERROR(((IF(U$5&lt;&gt;"", U$5*M$5, 0) + SUMPRODUCT(--(U$6:U21&lt;&gt;""), U$6:U21, (M$6:M21-M$5:M20)))/1000)/T$3, ""))</f>
        <v>#N/A</v>
      </c>
    </row>
    <row r="22" spans="1:24" x14ac:dyDescent="0.25">
      <c r="A22" s="1">
        <f t="shared" si="2"/>
        <v>180</v>
      </c>
      <c r="B22" s="1">
        <f t="shared" si="3"/>
        <v>0</v>
      </c>
      <c r="I22" s="1" t="e">
        <f t="shared" si="4"/>
        <v>#N/A</v>
      </c>
      <c r="J22" s="1" t="e">
        <f t="shared" si="0"/>
        <v>#N/A</v>
      </c>
      <c r="K22" s="1" t="e">
        <f t="shared" si="5"/>
        <v>#N/A</v>
      </c>
      <c r="L22" s="8" t="e" cm="1">
        <f t="array" ref="L22">IF(I22="","", IFERROR(((IF(I$5&lt;&gt;"", I$5*A$5, 0) + SUMPRODUCT(--(I$6:I22&lt;&gt;""), I$6:I22, (A$6:A22-A$5:A21)))/1000)/H$3, ""))</f>
        <v>#N/A</v>
      </c>
      <c r="M22" s="1">
        <f t="shared" si="6"/>
        <v>180</v>
      </c>
      <c r="N22" s="1">
        <f t="shared" si="7"/>
        <v>0</v>
      </c>
      <c r="U22" s="1" t="e">
        <f t="shared" si="8"/>
        <v>#N/A</v>
      </c>
      <c r="V22" s="1" t="e">
        <f t="shared" si="1"/>
        <v>#N/A</v>
      </c>
      <c r="W22" s="1" t="e">
        <f t="shared" si="9"/>
        <v>#N/A</v>
      </c>
      <c r="X22" s="8" t="e" cm="1">
        <f t="array" ref="X22">IF(U22="","", IFERROR(((IF(U$5&lt;&gt;"", U$5*M$5, 0) + SUMPRODUCT(--(U$6:U22&lt;&gt;""), U$6:U22, (M$6:M22-M$5:M21)))/1000)/T$3, ""))</f>
        <v>#N/A</v>
      </c>
    </row>
    <row r="23" spans="1:24" x14ac:dyDescent="0.25">
      <c r="A23" s="1">
        <f t="shared" si="2"/>
        <v>190</v>
      </c>
      <c r="B23" s="1">
        <f t="shared" si="3"/>
        <v>0</v>
      </c>
      <c r="I23" s="1" t="e">
        <f t="shared" si="4"/>
        <v>#N/A</v>
      </c>
      <c r="J23" s="1" t="e">
        <f t="shared" si="0"/>
        <v>#N/A</v>
      </c>
      <c r="K23" s="1" t="e">
        <f t="shared" si="5"/>
        <v>#N/A</v>
      </c>
      <c r="L23" s="8" t="e" cm="1">
        <f t="array" ref="L23">IF(I23="","", IFERROR(((IF(I$5&lt;&gt;"", I$5*A$5, 0) + SUMPRODUCT(--(I$6:I23&lt;&gt;""), I$6:I23, (A$6:A23-A$5:A22)))/1000)/H$3, ""))</f>
        <v>#N/A</v>
      </c>
      <c r="M23" s="1">
        <f t="shared" si="6"/>
        <v>190</v>
      </c>
      <c r="N23" s="1">
        <f t="shared" si="7"/>
        <v>0</v>
      </c>
      <c r="U23" s="1" t="e">
        <f t="shared" si="8"/>
        <v>#N/A</v>
      </c>
      <c r="V23" s="1" t="e">
        <f t="shared" si="1"/>
        <v>#N/A</v>
      </c>
      <c r="W23" s="1" t="e">
        <f t="shared" si="9"/>
        <v>#N/A</v>
      </c>
      <c r="X23" s="8" t="e" cm="1">
        <f t="array" ref="X23">IF(U23="","", IFERROR(((IF(U$5&lt;&gt;"", U$5*M$5, 0) + SUMPRODUCT(--(U$6:U23&lt;&gt;""), U$6:U23, (M$6:M23-M$5:M22)))/1000)/T$3, ""))</f>
        <v>#N/A</v>
      </c>
    </row>
    <row r="24" spans="1:24" x14ac:dyDescent="0.25">
      <c r="A24" s="1">
        <f t="shared" si="2"/>
        <v>200</v>
      </c>
      <c r="B24" s="1">
        <f t="shared" si="3"/>
        <v>0</v>
      </c>
      <c r="I24" s="1" t="e">
        <f t="shared" si="4"/>
        <v>#N/A</v>
      </c>
      <c r="J24" s="1" t="e">
        <f t="shared" si="0"/>
        <v>#N/A</v>
      </c>
      <c r="K24" s="1" t="e">
        <f t="shared" si="5"/>
        <v>#N/A</v>
      </c>
      <c r="L24" s="8" t="e" cm="1">
        <f t="array" ref="L24">IF(I24="","", IFERROR(((IF(I$5&lt;&gt;"", I$5*A$5, 0) + SUMPRODUCT(--(I$6:I24&lt;&gt;""), I$6:I24, (A$6:A24-A$5:A23)))/1000)/H$3, ""))</f>
        <v>#N/A</v>
      </c>
      <c r="M24" s="1">
        <f t="shared" si="6"/>
        <v>200</v>
      </c>
      <c r="N24" s="1">
        <f t="shared" si="7"/>
        <v>0</v>
      </c>
      <c r="U24" s="1" t="e">
        <f t="shared" si="8"/>
        <v>#N/A</v>
      </c>
      <c r="V24" s="1" t="e">
        <f t="shared" si="1"/>
        <v>#N/A</v>
      </c>
      <c r="W24" s="1" t="e">
        <f t="shared" si="9"/>
        <v>#N/A</v>
      </c>
      <c r="X24" s="8" t="e" cm="1">
        <f t="array" ref="X24">IF(U24="","", IFERROR(((IF(U$5&lt;&gt;"", U$5*M$5, 0) + SUMPRODUCT(--(U$6:U24&lt;&gt;""), U$6:U24, (M$6:M24-M$5:M23)))/1000)/T$3, ""))</f>
        <v>#N/A</v>
      </c>
    </row>
    <row r="25" spans="1:24" x14ac:dyDescent="0.25">
      <c r="A25" s="1">
        <f t="shared" si="2"/>
        <v>210</v>
      </c>
      <c r="B25" s="1">
        <f t="shared" si="3"/>
        <v>0</v>
      </c>
      <c r="I25" s="1" t="e">
        <f t="shared" si="4"/>
        <v>#N/A</v>
      </c>
      <c r="J25" s="1" t="e">
        <f t="shared" si="0"/>
        <v>#N/A</v>
      </c>
      <c r="K25" s="1" t="e">
        <f t="shared" si="5"/>
        <v>#N/A</v>
      </c>
      <c r="L25" s="8" t="e" cm="1">
        <f t="array" ref="L25">IF(I25="","", IFERROR(((IF(I$5&lt;&gt;"", I$5*A$5, 0) + SUMPRODUCT(--(I$6:I25&lt;&gt;""), I$6:I25, (A$6:A25-A$5:A24)))/1000)/H$3, ""))</f>
        <v>#N/A</v>
      </c>
      <c r="M25" s="1">
        <f t="shared" si="6"/>
        <v>210</v>
      </c>
      <c r="N25" s="1">
        <f t="shared" si="7"/>
        <v>0</v>
      </c>
      <c r="U25" s="1" t="e">
        <f t="shared" si="8"/>
        <v>#N/A</v>
      </c>
      <c r="V25" s="1" t="e">
        <f t="shared" si="1"/>
        <v>#N/A</v>
      </c>
      <c r="W25" s="1" t="e">
        <f t="shared" si="9"/>
        <v>#N/A</v>
      </c>
      <c r="X25" s="8" t="e" cm="1">
        <f t="array" ref="X25">IF(U25="","", IFERROR(((IF(U$5&lt;&gt;"", U$5*M$5, 0) + SUMPRODUCT(--(U$6:U25&lt;&gt;""), U$6:U25, (M$6:M25-M$5:M24)))/1000)/T$3, ""))</f>
        <v>#N/A</v>
      </c>
    </row>
    <row r="26" spans="1:24" x14ac:dyDescent="0.25">
      <c r="A26" s="1">
        <f t="shared" si="2"/>
        <v>220</v>
      </c>
      <c r="B26" s="1">
        <f t="shared" si="3"/>
        <v>0</v>
      </c>
      <c r="I26" s="1" t="e">
        <f t="shared" si="4"/>
        <v>#N/A</v>
      </c>
      <c r="J26" s="1" t="e">
        <f t="shared" si="0"/>
        <v>#N/A</v>
      </c>
      <c r="K26" s="1" t="e">
        <f t="shared" si="5"/>
        <v>#N/A</v>
      </c>
      <c r="L26" s="8" t="e" cm="1">
        <f t="array" ref="L26">IF(I26="","", IFERROR(((IF(I$5&lt;&gt;"", I$5*A$5, 0) + SUMPRODUCT(--(I$6:I26&lt;&gt;""), I$6:I26, (A$6:A26-A$5:A25)))/1000)/H$3, ""))</f>
        <v>#N/A</v>
      </c>
      <c r="M26" s="1">
        <f t="shared" si="6"/>
        <v>220</v>
      </c>
      <c r="N26" s="1">
        <f t="shared" si="7"/>
        <v>0</v>
      </c>
      <c r="U26" s="1" t="e">
        <f t="shared" si="8"/>
        <v>#N/A</v>
      </c>
      <c r="V26" s="1" t="e">
        <f t="shared" si="1"/>
        <v>#N/A</v>
      </c>
      <c r="W26" s="1" t="e">
        <f t="shared" si="9"/>
        <v>#N/A</v>
      </c>
      <c r="X26" s="8" t="e" cm="1">
        <f t="array" ref="X26">IF(U26="","", IFERROR(((IF(U$5&lt;&gt;"", U$5*M$5, 0) + SUMPRODUCT(--(U$6:U26&lt;&gt;""), U$6:U26, (M$6:M26-M$5:M25)))/1000)/T$3, ""))</f>
        <v>#N/A</v>
      </c>
    </row>
    <row r="27" spans="1:24" x14ac:dyDescent="0.25">
      <c r="A27" s="1">
        <f t="shared" si="2"/>
        <v>230</v>
      </c>
      <c r="B27" s="1">
        <f t="shared" si="3"/>
        <v>0</v>
      </c>
      <c r="I27" s="1" t="e">
        <f t="shared" si="4"/>
        <v>#N/A</v>
      </c>
      <c r="J27" s="1" t="e">
        <f t="shared" si="0"/>
        <v>#N/A</v>
      </c>
      <c r="K27" s="1" t="e">
        <f t="shared" si="5"/>
        <v>#N/A</v>
      </c>
      <c r="L27" s="8" t="e" cm="1">
        <f t="array" ref="L27">IF(I27="","", IFERROR(((IF(I$5&lt;&gt;"", I$5*A$5, 0) + SUMPRODUCT(--(I$6:I27&lt;&gt;""), I$6:I27, (A$6:A27-A$5:A26)))/1000)/H$3, ""))</f>
        <v>#N/A</v>
      </c>
      <c r="M27" s="1">
        <f t="shared" si="6"/>
        <v>230</v>
      </c>
      <c r="N27" s="1">
        <f t="shared" si="7"/>
        <v>0</v>
      </c>
      <c r="U27" s="1" t="e">
        <f t="shared" si="8"/>
        <v>#N/A</v>
      </c>
      <c r="V27" s="1" t="e">
        <f t="shared" si="1"/>
        <v>#N/A</v>
      </c>
      <c r="W27" s="1" t="e">
        <f t="shared" si="9"/>
        <v>#N/A</v>
      </c>
      <c r="X27" s="8" t="e" cm="1">
        <f t="array" ref="X27">IF(U27="","", IFERROR(((IF(U$5&lt;&gt;"", U$5*M$5, 0) + SUMPRODUCT(--(U$6:U27&lt;&gt;""), U$6:U27, (M$6:M27-M$5:M26)))/1000)/T$3, ""))</f>
        <v>#N/A</v>
      </c>
    </row>
    <row r="28" spans="1:24" x14ac:dyDescent="0.25">
      <c r="A28" s="1">
        <f t="shared" si="2"/>
        <v>240</v>
      </c>
      <c r="B28" s="1">
        <f t="shared" si="3"/>
        <v>0</v>
      </c>
      <c r="I28" s="1" t="e">
        <f t="shared" si="4"/>
        <v>#N/A</v>
      </c>
      <c r="J28" s="1" t="e">
        <f t="shared" si="0"/>
        <v>#N/A</v>
      </c>
      <c r="K28" s="1" t="e">
        <f t="shared" si="5"/>
        <v>#N/A</v>
      </c>
      <c r="L28" s="8" t="e" cm="1">
        <f t="array" ref="L28">IF(I28="","", IFERROR(((IF(I$5&lt;&gt;"", I$5*A$5, 0) + SUMPRODUCT(--(I$6:I28&lt;&gt;""), I$6:I28, (A$6:A28-A$5:A27)))/1000)/H$3, ""))</f>
        <v>#N/A</v>
      </c>
      <c r="M28" s="1">
        <f t="shared" si="6"/>
        <v>240</v>
      </c>
      <c r="N28" s="1">
        <f t="shared" si="7"/>
        <v>0</v>
      </c>
      <c r="U28" s="1" t="e">
        <f t="shared" si="8"/>
        <v>#N/A</v>
      </c>
      <c r="V28" s="1" t="e">
        <f t="shared" si="1"/>
        <v>#N/A</v>
      </c>
      <c r="W28" s="1" t="e">
        <f t="shared" si="9"/>
        <v>#N/A</v>
      </c>
      <c r="X28" s="8" t="e" cm="1">
        <f t="array" ref="X28">IF(U28="","", IFERROR(((IF(U$5&lt;&gt;"", U$5*M$5, 0) + SUMPRODUCT(--(U$6:U28&lt;&gt;""), U$6:U28, (M$6:M28-M$5:M27)))/1000)/T$3, ""))</f>
        <v>#N/A</v>
      </c>
    </row>
    <row r="29" spans="1:24" x14ac:dyDescent="0.25">
      <c r="A29" s="1">
        <f t="shared" si="2"/>
        <v>250</v>
      </c>
      <c r="B29" s="1">
        <f t="shared" si="3"/>
        <v>0</v>
      </c>
      <c r="F29" s="9"/>
      <c r="G29" s="9"/>
      <c r="H29" s="9"/>
      <c r="I29" s="1" t="e">
        <f t="shared" si="4"/>
        <v>#N/A</v>
      </c>
      <c r="J29" s="1" t="e">
        <f t="shared" si="0"/>
        <v>#N/A</v>
      </c>
      <c r="K29" s="1" t="e">
        <f t="shared" si="5"/>
        <v>#N/A</v>
      </c>
      <c r="L29" s="8" t="e" cm="1">
        <f t="array" ref="L29">IF(I29="","", IFERROR(((IF(I$5&lt;&gt;"", I$5*A$5, 0) + SUMPRODUCT(--(I$6:I29&lt;&gt;""), I$6:I29, (A$6:A29-A$5:A28)))/1000)/H$3, ""))</f>
        <v>#N/A</v>
      </c>
      <c r="M29" s="1">
        <f t="shared" si="6"/>
        <v>250</v>
      </c>
      <c r="N29" s="1">
        <f t="shared" si="7"/>
        <v>0</v>
      </c>
      <c r="R29" s="9"/>
      <c r="S29" s="9"/>
      <c r="T29" s="9"/>
      <c r="U29" s="1" t="e">
        <f t="shared" si="8"/>
        <v>#N/A</v>
      </c>
      <c r="V29" s="1" t="e">
        <f t="shared" si="1"/>
        <v>#N/A</v>
      </c>
      <c r="W29" s="1" t="e">
        <f t="shared" si="9"/>
        <v>#N/A</v>
      </c>
      <c r="X29" s="8" t="e" cm="1">
        <f t="array" ref="X29">IF(U29="","", IFERROR(((IF(U$5&lt;&gt;"", U$5*M$5, 0) + SUMPRODUCT(--(U$6:U29&lt;&gt;""), U$6:U29, (M$6:M29-M$5:M28)))/1000)/T$3, ""))</f>
        <v>#N/A</v>
      </c>
    </row>
    <row r="30" spans="1:24" x14ac:dyDescent="0.25">
      <c r="A30" s="1">
        <f t="shared" si="2"/>
        <v>260</v>
      </c>
      <c r="B30" s="1">
        <f t="shared" si="3"/>
        <v>0</v>
      </c>
      <c r="I30" s="1" t="e">
        <f t="shared" si="4"/>
        <v>#N/A</v>
      </c>
      <c r="J30" s="1" t="e">
        <f t="shared" si="0"/>
        <v>#N/A</v>
      </c>
      <c r="K30" s="1" t="e">
        <f t="shared" si="5"/>
        <v>#N/A</v>
      </c>
      <c r="L30" s="8" t="e" cm="1">
        <f t="array" ref="L30">IF(I30="","", IFERROR(((IF(I$5&lt;&gt;"", I$5*A$5, 0) + SUMPRODUCT(--(I$6:I30&lt;&gt;""), I$6:I30, (A$6:A30-A$5:A29)))/1000)/H$3, ""))</f>
        <v>#N/A</v>
      </c>
      <c r="M30" s="1">
        <f t="shared" si="6"/>
        <v>260</v>
      </c>
      <c r="N30" s="1">
        <f t="shared" si="7"/>
        <v>0</v>
      </c>
      <c r="U30" s="1" t="e">
        <f t="shared" si="8"/>
        <v>#N/A</v>
      </c>
      <c r="V30" s="1" t="e">
        <f t="shared" si="1"/>
        <v>#N/A</v>
      </c>
      <c r="W30" s="1" t="e">
        <f t="shared" si="9"/>
        <v>#N/A</v>
      </c>
      <c r="X30" s="8" t="e" cm="1">
        <f t="array" ref="X30">IF(U30="","", IFERROR(((IF(U$5&lt;&gt;"", U$5*M$5, 0) + SUMPRODUCT(--(U$6:U30&lt;&gt;""), U$6:U30, (M$6:M30-M$5:M29)))/1000)/T$3, ""))</f>
        <v>#N/A</v>
      </c>
    </row>
    <row r="31" spans="1:24" x14ac:dyDescent="0.25">
      <c r="A31" s="1">
        <f t="shared" si="2"/>
        <v>270</v>
      </c>
      <c r="B31" s="1">
        <f t="shared" si="3"/>
        <v>0</v>
      </c>
      <c r="I31" s="1" t="e">
        <f t="shared" si="4"/>
        <v>#N/A</v>
      </c>
      <c r="J31" s="1" t="e">
        <f t="shared" si="0"/>
        <v>#N/A</v>
      </c>
      <c r="K31" s="1" t="e">
        <f t="shared" si="5"/>
        <v>#N/A</v>
      </c>
      <c r="L31" s="8" t="e" cm="1">
        <f t="array" ref="L31">IF(I31="","", IFERROR(((IF(I$5&lt;&gt;"", I$5*A$5, 0) + SUMPRODUCT(--(I$6:I31&lt;&gt;""), I$6:I31, (A$6:A31-A$5:A30)))/1000)/H$3, ""))</f>
        <v>#N/A</v>
      </c>
      <c r="M31" s="1">
        <f t="shared" si="6"/>
        <v>270</v>
      </c>
      <c r="N31" s="1">
        <f t="shared" si="7"/>
        <v>0</v>
      </c>
      <c r="U31" s="1" t="e">
        <f t="shared" si="8"/>
        <v>#N/A</v>
      </c>
      <c r="V31" s="1" t="e">
        <f t="shared" si="1"/>
        <v>#N/A</v>
      </c>
      <c r="W31" s="1" t="e">
        <f t="shared" si="9"/>
        <v>#N/A</v>
      </c>
      <c r="X31" s="8" t="e" cm="1">
        <f t="array" ref="X31">IF(U31="","", IFERROR(((IF(U$5&lt;&gt;"", U$5*M$5, 0) + SUMPRODUCT(--(U$6:U31&lt;&gt;""), U$6:U31, (M$6:M31-M$5:M30)))/1000)/T$3, ""))</f>
        <v>#N/A</v>
      </c>
    </row>
    <row r="32" spans="1:24" x14ac:dyDescent="0.25">
      <c r="A32" s="1">
        <f t="shared" si="2"/>
        <v>280</v>
      </c>
      <c r="B32" s="1">
        <f t="shared" si="3"/>
        <v>0</v>
      </c>
      <c r="I32" s="1" t="e">
        <f t="shared" si="4"/>
        <v>#N/A</v>
      </c>
      <c r="J32" s="1" t="e">
        <f t="shared" si="0"/>
        <v>#N/A</v>
      </c>
      <c r="K32" s="1" t="e">
        <f t="shared" si="5"/>
        <v>#N/A</v>
      </c>
      <c r="L32" s="8" t="e" cm="1">
        <f t="array" ref="L32">IF(I32="","", IFERROR(((IF(I$5&lt;&gt;"", I$5*A$5, 0) + SUMPRODUCT(--(I$6:I32&lt;&gt;""), I$6:I32, (A$6:A32-A$5:A31)))/1000)/H$3, ""))</f>
        <v>#N/A</v>
      </c>
      <c r="M32" s="1">
        <f t="shared" si="6"/>
        <v>280</v>
      </c>
      <c r="N32" s="1">
        <f t="shared" si="7"/>
        <v>0</v>
      </c>
      <c r="U32" s="1" t="e">
        <f t="shared" si="8"/>
        <v>#N/A</v>
      </c>
      <c r="V32" s="1" t="e">
        <f t="shared" si="1"/>
        <v>#N/A</v>
      </c>
      <c r="W32" s="1" t="e">
        <f t="shared" si="9"/>
        <v>#N/A</v>
      </c>
      <c r="X32" s="8" t="e" cm="1">
        <f t="array" ref="X32">IF(U32="","", IFERROR(((IF(U$5&lt;&gt;"", U$5*M$5, 0) + SUMPRODUCT(--(U$6:U32&lt;&gt;""), U$6:U32, (M$6:M32-M$5:M31)))/1000)/T$3, ""))</f>
        <v>#N/A</v>
      </c>
    </row>
    <row r="33" spans="1:24" x14ac:dyDescent="0.25">
      <c r="A33" s="1">
        <f t="shared" si="2"/>
        <v>290</v>
      </c>
      <c r="B33" s="1">
        <f t="shared" si="3"/>
        <v>0</v>
      </c>
      <c r="I33" s="1" t="e">
        <f t="shared" si="4"/>
        <v>#N/A</v>
      </c>
      <c r="J33" s="1" t="e">
        <f t="shared" si="0"/>
        <v>#N/A</v>
      </c>
      <c r="K33" s="1" t="e">
        <f t="shared" si="5"/>
        <v>#N/A</v>
      </c>
      <c r="L33" s="8" t="e" cm="1">
        <f t="array" ref="L33">IF(I33="","", IFERROR(((IF(I$5&lt;&gt;"", I$5*A$5, 0) + SUMPRODUCT(--(I$6:I33&lt;&gt;""), I$6:I33, (A$6:A33-A$5:A32)))/1000)/H$3, ""))</f>
        <v>#N/A</v>
      </c>
      <c r="M33" s="1">
        <f t="shared" si="6"/>
        <v>290</v>
      </c>
      <c r="N33" s="1">
        <f t="shared" si="7"/>
        <v>0</v>
      </c>
      <c r="U33" s="1" t="e">
        <f t="shared" si="8"/>
        <v>#N/A</v>
      </c>
      <c r="V33" s="1" t="e">
        <f t="shared" si="1"/>
        <v>#N/A</v>
      </c>
      <c r="W33" s="1" t="e">
        <f t="shared" si="9"/>
        <v>#N/A</v>
      </c>
      <c r="X33" s="8" t="e" cm="1">
        <f t="array" ref="X33">IF(U33="","", IFERROR(((IF(U$5&lt;&gt;"", U$5*M$5, 0) + SUMPRODUCT(--(U$6:U33&lt;&gt;""), U$6:U33, (M$6:M33-M$5:M32)))/1000)/T$3, ""))</f>
        <v>#N/A</v>
      </c>
    </row>
    <row r="34" spans="1:24" x14ac:dyDescent="0.25">
      <c r="A34" s="1">
        <f t="shared" si="2"/>
        <v>300</v>
      </c>
      <c r="B34" s="1">
        <f t="shared" si="3"/>
        <v>0</v>
      </c>
      <c r="I34" s="1" t="e">
        <f t="shared" si="4"/>
        <v>#N/A</v>
      </c>
      <c r="J34" s="1" t="e">
        <f t="shared" si="0"/>
        <v>#N/A</v>
      </c>
      <c r="K34" s="1" t="e">
        <f t="shared" si="5"/>
        <v>#N/A</v>
      </c>
      <c r="L34" s="8" t="e" cm="1">
        <f t="array" ref="L34">IF(I34="","", IFERROR(((IF(I$5&lt;&gt;"", I$5*A$5, 0) + SUMPRODUCT(--(I$6:I34&lt;&gt;""), I$6:I34, (A$6:A34-A$5:A33)))/1000)/H$3, ""))</f>
        <v>#N/A</v>
      </c>
      <c r="M34" s="1">
        <f t="shared" si="6"/>
        <v>300</v>
      </c>
      <c r="N34" s="1">
        <f t="shared" si="7"/>
        <v>0</v>
      </c>
      <c r="U34" s="1" t="e">
        <f t="shared" si="8"/>
        <v>#N/A</v>
      </c>
      <c r="V34" s="1" t="e">
        <f t="shared" si="1"/>
        <v>#N/A</v>
      </c>
      <c r="W34" s="1" t="e">
        <f t="shared" si="9"/>
        <v>#N/A</v>
      </c>
      <c r="X34" s="8" t="e" cm="1">
        <f t="array" ref="X34">IF(U34="","", IFERROR(((IF(U$5&lt;&gt;"", U$5*M$5, 0) + SUMPRODUCT(--(U$6:U34&lt;&gt;""), U$6:U34, (M$6:M34-M$5:M33)))/1000)/T$3, ""))</f>
        <v>#N/A</v>
      </c>
    </row>
    <row r="35" spans="1:24" x14ac:dyDescent="0.25">
      <c r="A35" s="1">
        <f t="shared" si="2"/>
        <v>310</v>
      </c>
      <c r="B35" s="1">
        <f t="shared" si="3"/>
        <v>0</v>
      </c>
      <c r="I35" s="1" t="e">
        <f t="shared" si="4"/>
        <v>#N/A</v>
      </c>
      <c r="J35" s="1" t="e">
        <f t="shared" si="0"/>
        <v>#N/A</v>
      </c>
      <c r="K35" s="1" t="e">
        <f t="shared" si="5"/>
        <v>#N/A</v>
      </c>
      <c r="L35" s="8" t="e" cm="1">
        <f t="array" ref="L35">IF(I35="","", IFERROR(((IF(I$5&lt;&gt;"", I$5*A$5, 0) + SUMPRODUCT(--(I$6:I35&lt;&gt;""), I$6:I35, (A$6:A35-A$5:A34)))/1000)/H$3, ""))</f>
        <v>#N/A</v>
      </c>
      <c r="M35" s="1">
        <f t="shared" si="6"/>
        <v>310</v>
      </c>
      <c r="N35" s="1">
        <f t="shared" si="7"/>
        <v>0</v>
      </c>
      <c r="U35" s="1" t="e">
        <f t="shared" si="8"/>
        <v>#N/A</v>
      </c>
      <c r="V35" s="1" t="e">
        <f t="shared" si="1"/>
        <v>#N/A</v>
      </c>
      <c r="W35" s="1" t="e">
        <f t="shared" si="9"/>
        <v>#N/A</v>
      </c>
      <c r="X35" s="8" t="e" cm="1">
        <f t="array" ref="X35">IF(U35="","", IFERROR(((IF(U$5&lt;&gt;"", U$5*M$5, 0) + SUMPRODUCT(--(U$6:U35&lt;&gt;""), U$6:U35, (M$6:M35-M$5:M34)))/1000)/T$3, ""))</f>
        <v>#N/A</v>
      </c>
    </row>
    <row r="36" spans="1:24" x14ac:dyDescent="0.25">
      <c r="A36" s="1">
        <f t="shared" si="2"/>
        <v>320</v>
      </c>
      <c r="B36" s="1">
        <f t="shared" si="3"/>
        <v>0</v>
      </c>
      <c r="I36" s="1" t="e">
        <f t="shared" si="4"/>
        <v>#N/A</v>
      </c>
      <c r="J36" s="1" t="e">
        <f t="shared" si="0"/>
        <v>#N/A</v>
      </c>
      <c r="K36" s="1" t="e">
        <f t="shared" si="5"/>
        <v>#N/A</v>
      </c>
      <c r="L36" s="8" t="e" cm="1">
        <f t="array" ref="L36">IF(I36="","", IFERROR(((IF(I$5&lt;&gt;"", I$5*A$5, 0) + SUMPRODUCT(--(I$6:I36&lt;&gt;""), I$6:I36, (A$6:A36-A$5:A35)))/1000)/H$3, ""))</f>
        <v>#N/A</v>
      </c>
      <c r="M36" s="1">
        <f t="shared" si="6"/>
        <v>320</v>
      </c>
      <c r="N36" s="1">
        <f t="shared" si="7"/>
        <v>0</v>
      </c>
      <c r="U36" s="1" t="e">
        <f t="shared" si="8"/>
        <v>#N/A</v>
      </c>
      <c r="V36" s="1" t="e">
        <f t="shared" si="1"/>
        <v>#N/A</v>
      </c>
      <c r="W36" s="1" t="e">
        <f t="shared" si="9"/>
        <v>#N/A</v>
      </c>
      <c r="X36" s="8" t="e" cm="1">
        <f t="array" ref="X36">IF(U36="","", IFERROR(((IF(U$5&lt;&gt;"", U$5*M$5, 0) + SUMPRODUCT(--(U$6:U36&lt;&gt;""), U$6:U36, (M$6:M36-M$5:M35)))/1000)/T$3, ""))</f>
        <v>#N/A</v>
      </c>
    </row>
    <row r="37" spans="1:24" x14ac:dyDescent="0.25">
      <c r="A37" s="1">
        <f t="shared" si="2"/>
        <v>330</v>
      </c>
      <c r="B37" s="1">
        <f t="shared" si="3"/>
        <v>0</v>
      </c>
      <c r="I37" s="1" t="e">
        <f t="shared" si="4"/>
        <v>#N/A</v>
      </c>
      <c r="J37" s="1" t="e">
        <f t="shared" si="0"/>
        <v>#N/A</v>
      </c>
      <c r="K37" s="1" t="e">
        <f t="shared" si="5"/>
        <v>#N/A</v>
      </c>
      <c r="L37" s="8" t="e" cm="1">
        <f t="array" ref="L37">IF(I37="","", IFERROR(((IF(I$5&lt;&gt;"", I$5*A$5, 0) + SUMPRODUCT(--(I$6:I37&lt;&gt;""), I$6:I37, (A$6:A37-A$5:A36)))/1000)/H$3, ""))</f>
        <v>#N/A</v>
      </c>
      <c r="M37" s="1">
        <f t="shared" si="6"/>
        <v>330</v>
      </c>
      <c r="N37" s="1">
        <f t="shared" si="7"/>
        <v>0</v>
      </c>
      <c r="U37" s="1" t="e">
        <f t="shared" si="8"/>
        <v>#N/A</v>
      </c>
      <c r="V37" s="1" t="e">
        <f t="shared" si="1"/>
        <v>#N/A</v>
      </c>
      <c r="W37" s="1" t="e">
        <f t="shared" si="9"/>
        <v>#N/A</v>
      </c>
      <c r="X37" s="8" t="e" cm="1">
        <f t="array" ref="X37">IF(U37="","", IFERROR(((IF(U$5&lt;&gt;"", U$5*M$5, 0) + SUMPRODUCT(--(U$6:U37&lt;&gt;""), U$6:U37, (M$6:M37-M$5:M36)))/1000)/T$3, ""))</f>
        <v>#N/A</v>
      </c>
    </row>
    <row r="38" spans="1:24" x14ac:dyDescent="0.25">
      <c r="A38" s="1">
        <f t="shared" si="2"/>
        <v>340</v>
      </c>
      <c r="B38" s="1">
        <f t="shared" si="3"/>
        <v>0</v>
      </c>
      <c r="I38" s="1" t="e">
        <f t="shared" si="4"/>
        <v>#N/A</v>
      </c>
      <c r="J38" s="1" t="e">
        <f t="shared" si="0"/>
        <v>#N/A</v>
      </c>
      <c r="K38" s="1" t="e">
        <f t="shared" si="5"/>
        <v>#N/A</v>
      </c>
      <c r="L38" s="8" t="e" cm="1">
        <f t="array" ref="L38">IF(I38="","", IFERROR(((IF(I$5&lt;&gt;"", I$5*A$5, 0) + SUMPRODUCT(--(I$6:I38&lt;&gt;""), I$6:I38, (A$6:A38-A$5:A37)))/1000)/H$3, ""))</f>
        <v>#N/A</v>
      </c>
      <c r="M38" s="1">
        <f t="shared" si="6"/>
        <v>340</v>
      </c>
      <c r="N38" s="1">
        <f t="shared" si="7"/>
        <v>0</v>
      </c>
      <c r="U38" s="1" t="e">
        <f t="shared" si="8"/>
        <v>#N/A</v>
      </c>
      <c r="V38" s="1" t="e">
        <f t="shared" si="1"/>
        <v>#N/A</v>
      </c>
      <c r="W38" s="1" t="e">
        <f t="shared" si="9"/>
        <v>#N/A</v>
      </c>
      <c r="X38" s="8" t="e" cm="1">
        <f t="array" ref="X38">IF(U38="","", IFERROR(((IF(U$5&lt;&gt;"", U$5*M$5, 0) + SUMPRODUCT(--(U$6:U38&lt;&gt;""), U$6:U38, (M$6:M38-M$5:M37)))/1000)/T$3, ""))</f>
        <v>#N/A</v>
      </c>
    </row>
    <row r="39" spans="1:24" x14ac:dyDescent="0.25">
      <c r="A39" s="1">
        <f t="shared" si="2"/>
        <v>350</v>
      </c>
      <c r="B39" s="1">
        <f t="shared" si="3"/>
        <v>0</v>
      </c>
      <c r="I39" s="1" t="e">
        <f t="shared" si="4"/>
        <v>#N/A</v>
      </c>
      <c r="J39" s="1" t="e">
        <f t="shared" si="0"/>
        <v>#N/A</v>
      </c>
      <c r="K39" s="1" t="e">
        <f t="shared" si="5"/>
        <v>#N/A</v>
      </c>
      <c r="L39" s="8" t="e" cm="1">
        <f t="array" ref="L39">IF(I39="","", IFERROR(((IF(I$5&lt;&gt;"", I$5*A$5, 0) + SUMPRODUCT(--(I$6:I39&lt;&gt;""), I$6:I39, (A$6:A39-A$5:A38)))/1000)/H$3, ""))</f>
        <v>#N/A</v>
      </c>
      <c r="M39" s="1">
        <f t="shared" si="6"/>
        <v>350</v>
      </c>
      <c r="N39" s="1">
        <f t="shared" si="7"/>
        <v>0</v>
      </c>
      <c r="U39" s="1" t="e">
        <f t="shared" si="8"/>
        <v>#N/A</v>
      </c>
      <c r="V39" s="1" t="e">
        <f t="shared" si="1"/>
        <v>#N/A</v>
      </c>
      <c r="W39" s="1" t="e">
        <f t="shared" si="9"/>
        <v>#N/A</v>
      </c>
      <c r="X39" s="8" t="e" cm="1">
        <f t="array" ref="X39">IF(U39="","", IFERROR(((IF(U$5&lt;&gt;"", U$5*M$5, 0) + SUMPRODUCT(--(U$6:U39&lt;&gt;""), U$6:U39, (M$6:M39-M$5:M38)))/1000)/T$3, ""))</f>
        <v>#N/A</v>
      </c>
    </row>
    <row r="40" spans="1:24" x14ac:dyDescent="0.25">
      <c r="A40" s="1">
        <f t="shared" si="2"/>
        <v>360</v>
      </c>
      <c r="B40" s="1">
        <f t="shared" si="3"/>
        <v>0</v>
      </c>
      <c r="I40" s="1" t="e">
        <f t="shared" si="4"/>
        <v>#N/A</v>
      </c>
      <c r="J40" s="1" t="e">
        <f t="shared" si="0"/>
        <v>#N/A</v>
      </c>
      <c r="K40" s="1" t="e">
        <f t="shared" si="5"/>
        <v>#N/A</v>
      </c>
      <c r="L40" s="8" t="e" cm="1">
        <f t="array" ref="L40">IF(I40="","", IFERROR(((IF(I$5&lt;&gt;"", I$5*A$5, 0) + SUMPRODUCT(--(I$6:I40&lt;&gt;""), I$6:I40, (A$6:A40-A$5:A39)))/1000)/H$3, ""))</f>
        <v>#N/A</v>
      </c>
      <c r="M40" s="1">
        <f t="shared" si="6"/>
        <v>360</v>
      </c>
      <c r="N40" s="1">
        <f t="shared" si="7"/>
        <v>0</v>
      </c>
      <c r="U40" s="1" t="e">
        <f t="shared" si="8"/>
        <v>#N/A</v>
      </c>
      <c r="V40" s="1" t="e">
        <f t="shared" si="1"/>
        <v>#N/A</v>
      </c>
      <c r="W40" s="1" t="e">
        <f t="shared" si="9"/>
        <v>#N/A</v>
      </c>
      <c r="X40" s="8" t="e" cm="1">
        <f t="array" ref="X40">IF(U40="","", IFERROR(((IF(U$5&lt;&gt;"", U$5*M$5, 0) + SUMPRODUCT(--(U$6:U40&lt;&gt;""), U$6:U40, (M$6:M40-M$5:M39)))/1000)/T$3, ""))</f>
        <v>#N/A</v>
      </c>
    </row>
    <row r="41" spans="1:24" x14ac:dyDescent="0.25">
      <c r="A41" s="1">
        <f t="shared" si="2"/>
        <v>370</v>
      </c>
      <c r="B41" s="1">
        <f t="shared" si="3"/>
        <v>0</v>
      </c>
      <c r="I41" s="1" t="e">
        <f t="shared" si="4"/>
        <v>#N/A</v>
      </c>
      <c r="J41" s="1" t="e">
        <f t="shared" si="0"/>
        <v>#N/A</v>
      </c>
      <c r="K41" s="1" t="e">
        <f t="shared" si="5"/>
        <v>#N/A</v>
      </c>
      <c r="L41" s="8" t="e" cm="1">
        <f t="array" ref="L41">IF(I41="","", IFERROR(((IF(I$5&lt;&gt;"", I$5*A$5, 0) + SUMPRODUCT(--(I$6:I41&lt;&gt;""), I$6:I41, (A$6:A41-A$5:A40)))/1000)/H$3, ""))</f>
        <v>#N/A</v>
      </c>
      <c r="M41" s="1">
        <f t="shared" si="6"/>
        <v>370</v>
      </c>
      <c r="N41" s="1">
        <f t="shared" si="7"/>
        <v>0</v>
      </c>
      <c r="U41" s="1" t="e">
        <f t="shared" si="8"/>
        <v>#N/A</v>
      </c>
      <c r="V41" s="1" t="e">
        <f t="shared" si="1"/>
        <v>#N/A</v>
      </c>
      <c r="W41" s="1" t="e">
        <f t="shared" si="9"/>
        <v>#N/A</v>
      </c>
      <c r="X41" s="8" t="e" cm="1">
        <f t="array" ref="X41">IF(U41="","", IFERROR(((IF(U$5&lt;&gt;"", U$5*M$5, 0) + SUMPRODUCT(--(U$6:U41&lt;&gt;""), U$6:U41, (M$6:M41-M$5:M40)))/1000)/T$3, ""))</f>
        <v>#N/A</v>
      </c>
    </row>
    <row r="42" spans="1:24" x14ac:dyDescent="0.25">
      <c r="A42" s="1">
        <f t="shared" si="2"/>
        <v>380</v>
      </c>
      <c r="B42" s="1">
        <f t="shared" si="3"/>
        <v>0</v>
      </c>
      <c r="I42" s="1" t="e">
        <f t="shared" si="4"/>
        <v>#N/A</v>
      </c>
      <c r="J42" s="1" t="e">
        <f t="shared" si="0"/>
        <v>#N/A</v>
      </c>
      <c r="K42" s="1" t="e">
        <f t="shared" si="5"/>
        <v>#N/A</v>
      </c>
      <c r="L42" s="8" t="e" cm="1">
        <f t="array" ref="L42">IF(I42="","", IFERROR(((IF(I$5&lt;&gt;"", I$5*A$5, 0) + SUMPRODUCT(--(I$6:I42&lt;&gt;""), I$6:I42, (A$6:A42-A$5:A41)))/1000)/H$3, ""))</f>
        <v>#N/A</v>
      </c>
      <c r="M42" s="1">
        <f t="shared" si="6"/>
        <v>380</v>
      </c>
      <c r="N42" s="1">
        <f t="shared" si="7"/>
        <v>0</v>
      </c>
      <c r="U42" s="1" t="e">
        <f t="shared" si="8"/>
        <v>#N/A</v>
      </c>
      <c r="V42" s="1" t="e">
        <f t="shared" si="1"/>
        <v>#N/A</v>
      </c>
      <c r="W42" s="1" t="e">
        <f t="shared" si="9"/>
        <v>#N/A</v>
      </c>
      <c r="X42" s="8" t="e" cm="1">
        <f t="array" ref="X42">IF(U42="","", IFERROR(((IF(U$5&lt;&gt;"", U$5*M$5, 0) + SUMPRODUCT(--(U$6:U42&lt;&gt;""), U$6:U42, (M$6:M42-M$5:M41)))/1000)/T$3, ""))</f>
        <v>#N/A</v>
      </c>
    </row>
    <row r="43" spans="1:24" x14ac:dyDescent="0.25">
      <c r="A43" s="1">
        <f t="shared" si="2"/>
        <v>390</v>
      </c>
      <c r="B43" s="1">
        <f t="shared" si="3"/>
        <v>0</v>
      </c>
      <c r="I43" s="1" t="e">
        <f t="shared" si="4"/>
        <v>#N/A</v>
      </c>
      <c r="J43" s="1" t="e">
        <f t="shared" si="0"/>
        <v>#N/A</v>
      </c>
      <c r="K43" s="1" t="e">
        <f t="shared" si="5"/>
        <v>#N/A</v>
      </c>
      <c r="L43" s="8" t="e" cm="1">
        <f t="array" ref="L43">IF(I43="","", IFERROR(((IF(I$5&lt;&gt;"", I$5*A$5, 0) + SUMPRODUCT(--(I$6:I43&lt;&gt;""), I$6:I43, (A$6:A43-A$5:A42)))/1000)/H$3, ""))</f>
        <v>#N/A</v>
      </c>
      <c r="M43" s="1">
        <f t="shared" si="6"/>
        <v>390</v>
      </c>
      <c r="N43" s="1">
        <f t="shared" si="7"/>
        <v>0</v>
      </c>
      <c r="U43" s="1" t="e">
        <f t="shared" si="8"/>
        <v>#N/A</v>
      </c>
      <c r="V43" s="1" t="e">
        <f t="shared" si="1"/>
        <v>#N/A</v>
      </c>
      <c r="W43" s="1" t="e">
        <f t="shared" si="9"/>
        <v>#N/A</v>
      </c>
      <c r="X43" s="8" t="e" cm="1">
        <f t="array" ref="X43">IF(U43="","", IFERROR(((IF(U$5&lt;&gt;"", U$5*M$5, 0) + SUMPRODUCT(--(U$6:U43&lt;&gt;""), U$6:U43, (M$6:M43-M$5:M42)))/1000)/T$3, ""))</f>
        <v>#N/A</v>
      </c>
    </row>
    <row r="44" spans="1:24" x14ac:dyDescent="0.25">
      <c r="A44" s="1">
        <f t="shared" si="2"/>
        <v>400</v>
      </c>
      <c r="B44" s="1">
        <f t="shared" si="3"/>
        <v>0</v>
      </c>
      <c r="I44" s="1" t="e">
        <f t="shared" si="4"/>
        <v>#N/A</v>
      </c>
      <c r="J44" s="1" t="e">
        <f t="shared" si="0"/>
        <v>#N/A</v>
      </c>
      <c r="K44" s="1" t="e">
        <f t="shared" si="5"/>
        <v>#N/A</v>
      </c>
      <c r="L44" s="8" t="e" cm="1">
        <f t="array" ref="L44">IF(I44="","", IFERROR(((IF(I$5&lt;&gt;"", I$5*A$5, 0) + SUMPRODUCT(--(I$6:I44&lt;&gt;""), I$6:I44, (A$6:A44-A$5:A43)))/1000)/H$3, ""))</f>
        <v>#N/A</v>
      </c>
      <c r="M44" s="1">
        <f t="shared" si="6"/>
        <v>400</v>
      </c>
      <c r="N44" s="1">
        <f t="shared" si="7"/>
        <v>0</v>
      </c>
      <c r="U44" s="1" t="e">
        <f t="shared" si="8"/>
        <v>#N/A</v>
      </c>
      <c r="V44" s="1" t="e">
        <f t="shared" si="1"/>
        <v>#N/A</v>
      </c>
      <c r="W44" s="1" t="e">
        <f t="shared" si="9"/>
        <v>#N/A</v>
      </c>
      <c r="X44" s="8" t="e" cm="1">
        <f t="array" ref="X44">IF(U44="","", IFERROR(((IF(U$5&lt;&gt;"", U$5*M$5, 0) + SUMPRODUCT(--(U$6:U44&lt;&gt;""), U$6:U44, (M$6:M44-M$5:M43)))/1000)/T$3, ""))</f>
        <v>#N/A</v>
      </c>
    </row>
    <row r="45" spans="1:24" x14ac:dyDescent="0.25">
      <c r="A45" s="1">
        <f t="shared" si="2"/>
        <v>410</v>
      </c>
      <c r="B45" s="1">
        <f t="shared" si="3"/>
        <v>0</v>
      </c>
      <c r="I45" s="1" t="e">
        <f t="shared" si="4"/>
        <v>#N/A</v>
      </c>
      <c r="J45" s="1" t="e">
        <f t="shared" si="0"/>
        <v>#N/A</v>
      </c>
      <c r="K45" s="1" t="e">
        <f t="shared" si="5"/>
        <v>#N/A</v>
      </c>
      <c r="L45" s="8" t="e" cm="1">
        <f t="array" ref="L45">IF(I45="","", IFERROR(((IF(I$5&lt;&gt;"", I$5*A$5, 0) + SUMPRODUCT(--(I$6:I45&lt;&gt;""), I$6:I45, (A$6:A45-A$5:A44)))/1000)/H$3, ""))</f>
        <v>#N/A</v>
      </c>
      <c r="M45" s="1">
        <f t="shared" si="6"/>
        <v>410</v>
      </c>
      <c r="N45" s="1">
        <f t="shared" si="7"/>
        <v>0</v>
      </c>
      <c r="U45" s="1" t="e">
        <f t="shared" si="8"/>
        <v>#N/A</v>
      </c>
      <c r="V45" s="1" t="e">
        <f t="shared" si="1"/>
        <v>#N/A</v>
      </c>
      <c r="W45" s="1" t="e">
        <f t="shared" si="9"/>
        <v>#N/A</v>
      </c>
      <c r="X45" s="8" t="e" cm="1">
        <f t="array" ref="X45">IF(U45="","", IFERROR(((IF(U$5&lt;&gt;"", U$5*M$5, 0) + SUMPRODUCT(--(U$6:U45&lt;&gt;""), U$6:U45, (M$6:M45-M$5:M44)))/1000)/T$3, ""))</f>
        <v>#N/A</v>
      </c>
    </row>
    <row r="46" spans="1:24" x14ac:dyDescent="0.25">
      <c r="A46" s="1">
        <f t="shared" si="2"/>
        <v>420</v>
      </c>
      <c r="B46" s="1">
        <f t="shared" si="3"/>
        <v>0</v>
      </c>
      <c r="I46" s="1" t="e">
        <f t="shared" si="4"/>
        <v>#N/A</v>
      </c>
      <c r="J46" s="1" t="e">
        <f t="shared" si="0"/>
        <v>#N/A</v>
      </c>
      <c r="K46" s="1" t="e">
        <f t="shared" si="5"/>
        <v>#N/A</v>
      </c>
      <c r="L46" s="8" t="e" cm="1">
        <f t="array" ref="L46">IF(I46="","", IFERROR(((IF(I$5&lt;&gt;"", I$5*A$5, 0) + SUMPRODUCT(--(I$6:I46&lt;&gt;""), I$6:I46, (A$6:A46-A$5:A45)))/1000)/H$3, ""))</f>
        <v>#N/A</v>
      </c>
      <c r="M46" s="1">
        <f t="shared" si="6"/>
        <v>420</v>
      </c>
      <c r="N46" s="1">
        <f t="shared" si="7"/>
        <v>0</v>
      </c>
      <c r="U46" s="1" t="e">
        <f t="shared" si="8"/>
        <v>#N/A</v>
      </c>
      <c r="V46" s="1" t="e">
        <f t="shared" si="1"/>
        <v>#N/A</v>
      </c>
      <c r="W46" s="1" t="e">
        <f t="shared" si="9"/>
        <v>#N/A</v>
      </c>
      <c r="X46" s="8" t="e" cm="1">
        <f t="array" ref="X46">IF(U46="","", IFERROR(((IF(U$5&lt;&gt;"", U$5*M$5, 0) + SUMPRODUCT(--(U$6:U46&lt;&gt;""), U$6:U46, (M$6:M46-M$5:M45)))/1000)/T$3, ""))</f>
        <v>#N/A</v>
      </c>
    </row>
    <row r="47" spans="1:24" x14ac:dyDescent="0.25">
      <c r="A47" s="1">
        <f t="shared" si="2"/>
        <v>430</v>
      </c>
      <c r="B47" s="1">
        <f t="shared" si="3"/>
        <v>0</v>
      </c>
      <c r="I47" s="1" t="e">
        <f t="shared" si="4"/>
        <v>#N/A</v>
      </c>
      <c r="J47" s="1" t="e">
        <f t="shared" si="0"/>
        <v>#N/A</v>
      </c>
      <c r="K47" s="1" t="e">
        <f t="shared" si="5"/>
        <v>#N/A</v>
      </c>
      <c r="L47" s="8" t="e" cm="1">
        <f t="array" ref="L47">IF(I47="","", IFERROR(((IF(I$5&lt;&gt;"", I$5*A$5, 0) + SUMPRODUCT(--(I$6:I47&lt;&gt;""), I$6:I47, (A$6:A47-A$5:A46)))/1000)/H$3, ""))</f>
        <v>#N/A</v>
      </c>
      <c r="M47" s="1">
        <f t="shared" si="6"/>
        <v>430</v>
      </c>
      <c r="N47" s="1">
        <f t="shared" si="7"/>
        <v>0</v>
      </c>
      <c r="U47" s="1" t="e">
        <f t="shared" si="8"/>
        <v>#N/A</v>
      </c>
      <c r="V47" s="1" t="e">
        <f t="shared" si="1"/>
        <v>#N/A</v>
      </c>
      <c r="W47" s="1" t="e">
        <f t="shared" si="9"/>
        <v>#N/A</v>
      </c>
      <c r="X47" s="8" t="e" cm="1">
        <f t="array" ref="X47">IF(U47="","", IFERROR(((IF(U$5&lt;&gt;"", U$5*M$5, 0) + SUMPRODUCT(--(U$6:U47&lt;&gt;""), U$6:U47, (M$6:M47-M$5:M46)))/1000)/T$3, ""))</f>
        <v>#N/A</v>
      </c>
    </row>
    <row r="48" spans="1:24" x14ac:dyDescent="0.25">
      <c r="A48" s="1">
        <f t="shared" si="2"/>
        <v>440</v>
      </c>
      <c r="B48" s="1">
        <f t="shared" si="3"/>
        <v>0</v>
      </c>
      <c r="I48" s="1" t="e">
        <f t="shared" si="4"/>
        <v>#N/A</v>
      </c>
      <c r="J48" s="1" t="e">
        <f t="shared" si="0"/>
        <v>#N/A</v>
      </c>
      <c r="K48" s="1" t="e">
        <f t="shared" si="5"/>
        <v>#N/A</v>
      </c>
      <c r="L48" s="8" t="e" cm="1">
        <f t="array" ref="L48">IF(I48="","", IFERROR(((IF(I$5&lt;&gt;"", I$5*A$5, 0) + SUMPRODUCT(--(I$6:I48&lt;&gt;""), I$6:I48, (A$6:A48-A$5:A47)))/1000)/H$3, ""))</f>
        <v>#N/A</v>
      </c>
      <c r="M48" s="1">
        <f t="shared" si="6"/>
        <v>440</v>
      </c>
      <c r="N48" s="1">
        <f t="shared" si="7"/>
        <v>0</v>
      </c>
      <c r="U48" s="1" t="e">
        <f t="shared" si="8"/>
        <v>#N/A</v>
      </c>
      <c r="V48" s="1" t="e">
        <f t="shared" si="1"/>
        <v>#N/A</v>
      </c>
      <c r="W48" s="1" t="e">
        <f t="shared" si="9"/>
        <v>#N/A</v>
      </c>
      <c r="X48" s="8" t="e" cm="1">
        <f t="array" ref="X48">IF(U48="","", IFERROR(((IF(U$5&lt;&gt;"", U$5*M$5, 0) + SUMPRODUCT(--(U$6:U48&lt;&gt;""), U$6:U48, (M$6:M48-M$5:M47)))/1000)/T$3, ""))</f>
        <v>#N/A</v>
      </c>
    </row>
    <row r="49" spans="1:24" x14ac:dyDescent="0.25">
      <c r="A49" s="1">
        <f t="shared" si="2"/>
        <v>450</v>
      </c>
      <c r="B49" s="1">
        <f t="shared" si="3"/>
        <v>0</v>
      </c>
      <c r="I49" s="1" t="e">
        <f t="shared" si="4"/>
        <v>#N/A</v>
      </c>
      <c r="J49" s="1" t="e">
        <f t="shared" si="0"/>
        <v>#N/A</v>
      </c>
      <c r="K49" s="1" t="e">
        <f t="shared" si="5"/>
        <v>#N/A</v>
      </c>
      <c r="L49" s="8" t="e" cm="1">
        <f t="array" ref="L49">IF(I49="","", IFERROR(((IF(I$5&lt;&gt;"", I$5*A$5, 0) + SUMPRODUCT(--(I$6:I49&lt;&gt;""), I$6:I49, (A$6:A49-A$5:A48)))/1000)/H$3, ""))</f>
        <v>#N/A</v>
      </c>
      <c r="M49" s="1">
        <f t="shared" si="6"/>
        <v>450</v>
      </c>
      <c r="N49" s="1">
        <f t="shared" si="7"/>
        <v>0</v>
      </c>
      <c r="U49" s="1" t="e">
        <f t="shared" si="8"/>
        <v>#N/A</v>
      </c>
      <c r="V49" s="1" t="e">
        <f t="shared" si="1"/>
        <v>#N/A</v>
      </c>
      <c r="W49" s="1" t="e">
        <f t="shared" si="9"/>
        <v>#N/A</v>
      </c>
      <c r="X49" s="8" t="e" cm="1">
        <f t="array" ref="X49">IF(U49="","", IFERROR(((IF(U$5&lt;&gt;"", U$5*M$5, 0) + SUMPRODUCT(--(U$6:U49&lt;&gt;""), U$6:U49, (M$6:M49-M$5:M48)))/1000)/T$3, ""))</f>
        <v>#N/A</v>
      </c>
    </row>
    <row r="50" spans="1:24" x14ac:dyDescent="0.25">
      <c r="A50" s="1">
        <f t="shared" si="2"/>
        <v>460</v>
      </c>
      <c r="B50" s="1">
        <f t="shared" si="3"/>
        <v>0</v>
      </c>
      <c r="I50" s="1" t="e">
        <f t="shared" si="4"/>
        <v>#N/A</v>
      </c>
      <c r="J50" s="1" t="e">
        <f t="shared" si="0"/>
        <v>#N/A</v>
      </c>
      <c r="K50" s="1" t="e">
        <f t="shared" si="5"/>
        <v>#N/A</v>
      </c>
      <c r="L50" s="8" t="e" cm="1">
        <f t="array" ref="L50">IF(I50="","", IFERROR(((IF(I$5&lt;&gt;"", I$5*A$5, 0) + SUMPRODUCT(--(I$6:I50&lt;&gt;""), I$6:I50, (A$6:A50-A$5:A49)))/1000)/H$3, ""))</f>
        <v>#N/A</v>
      </c>
      <c r="M50" s="1">
        <f t="shared" si="6"/>
        <v>460</v>
      </c>
      <c r="N50" s="1">
        <f t="shared" si="7"/>
        <v>0</v>
      </c>
      <c r="U50" s="1" t="e">
        <f t="shared" si="8"/>
        <v>#N/A</v>
      </c>
      <c r="V50" s="1" t="e">
        <f t="shared" si="1"/>
        <v>#N/A</v>
      </c>
      <c r="W50" s="1" t="e">
        <f t="shared" si="9"/>
        <v>#N/A</v>
      </c>
      <c r="X50" s="8" t="e" cm="1">
        <f t="array" ref="X50">IF(U50="","", IFERROR(((IF(U$5&lt;&gt;"", U$5*M$5, 0) + SUMPRODUCT(--(U$6:U50&lt;&gt;""), U$6:U50, (M$6:M50-M$5:M49)))/1000)/T$3, ""))</f>
        <v>#N/A</v>
      </c>
    </row>
    <row r="51" spans="1:24" x14ac:dyDescent="0.25">
      <c r="A51" s="1">
        <f t="shared" si="2"/>
        <v>470</v>
      </c>
      <c r="B51" s="1">
        <f t="shared" si="3"/>
        <v>0</v>
      </c>
      <c r="I51" s="1" t="e">
        <f t="shared" si="4"/>
        <v>#N/A</v>
      </c>
      <c r="J51" s="1" t="e">
        <f t="shared" si="0"/>
        <v>#N/A</v>
      </c>
      <c r="K51" s="1" t="e">
        <f t="shared" si="5"/>
        <v>#N/A</v>
      </c>
      <c r="L51" s="8" t="e" cm="1">
        <f t="array" ref="L51">IF(I51="","", IFERROR(((IF(I$5&lt;&gt;"", I$5*A$5, 0) + SUMPRODUCT(--(I$6:I51&lt;&gt;""), I$6:I51, (A$6:A51-A$5:A50)))/1000)/H$3, ""))</f>
        <v>#N/A</v>
      </c>
      <c r="M51" s="1">
        <f t="shared" si="6"/>
        <v>470</v>
      </c>
      <c r="N51" s="1">
        <f t="shared" si="7"/>
        <v>0</v>
      </c>
      <c r="U51" s="1" t="e">
        <f t="shared" si="8"/>
        <v>#N/A</v>
      </c>
      <c r="V51" s="1" t="e">
        <f t="shared" si="1"/>
        <v>#N/A</v>
      </c>
      <c r="W51" s="1" t="e">
        <f t="shared" si="9"/>
        <v>#N/A</v>
      </c>
      <c r="X51" s="8" t="e" cm="1">
        <f t="array" ref="X51">IF(U51="","", IFERROR(((IF(U$5&lt;&gt;"", U$5*M$5, 0) + SUMPRODUCT(--(U$6:U51&lt;&gt;""), U$6:U51, (M$6:M51-M$5:M50)))/1000)/T$3, ""))</f>
        <v>#N/A</v>
      </c>
    </row>
    <row r="52" spans="1:24" x14ac:dyDescent="0.25">
      <c r="A52" s="1">
        <f t="shared" si="2"/>
        <v>480</v>
      </c>
      <c r="B52" s="1">
        <f t="shared" si="3"/>
        <v>0</v>
      </c>
      <c r="I52" s="1" t="e">
        <f t="shared" si="4"/>
        <v>#N/A</v>
      </c>
      <c r="J52" s="1" t="e">
        <f t="shared" si="0"/>
        <v>#N/A</v>
      </c>
      <c r="K52" s="1" t="e">
        <f t="shared" si="5"/>
        <v>#N/A</v>
      </c>
      <c r="L52" s="8" t="e" cm="1">
        <f t="array" ref="L52">IF(I52="","", IFERROR(((IF(I$5&lt;&gt;"", I$5*A$5, 0) + SUMPRODUCT(--(I$6:I52&lt;&gt;""), I$6:I52, (A$6:A52-A$5:A51)))/1000)/H$3, ""))</f>
        <v>#N/A</v>
      </c>
      <c r="M52" s="1">
        <f t="shared" si="6"/>
        <v>480</v>
      </c>
      <c r="N52" s="1">
        <f t="shared" si="7"/>
        <v>0</v>
      </c>
      <c r="U52" s="1" t="e">
        <f t="shared" si="8"/>
        <v>#N/A</v>
      </c>
      <c r="V52" s="1" t="e">
        <f t="shared" si="1"/>
        <v>#N/A</v>
      </c>
      <c r="W52" s="1" t="e">
        <f t="shared" si="9"/>
        <v>#N/A</v>
      </c>
      <c r="X52" s="8" t="e" cm="1">
        <f t="array" ref="X52">IF(U52="","", IFERROR(((IF(U$5&lt;&gt;"", U$5*M$5, 0) + SUMPRODUCT(--(U$6:U52&lt;&gt;""), U$6:U52, (M$6:M52-M$5:M51)))/1000)/T$3, ""))</f>
        <v>#N/A</v>
      </c>
    </row>
    <row r="53" spans="1:24" x14ac:dyDescent="0.25">
      <c r="A53" s="1">
        <f t="shared" si="2"/>
        <v>490</v>
      </c>
      <c r="B53" s="1">
        <f t="shared" si="3"/>
        <v>0</v>
      </c>
      <c r="I53" s="1" t="e">
        <f t="shared" si="4"/>
        <v>#N/A</v>
      </c>
      <c r="J53" s="1" t="e">
        <f t="shared" si="0"/>
        <v>#N/A</v>
      </c>
      <c r="K53" s="1" t="e">
        <f t="shared" si="5"/>
        <v>#N/A</v>
      </c>
      <c r="L53" s="8" t="e" cm="1">
        <f t="array" ref="L53">IF(I53="","", IFERROR(((IF(I$5&lt;&gt;"", I$5*A$5, 0) + SUMPRODUCT(--(I$6:I53&lt;&gt;""), I$6:I53, (A$6:A53-A$5:A52)))/1000)/H$3, ""))</f>
        <v>#N/A</v>
      </c>
      <c r="M53" s="1">
        <f t="shared" si="6"/>
        <v>490</v>
      </c>
      <c r="N53" s="1">
        <f t="shared" si="7"/>
        <v>0</v>
      </c>
      <c r="U53" s="1" t="e">
        <f t="shared" si="8"/>
        <v>#N/A</v>
      </c>
      <c r="V53" s="1" t="e">
        <f t="shared" si="1"/>
        <v>#N/A</v>
      </c>
      <c r="W53" s="1" t="e">
        <f t="shared" si="9"/>
        <v>#N/A</v>
      </c>
      <c r="X53" s="8" t="e" cm="1">
        <f t="array" ref="X53">IF(U53="","", IFERROR(((IF(U$5&lt;&gt;"", U$5*M$5, 0) + SUMPRODUCT(--(U$6:U53&lt;&gt;""), U$6:U53, (M$6:M53-M$5:M52)))/1000)/T$3, ""))</f>
        <v>#N/A</v>
      </c>
    </row>
    <row r="54" spans="1:24" x14ac:dyDescent="0.25">
      <c r="A54" s="1">
        <f t="shared" si="2"/>
        <v>500</v>
      </c>
      <c r="B54" s="1">
        <f t="shared" si="3"/>
        <v>0</v>
      </c>
      <c r="I54" s="1" t="e">
        <f t="shared" si="4"/>
        <v>#N/A</v>
      </c>
      <c r="J54" s="1" t="e">
        <f t="shared" si="0"/>
        <v>#N/A</v>
      </c>
      <c r="K54" s="1" t="e">
        <f t="shared" si="5"/>
        <v>#N/A</v>
      </c>
      <c r="L54" s="8" t="e" cm="1">
        <f t="array" ref="L54">IF(I54="","", IFERROR(((IF(I$5&lt;&gt;"", I$5*A$5, 0) + SUMPRODUCT(--(I$6:I54&lt;&gt;""), I$6:I54, (A$6:A54-A$5:A53)))/1000)/H$3, ""))</f>
        <v>#N/A</v>
      </c>
      <c r="M54" s="1">
        <f t="shared" si="6"/>
        <v>500</v>
      </c>
      <c r="N54" s="1">
        <f t="shared" si="7"/>
        <v>0</v>
      </c>
      <c r="U54" s="1" t="e">
        <f t="shared" si="8"/>
        <v>#N/A</v>
      </c>
      <c r="V54" s="1" t="e">
        <f t="shared" si="1"/>
        <v>#N/A</v>
      </c>
      <c r="W54" s="1" t="e">
        <f t="shared" si="9"/>
        <v>#N/A</v>
      </c>
      <c r="X54" s="8" t="e" cm="1">
        <f t="array" ref="X54">IF(U54="","", IFERROR(((IF(U$5&lt;&gt;"", U$5*M$5, 0) + SUMPRODUCT(--(U$6:U54&lt;&gt;""), U$6:U54, (M$6:M54-M$5:M53)))/1000)/T$3, ""))</f>
        <v>#N/A</v>
      </c>
    </row>
    <row r="55" spans="1:24" x14ac:dyDescent="0.25">
      <c r="A55" s="1">
        <f t="shared" si="2"/>
        <v>510</v>
      </c>
      <c r="B55" s="1">
        <f t="shared" si="3"/>
        <v>0</v>
      </c>
      <c r="I55" s="1" t="e">
        <f t="shared" si="4"/>
        <v>#N/A</v>
      </c>
      <c r="J55" s="1" t="e">
        <f t="shared" si="0"/>
        <v>#N/A</v>
      </c>
      <c r="K55" s="1" t="e">
        <f t="shared" si="5"/>
        <v>#N/A</v>
      </c>
      <c r="L55" s="8" t="e" cm="1">
        <f t="array" ref="L55">IF(I55="","", IFERROR(((IF(I$5&lt;&gt;"", I$5*A$5, 0) + SUMPRODUCT(--(I$6:I55&lt;&gt;""), I$6:I55, (A$6:A55-A$5:A54)))/1000)/H$3, ""))</f>
        <v>#N/A</v>
      </c>
      <c r="M55" s="1">
        <f t="shared" si="6"/>
        <v>510</v>
      </c>
      <c r="N55" s="1">
        <f t="shared" si="7"/>
        <v>0</v>
      </c>
      <c r="U55" s="1" t="e">
        <f t="shared" si="8"/>
        <v>#N/A</v>
      </c>
      <c r="V55" s="1" t="e">
        <f t="shared" si="1"/>
        <v>#N/A</v>
      </c>
      <c r="W55" s="1" t="e">
        <f t="shared" si="9"/>
        <v>#N/A</v>
      </c>
      <c r="X55" s="8" t="e" cm="1">
        <f t="array" ref="X55">IF(U55="","", IFERROR(((IF(U$5&lt;&gt;"", U$5*M$5, 0) + SUMPRODUCT(--(U$6:U55&lt;&gt;""), U$6:U55, (M$6:M55-M$5:M54)))/1000)/T$3, ""))</f>
        <v>#N/A</v>
      </c>
    </row>
    <row r="56" spans="1:24" x14ac:dyDescent="0.25">
      <c r="A56" s="1">
        <f t="shared" si="2"/>
        <v>520</v>
      </c>
      <c r="B56" s="1">
        <f t="shared" si="3"/>
        <v>0</v>
      </c>
      <c r="I56" s="1" t="e">
        <f t="shared" si="4"/>
        <v>#N/A</v>
      </c>
      <c r="J56" s="1" t="e">
        <f t="shared" si="0"/>
        <v>#N/A</v>
      </c>
      <c r="K56" s="1" t="e">
        <f t="shared" si="5"/>
        <v>#N/A</v>
      </c>
      <c r="L56" s="8" t="e" cm="1">
        <f t="array" ref="L56">IF(I56="","", IFERROR(((IF(I$5&lt;&gt;"", I$5*A$5, 0) + SUMPRODUCT(--(I$6:I56&lt;&gt;""), I$6:I56, (A$6:A56-A$5:A55)))/1000)/H$3, ""))</f>
        <v>#N/A</v>
      </c>
      <c r="M56" s="1">
        <f t="shared" si="6"/>
        <v>520</v>
      </c>
      <c r="N56" s="1">
        <f t="shared" si="7"/>
        <v>0</v>
      </c>
      <c r="U56" s="1" t="e">
        <f t="shared" si="8"/>
        <v>#N/A</v>
      </c>
      <c r="V56" s="1" t="e">
        <f t="shared" si="1"/>
        <v>#N/A</v>
      </c>
      <c r="W56" s="1" t="e">
        <f t="shared" si="9"/>
        <v>#N/A</v>
      </c>
      <c r="X56" s="8" t="e" cm="1">
        <f t="array" ref="X56">IF(U56="","", IFERROR(((IF(U$5&lt;&gt;"", U$5*M$5, 0) + SUMPRODUCT(--(U$6:U56&lt;&gt;""), U$6:U56, (M$6:M56-M$5:M55)))/1000)/T$3, ""))</f>
        <v>#N/A</v>
      </c>
    </row>
    <row r="57" spans="1:24" x14ac:dyDescent="0.25">
      <c r="A57" s="1">
        <f t="shared" si="2"/>
        <v>530</v>
      </c>
      <c r="B57" s="1">
        <f t="shared" si="3"/>
        <v>0</v>
      </c>
      <c r="I57" s="1" t="e">
        <f t="shared" si="4"/>
        <v>#N/A</v>
      </c>
      <c r="J57" s="1" t="e">
        <f t="shared" si="0"/>
        <v>#N/A</v>
      </c>
      <c r="K57" s="1" t="e">
        <f t="shared" si="5"/>
        <v>#N/A</v>
      </c>
      <c r="L57" s="8" t="e" cm="1">
        <f t="array" ref="L57">IF(I57="","", IFERROR(((IF(I$5&lt;&gt;"", I$5*A$5, 0) + SUMPRODUCT(--(I$6:I57&lt;&gt;""), I$6:I57, (A$6:A57-A$5:A56)))/1000)/H$3, ""))</f>
        <v>#N/A</v>
      </c>
      <c r="M57" s="1">
        <f t="shared" si="6"/>
        <v>530</v>
      </c>
      <c r="N57" s="1">
        <f t="shared" si="7"/>
        <v>0</v>
      </c>
      <c r="U57" s="1" t="e">
        <f t="shared" si="8"/>
        <v>#N/A</v>
      </c>
      <c r="V57" s="1" t="e">
        <f t="shared" si="1"/>
        <v>#N/A</v>
      </c>
      <c r="W57" s="1" t="e">
        <f t="shared" si="9"/>
        <v>#N/A</v>
      </c>
      <c r="X57" s="8" t="e" cm="1">
        <f t="array" ref="X57">IF(U57="","", IFERROR(((IF(U$5&lt;&gt;"", U$5*M$5, 0) + SUMPRODUCT(--(U$6:U57&lt;&gt;""), U$6:U57, (M$6:M57-M$5:M56)))/1000)/T$3, ""))</f>
        <v>#N/A</v>
      </c>
    </row>
    <row r="58" spans="1:24" x14ac:dyDescent="0.25">
      <c r="A58" s="1">
        <f t="shared" si="2"/>
        <v>540</v>
      </c>
      <c r="B58" s="1">
        <f t="shared" si="3"/>
        <v>0</v>
      </c>
      <c r="I58" s="1" t="e">
        <f t="shared" si="4"/>
        <v>#N/A</v>
      </c>
      <c r="J58" s="1" t="e">
        <f t="shared" si="0"/>
        <v>#N/A</v>
      </c>
      <c r="K58" s="1" t="e">
        <f t="shared" si="5"/>
        <v>#N/A</v>
      </c>
      <c r="L58" s="8" t="e" cm="1">
        <f t="array" ref="L58">IF(I58="","", IFERROR(((IF(I$5&lt;&gt;"", I$5*A$5, 0) + SUMPRODUCT(--(I$6:I58&lt;&gt;""), I$6:I58, (A$6:A58-A$5:A57)))/1000)/H$3, ""))</f>
        <v>#N/A</v>
      </c>
      <c r="M58" s="1">
        <f t="shared" si="6"/>
        <v>540</v>
      </c>
      <c r="N58" s="1">
        <f t="shared" si="7"/>
        <v>0</v>
      </c>
      <c r="U58" s="1" t="e">
        <f t="shared" si="8"/>
        <v>#N/A</v>
      </c>
      <c r="V58" s="1" t="e">
        <f t="shared" si="1"/>
        <v>#N/A</v>
      </c>
      <c r="W58" s="1" t="e">
        <f t="shared" si="9"/>
        <v>#N/A</v>
      </c>
      <c r="X58" s="8" t="e" cm="1">
        <f t="array" ref="X58">IF(U58="","", IFERROR(((IF(U$5&lt;&gt;"", U$5*M$5, 0) + SUMPRODUCT(--(U$6:U58&lt;&gt;""), U$6:U58, (M$6:M58-M$5:M57)))/1000)/T$3, ""))</f>
        <v>#N/A</v>
      </c>
    </row>
    <row r="59" spans="1:24" x14ac:dyDescent="0.25">
      <c r="A59" s="1">
        <f t="shared" si="2"/>
        <v>550</v>
      </c>
      <c r="B59" s="1">
        <f t="shared" si="3"/>
        <v>0</v>
      </c>
      <c r="I59" s="1" t="e">
        <f t="shared" si="4"/>
        <v>#N/A</v>
      </c>
      <c r="J59" s="1" t="e">
        <f t="shared" si="0"/>
        <v>#N/A</v>
      </c>
      <c r="K59" s="1" t="e">
        <f t="shared" si="5"/>
        <v>#N/A</v>
      </c>
      <c r="L59" s="8" t="e" cm="1">
        <f t="array" ref="L59">IF(I59="","", IFERROR(((IF(I$5&lt;&gt;"", I$5*A$5, 0) + SUMPRODUCT(--(I$6:I59&lt;&gt;""), I$6:I59, (A$6:A59-A$5:A58)))/1000)/H$3, ""))</f>
        <v>#N/A</v>
      </c>
      <c r="M59" s="1">
        <f t="shared" si="6"/>
        <v>550</v>
      </c>
      <c r="N59" s="1">
        <f t="shared" si="7"/>
        <v>0</v>
      </c>
      <c r="U59" s="1" t="e">
        <f t="shared" si="8"/>
        <v>#N/A</v>
      </c>
      <c r="V59" s="1" t="e">
        <f t="shared" si="1"/>
        <v>#N/A</v>
      </c>
      <c r="W59" s="1" t="e">
        <f t="shared" si="9"/>
        <v>#N/A</v>
      </c>
      <c r="X59" s="8" t="e" cm="1">
        <f t="array" ref="X59">IF(U59="","", IFERROR(((IF(U$5&lt;&gt;"", U$5*M$5, 0) + SUMPRODUCT(--(U$6:U59&lt;&gt;""), U$6:U59, (M$6:M59-M$5:M58)))/1000)/T$3, ""))</f>
        <v>#N/A</v>
      </c>
    </row>
    <row r="60" spans="1:24" x14ac:dyDescent="0.25">
      <c r="A60" s="1">
        <f t="shared" si="2"/>
        <v>560</v>
      </c>
      <c r="B60" s="1">
        <f t="shared" si="3"/>
        <v>0</v>
      </c>
      <c r="I60" s="1" t="e">
        <f t="shared" si="4"/>
        <v>#N/A</v>
      </c>
      <c r="J60" s="1" t="e">
        <f t="shared" si="0"/>
        <v>#N/A</v>
      </c>
      <c r="K60" s="1" t="e">
        <f t="shared" si="5"/>
        <v>#N/A</v>
      </c>
      <c r="L60" s="8" t="e" cm="1">
        <f t="array" ref="L60">IF(I60="","", IFERROR(((IF(I$5&lt;&gt;"", I$5*A$5, 0) + SUMPRODUCT(--(I$6:I60&lt;&gt;""), I$6:I60, (A$6:A60-A$5:A59)))/1000)/H$3, ""))</f>
        <v>#N/A</v>
      </c>
      <c r="M60" s="1">
        <f t="shared" si="6"/>
        <v>560</v>
      </c>
      <c r="N60" s="1">
        <f t="shared" si="7"/>
        <v>0</v>
      </c>
      <c r="U60" s="1" t="e">
        <f t="shared" si="8"/>
        <v>#N/A</v>
      </c>
      <c r="V60" s="1" t="e">
        <f t="shared" si="1"/>
        <v>#N/A</v>
      </c>
      <c r="W60" s="1" t="e">
        <f t="shared" si="9"/>
        <v>#N/A</v>
      </c>
      <c r="X60" s="8" t="e" cm="1">
        <f t="array" ref="X60">IF(U60="","", IFERROR(((IF(U$5&lt;&gt;"", U$5*M$5, 0) + SUMPRODUCT(--(U$6:U60&lt;&gt;""), U$6:U60, (M$6:M60-M$5:M59)))/1000)/T$3, ""))</f>
        <v>#N/A</v>
      </c>
    </row>
    <row r="61" spans="1:24" x14ac:dyDescent="0.25">
      <c r="A61" s="1">
        <f t="shared" si="2"/>
        <v>570</v>
      </c>
      <c r="B61" s="1">
        <f t="shared" si="3"/>
        <v>0</v>
      </c>
      <c r="I61" s="1" t="e">
        <f t="shared" si="4"/>
        <v>#N/A</v>
      </c>
      <c r="J61" s="1" t="e">
        <f t="shared" si="0"/>
        <v>#N/A</v>
      </c>
      <c r="K61" s="1" t="e">
        <f t="shared" si="5"/>
        <v>#N/A</v>
      </c>
      <c r="L61" s="8" t="e" cm="1">
        <f t="array" ref="L61">IF(I61="","", IFERROR(((IF(I$5&lt;&gt;"", I$5*A$5, 0) + SUMPRODUCT(--(I$6:I61&lt;&gt;""), I$6:I61, (A$6:A61-A$5:A60)))/1000)/H$3, ""))</f>
        <v>#N/A</v>
      </c>
      <c r="M61" s="1">
        <f t="shared" si="6"/>
        <v>570</v>
      </c>
      <c r="N61" s="1">
        <f t="shared" si="7"/>
        <v>0</v>
      </c>
      <c r="U61" s="1" t="e">
        <f t="shared" si="8"/>
        <v>#N/A</v>
      </c>
      <c r="V61" s="1" t="e">
        <f t="shared" si="1"/>
        <v>#N/A</v>
      </c>
      <c r="W61" s="1" t="e">
        <f t="shared" si="9"/>
        <v>#N/A</v>
      </c>
      <c r="X61" s="8" t="e" cm="1">
        <f t="array" ref="X61">IF(U61="","", IFERROR(((IF(U$5&lt;&gt;"", U$5*M$5, 0) + SUMPRODUCT(--(U$6:U61&lt;&gt;""), U$6:U61, (M$6:M61-M$5:M60)))/1000)/T$3, ""))</f>
        <v>#N/A</v>
      </c>
    </row>
    <row r="62" spans="1:24" x14ac:dyDescent="0.25">
      <c r="A62" s="1">
        <f t="shared" si="2"/>
        <v>580</v>
      </c>
      <c r="B62" s="1">
        <f t="shared" si="3"/>
        <v>0</v>
      </c>
      <c r="I62" s="1" t="e">
        <f t="shared" si="4"/>
        <v>#N/A</v>
      </c>
      <c r="J62" s="1" t="e">
        <f t="shared" si="0"/>
        <v>#N/A</v>
      </c>
      <c r="K62" s="1" t="e">
        <f t="shared" si="5"/>
        <v>#N/A</v>
      </c>
      <c r="L62" s="8" t="e" cm="1">
        <f t="array" ref="L62">IF(I62="","", IFERROR(((IF(I$5&lt;&gt;"", I$5*A$5, 0) + SUMPRODUCT(--(I$6:I62&lt;&gt;""), I$6:I62, (A$6:A62-A$5:A61)))/1000)/H$3, ""))</f>
        <v>#N/A</v>
      </c>
      <c r="M62" s="1">
        <f t="shared" si="6"/>
        <v>580</v>
      </c>
      <c r="N62" s="1">
        <f t="shared" si="7"/>
        <v>0</v>
      </c>
      <c r="U62" s="1" t="e">
        <f t="shared" si="8"/>
        <v>#N/A</v>
      </c>
      <c r="V62" s="1" t="e">
        <f t="shared" si="1"/>
        <v>#N/A</v>
      </c>
      <c r="W62" s="1" t="e">
        <f t="shared" si="9"/>
        <v>#N/A</v>
      </c>
      <c r="X62" s="8" t="e" cm="1">
        <f t="array" ref="X62">IF(U62="","", IFERROR(((IF(U$5&lt;&gt;"", U$5*M$5, 0) + SUMPRODUCT(--(U$6:U62&lt;&gt;""), U$6:U62, (M$6:M62-M$5:M61)))/1000)/T$3, ""))</f>
        <v>#N/A</v>
      </c>
    </row>
    <row r="63" spans="1:24" x14ac:dyDescent="0.25">
      <c r="A63" s="1">
        <f t="shared" si="2"/>
        <v>590</v>
      </c>
      <c r="B63" s="1">
        <f t="shared" si="3"/>
        <v>0</v>
      </c>
      <c r="I63" s="1" t="e">
        <f t="shared" si="4"/>
        <v>#N/A</v>
      </c>
      <c r="J63" s="1" t="e">
        <f t="shared" si="0"/>
        <v>#N/A</v>
      </c>
      <c r="K63" s="1" t="e">
        <f t="shared" si="5"/>
        <v>#N/A</v>
      </c>
      <c r="L63" s="8" t="e" cm="1">
        <f t="array" ref="L63">IF(I63="","", IFERROR(((IF(I$5&lt;&gt;"", I$5*A$5, 0) + SUMPRODUCT(--(I$6:I63&lt;&gt;""), I$6:I63, (A$6:A63-A$5:A62)))/1000)/H$3, ""))</f>
        <v>#N/A</v>
      </c>
      <c r="M63" s="1">
        <f t="shared" si="6"/>
        <v>590</v>
      </c>
      <c r="N63" s="1">
        <f t="shared" si="7"/>
        <v>0</v>
      </c>
      <c r="U63" s="1" t="e">
        <f t="shared" si="8"/>
        <v>#N/A</v>
      </c>
      <c r="V63" s="1" t="e">
        <f t="shared" si="1"/>
        <v>#N/A</v>
      </c>
      <c r="W63" s="1" t="e">
        <f t="shared" si="9"/>
        <v>#N/A</v>
      </c>
      <c r="X63" s="8" t="e" cm="1">
        <f t="array" ref="X63">IF(U63="","", IFERROR(((IF(U$5&lt;&gt;"", U$5*M$5, 0) + SUMPRODUCT(--(U$6:U63&lt;&gt;""), U$6:U63, (M$6:M63-M$5:M62)))/1000)/T$3, ""))</f>
        <v>#N/A</v>
      </c>
    </row>
    <row r="64" spans="1:24" x14ac:dyDescent="0.25">
      <c r="A64" s="1">
        <f t="shared" si="2"/>
        <v>600</v>
      </c>
      <c r="B64" s="1">
        <f t="shared" si="3"/>
        <v>0</v>
      </c>
      <c r="I64" s="1" t="e">
        <f t="shared" si="4"/>
        <v>#N/A</v>
      </c>
      <c r="J64" s="1" t="e">
        <f t="shared" si="0"/>
        <v>#N/A</v>
      </c>
      <c r="K64" s="1" t="e">
        <f t="shared" si="5"/>
        <v>#N/A</v>
      </c>
      <c r="L64" s="8" t="e" cm="1">
        <f t="array" ref="L64">IF(I64="","", IFERROR(((IF(I$5&lt;&gt;"", I$5*A$5, 0) + SUMPRODUCT(--(I$6:I64&lt;&gt;""), I$6:I64, (A$6:A64-A$5:A63)))/1000)/H$3, ""))</f>
        <v>#N/A</v>
      </c>
      <c r="M64" s="1">
        <f t="shared" si="6"/>
        <v>600</v>
      </c>
      <c r="N64" s="1">
        <f t="shared" si="7"/>
        <v>0</v>
      </c>
      <c r="U64" s="1" t="e">
        <f t="shared" si="8"/>
        <v>#N/A</v>
      </c>
      <c r="V64" s="1" t="e">
        <f t="shared" si="1"/>
        <v>#N/A</v>
      </c>
      <c r="W64" s="1" t="e">
        <f t="shared" si="9"/>
        <v>#N/A</v>
      </c>
      <c r="X64" s="8" t="e" cm="1">
        <f t="array" ref="X64">IF(U64="","", IFERROR(((IF(U$5&lt;&gt;"", U$5*M$5, 0) + SUMPRODUCT(--(U$6:U64&lt;&gt;""), U$6:U64, (M$6:M64-M$5:M63)))/1000)/T$3, ""))</f>
        <v>#N/A</v>
      </c>
    </row>
    <row r="65" spans="1:24" x14ac:dyDescent="0.25">
      <c r="A65" s="1">
        <f t="shared" si="2"/>
        <v>610</v>
      </c>
      <c r="B65" s="1">
        <f t="shared" si="3"/>
        <v>0</v>
      </c>
      <c r="I65" s="1" t="e">
        <f t="shared" si="4"/>
        <v>#N/A</v>
      </c>
      <c r="J65" s="1" t="e">
        <f t="shared" si="0"/>
        <v>#N/A</v>
      </c>
      <c r="K65" s="1" t="e">
        <f t="shared" si="5"/>
        <v>#N/A</v>
      </c>
      <c r="L65" s="8" t="e" cm="1">
        <f t="array" ref="L65">IF(I65="","", IFERROR(((IF(I$5&lt;&gt;"", I$5*A$5, 0) + SUMPRODUCT(--(I$6:I65&lt;&gt;""), I$6:I65, (A$6:A65-A$5:A64)))/1000)/H$3, ""))</f>
        <v>#N/A</v>
      </c>
      <c r="M65" s="1">
        <f t="shared" si="6"/>
        <v>610</v>
      </c>
      <c r="N65" s="1">
        <f t="shared" si="7"/>
        <v>0</v>
      </c>
      <c r="U65" s="1" t="e">
        <f t="shared" si="8"/>
        <v>#N/A</v>
      </c>
      <c r="V65" s="1" t="e">
        <f t="shared" si="1"/>
        <v>#N/A</v>
      </c>
      <c r="W65" s="1" t="e">
        <f t="shared" si="9"/>
        <v>#N/A</v>
      </c>
      <c r="X65" s="8" t="e" cm="1">
        <f t="array" ref="X65">IF(U65="","", IFERROR(((IF(U$5&lt;&gt;"", U$5*M$5, 0) + SUMPRODUCT(--(U$6:U65&lt;&gt;""), U$6:U65, (M$6:M65-M$5:M64)))/1000)/T$3, ""))</f>
        <v>#N/A</v>
      </c>
    </row>
    <row r="66" spans="1:24" x14ac:dyDescent="0.25">
      <c r="A66" s="1">
        <f t="shared" si="2"/>
        <v>620</v>
      </c>
      <c r="B66" s="1">
        <f t="shared" si="3"/>
        <v>0</v>
      </c>
      <c r="I66" s="1" t="e">
        <f t="shared" si="4"/>
        <v>#N/A</v>
      </c>
      <c r="J66" s="1" t="e">
        <f t="shared" si="0"/>
        <v>#N/A</v>
      </c>
      <c r="K66" s="1" t="e">
        <f t="shared" si="5"/>
        <v>#N/A</v>
      </c>
      <c r="L66" s="8" t="e" cm="1">
        <f t="array" ref="L66">IF(I66="","", IFERROR(((IF(I$5&lt;&gt;"", I$5*A$5, 0) + SUMPRODUCT(--(I$6:I66&lt;&gt;""), I$6:I66, (A$6:A66-A$5:A65)))/1000)/H$3, ""))</f>
        <v>#N/A</v>
      </c>
      <c r="M66" s="1">
        <f t="shared" si="6"/>
        <v>620</v>
      </c>
      <c r="N66" s="1">
        <f t="shared" si="7"/>
        <v>0</v>
      </c>
      <c r="U66" s="1" t="e">
        <f t="shared" si="8"/>
        <v>#N/A</v>
      </c>
      <c r="V66" s="1" t="e">
        <f t="shared" si="1"/>
        <v>#N/A</v>
      </c>
      <c r="W66" s="1" t="e">
        <f t="shared" si="9"/>
        <v>#N/A</v>
      </c>
      <c r="X66" s="8" t="e" cm="1">
        <f t="array" ref="X66">IF(U66="","", IFERROR(((IF(U$5&lt;&gt;"", U$5*M$5, 0) + SUMPRODUCT(--(U$6:U66&lt;&gt;""), U$6:U66, (M$6:M66-M$5:M65)))/1000)/T$3, ""))</f>
        <v>#N/A</v>
      </c>
    </row>
    <row r="67" spans="1:24" x14ac:dyDescent="0.25">
      <c r="A67" s="1">
        <f t="shared" si="2"/>
        <v>630</v>
      </c>
      <c r="B67" s="1">
        <f t="shared" si="3"/>
        <v>0</v>
      </c>
      <c r="I67" s="1" t="e">
        <f t="shared" si="4"/>
        <v>#N/A</v>
      </c>
      <c r="J67" s="1" t="e">
        <f t="shared" si="0"/>
        <v>#N/A</v>
      </c>
      <c r="K67" s="1" t="e">
        <f t="shared" si="5"/>
        <v>#N/A</v>
      </c>
      <c r="L67" s="8" t="e" cm="1">
        <f t="array" ref="L67">IF(I67="","", IFERROR(((IF(I$5&lt;&gt;"", I$5*A$5, 0) + SUMPRODUCT(--(I$6:I67&lt;&gt;""), I$6:I67, (A$6:A67-A$5:A66)))/1000)/H$3, ""))</f>
        <v>#N/A</v>
      </c>
      <c r="M67" s="1">
        <f t="shared" si="6"/>
        <v>630</v>
      </c>
      <c r="N67" s="1">
        <f t="shared" si="7"/>
        <v>0</v>
      </c>
      <c r="U67" s="1" t="e">
        <f t="shared" si="8"/>
        <v>#N/A</v>
      </c>
      <c r="V67" s="1" t="e">
        <f t="shared" si="1"/>
        <v>#N/A</v>
      </c>
      <c r="W67" s="1" t="e">
        <f t="shared" si="9"/>
        <v>#N/A</v>
      </c>
      <c r="X67" s="8" t="e" cm="1">
        <f t="array" ref="X67">IF(U67="","", IFERROR(((IF(U$5&lt;&gt;"", U$5*M$5, 0) + SUMPRODUCT(--(U$6:U67&lt;&gt;""), U$6:U67, (M$6:M67-M$5:M66)))/1000)/T$3, ""))</f>
        <v>#N/A</v>
      </c>
    </row>
    <row r="68" spans="1:24" x14ac:dyDescent="0.25">
      <c r="A68" s="1">
        <f t="shared" si="2"/>
        <v>640</v>
      </c>
      <c r="B68" s="1">
        <f t="shared" si="3"/>
        <v>0</v>
      </c>
      <c r="I68" s="1" t="e">
        <f t="shared" si="4"/>
        <v>#N/A</v>
      </c>
      <c r="J68" s="1" t="e">
        <f t="shared" si="0"/>
        <v>#N/A</v>
      </c>
      <c r="K68" s="1" t="e">
        <f t="shared" si="5"/>
        <v>#N/A</v>
      </c>
      <c r="L68" s="8" t="e" cm="1">
        <f t="array" ref="L68">IF(I68="","", IFERROR(((IF(I$5&lt;&gt;"", I$5*A$5, 0) + SUMPRODUCT(--(I$6:I68&lt;&gt;""), I$6:I68, (A$6:A68-A$5:A67)))/1000)/H$3, ""))</f>
        <v>#N/A</v>
      </c>
      <c r="M68" s="1">
        <f t="shared" si="6"/>
        <v>640</v>
      </c>
      <c r="N68" s="1">
        <f t="shared" si="7"/>
        <v>0</v>
      </c>
      <c r="U68" s="1" t="e">
        <f t="shared" si="8"/>
        <v>#N/A</v>
      </c>
      <c r="V68" s="1" t="e">
        <f t="shared" si="1"/>
        <v>#N/A</v>
      </c>
      <c r="W68" s="1" t="e">
        <f t="shared" si="9"/>
        <v>#N/A</v>
      </c>
      <c r="X68" s="8" t="e" cm="1">
        <f t="array" ref="X68">IF(U68="","", IFERROR(((IF(U$5&lt;&gt;"", U$5*M$5, 0) + SUMPRODUCT(--(U$6:U68&lt;&gt;""), U$6:U68, (M$6:M68-M$5:M67)))/1000)/T$3, ""))</f>
        <v>#N/A</v>
      </c>
    </row>
    <row r="69" spans="1:24" x14ac:dyDescent="0.25">
      <c r="A69" s="1">
        <f t="shared" si="2"/>
        <v>650</v>
      </c>
      <c r="B69" s="1">
        <f t="shared" si="3"/>
        <v>0</v>
      </c>
      <c r="I69" s="1" t="e">
        <f t="shared" si="4"/>
        <v>#N/A</v>
      </c>
      <c r="J69" s="1" t="e">
        <f t="shared" si="0"/>
        <v>#N/A</v>
      </c>
      <c r="K69" s="1" t="e">
        <f t="shared" si="5"/>
        <v>#N/A</v>
      </c>
      <c r="L69" s="8" t="e" cm="1">
        <f t="array" ref="L69">IF(I69="","", IFERROR(((IF(I$5&lt;&gt;"", I$5*A$5, 0) + SUMPRODUCT(--(I$6:I69&lt;&gt;""), I$6:I69, (A$6:A69-A$5:A68)))/1000)/H$3, ""))</f>
        <v>#N/A</v>
      </c>
      <c r="M69" s="1">
        <f t="shared" si="6"/>
        <v>650</v>
      </c>
      <c r="N69" s="1">
        <f t="shared" si="7"/>
        <v>0</v>
      </c>
      <c r="U69" s="1" t="e">
        <f t="shared" si="8"/>
        <v>#N/A</v>
      </c>
      <c r="V69" s="1" t="e">
        <f t="shared" si="1"/>
        <v>#N/A</v>
      </c>
      <c r="W69" s="1" t="e">
        <f t="shared" si="9"/>
        <v>#N/A</v>
      </c>
      <c r="X69" s="8" t="e" cm="1">
        <f t="array" ref="X69">IF(U69="","", IFERROR(((IF(U$5&lt;&gt;"", U$5*M$5, 0) + SUMPRODUCT(--(U$6:U69&lt;&gt;""), U$6:U69, (M$6:M69-M$5:M68)))/1000)/T$3, ""))</f>
        <v>#N/A</v>
      </c>
    </row>
    <row r="70" spans="1:24" x14ac:dyDescent="0.25">
      <c r="A70" s="1">
        <f t="shared" si="2"/>
        <v>660</v>
      </c>
      <c r="B70" s="1">
        <f t="shared" si="3"/>
        <v>0</v>
      </c>
      <c r="I70" s="1" t="e">
        <f t="shared" si="4"/>
        <v>#N/A</v>
      </c>
      <c r="J70" s="1" t="e">
        <f t="shared" ref="J70:J115" si="10">IF(I70="","",I70/F$2/2.5)</f>
        <v>#N/A</v>
      </c>
      <c r="K70" s="1" t="e">
        <f t="shared" si="5"/>
        <v>#N/A</v>
      </c>
      <c r="L70" s="8" t="e" cm="1">
        <f t="array" ref="L70">IF(I70="","", IFERROR(((IF(I$5&lt;&gt;"", I$5*A$5, 0) + SUMPRODUCT(--(I$6:I70&lt;&gt;""), I$6:I70, (A$6:A70-A$5:A69)))/1000)/H$3, ""))</f>
        <v>#N/A</v>
      </c>
      <c r="M70" s="1">
        <f t="shared" si="6"/>
        <v>660</v>
      </c>
      <c r="N70" s="1">
        <f t="shared" si="7"/>
        <v>0</v>
      </c>
      <c r="U70" s="1" t="e">
        <f t="shared" si="8"/>
        <v>#N/A</v>
      </c>
      <c r="V70" s="1" t="e">
        <f t="shared" ref="V70:V115" si="11">IF(U70="","",U70/R$2/2.5)</f>
        <v>#N/A</v>
      </c>
      <c r="W70" s="1" t="e">
        <f t="shared" si="9"/>
        <v>#N/A</v>
      </c>
      <c r="X70" s="8" t="e" cm="1">
        <f t="array" ref="X70">IF(U70="","", IFERROR(((IF(U$5&lt;&gt;"", U$5*M$5, 0) + SUMPRODUCT(--(U$6:U70&lt;&gt;""), U$6:U70, (M$6:M70-M$5:M69)))/1000)/T$3, ""))</f>
        <v>#N/A</v>
      </c>
    </row>
    <row r="71" spans="1:24" x14ac:dyDescent="0.25">
      <c r="A71" s="1">
        <f t="shared" ref="A71:A115" si="12">A70+10</f>
        <v>670</v>
      </c>
      <c r="B71" s="1">
        <f t="shared" ref="B71:B115" si="13">C70</f>
        <v>0</v>
      </c>
      <c r="I71" s="1" t="e">
        <f t="shared" ref="I71:I115" si="14">IF(C71="", NA(), (B71-C71)*1000/(A71-A70))</f>
        <v>#N/A</v>
      </c>
      <c r="J71" s="1" t="e">
        <f t="shared" si="10"/>
        <v>#N/A</v>
      </c>
      <c r="K71" s="1" t="e">
        <f t="shared" ref="K71:K115" si="15">IF(I71="","", 100*_xlfn.STDEV.P(I70:I71)/AVERAGE(I70:I71))</f>
        <v>#N/A</v>
      </c>
      <c r="L71" s="8" t="e" cm="1">
        <f t="array" ref="L71">IF(I71="","", IFERROR(((IF(I$5&lt;&gt;"", I$5*A$5, 0) + SUMPRODUCT(--(I$6:I71&lt;&gt;""), I$6:I71, (A$6:A71-A$5:A70)))/1000)/H$3, ""))</f>
        <v>#N/A</v>
      </c>
      <c r="M71" s="1">
        <f t="shared" ref="M71:M115" si="16">M70+10</f>
        <v>670</v>
      </c>
      <c r="N71" s="1">
        <f t="shared" ref="N71:N115" si="17">O70</f>
        <v>0</v>
      </c>
      <c r="U71" s="1" t="e">
        <f t="shared" ref="U71:U115" si="18">IF(O71="", NA(), (N71-O71)*1000/(M71-M70))</f>
        <v>#N/A</v>
      </c>
      <c r="V71" s="1" t="e">
        <f t="shared" si="11"/>
        <v>#N/A</v>
      </c>
      <c r="W71" s="1" t="e">
        <f t="shared" ref="W71:W115" si="19">IF(U71="","", 100*_xlfn.STDEV.P(U70:U71)/AVERAGE(U70:U71))</f>
        <v>#N/A</v>
      </c>
      <c r="X71" s="8" t="e" cm="1">
        <f t="array" ref="X71">IF(U71="","", IFERROR(((IF(U$5&lt;&gt;"", U$5*M$5, 0) + SUMPRODUCT(--(U$6:U71&lt;&gt;""), U$6:U71, (M$6:M71-M$5:M70)))/1000)/T$3, ""))</f>
        <v>#N/A</v>
      </c>
    </row>
    <row r="72" spans="1:24" x14ac:dyDescent="0.25">
      <c r="A72" s="1">
        <f t="shared" si="12"/>
        <v>680</v>
      </c>
      <c r="B72" s="1">
        <f t="shared" si="13"/>
        <v>0</v>
      </c>
      <c r="I72" s="1" t="e">
        <f t="shared" si="14"/>
        <v>#N/A</v>
      </c>
      <c r="J72" s="1" t="e">
        <f t="shared" si="10"/>
        <v>#N/A</v>
      </c>
      <c r="K72" s="1" t="e">
        <f t="shared" si="15"/>
        <v>#N/A</v>
      </c>
      <c r="L72" s="8" t="e" cm="1">
        <f t="array" ref="L72">IF(I72="","", IFERROR(((IF(I$5&lt;&gt;"", I$5*A$5, 0) + SUMPRODUCT(--(I$6:I72&lt;&gt;""), I$6:I72, (A$6:A72-A$5:A71)))/1000)/H$3, ""))</f>
        <v>#N/A</v>
      </c>
      <c r="M72" s="1">
        <f t="shared" si="16"/>
        <v>680</v>
      </c>
      <c r="N72" s="1">
        <f t="shared" si="17"/>
        <v>0</v>
      </c>
      <c r="U72" s="1" t="e">
        <f t="shared" si="18"/>
        <v>#N/A</v>
      </c>
      <c r="V72" s="1" t="e">
        <f t="shared" si="11"/>
        <v>#N/A</v>
      </c>
      <c r="W72" s="1" t="e">
        <f t="shared" si="19"/>
        <v>#N/A</v>
      </c>
      <c r="X72" s="8" t="e" cm="1">
        <f t="array" ref="X72">IF(U72="","", IFERROR(((IF(U$5&lt;&gt;"", U$5*M$5, 0) + SUMPRODUCT(--(U$6:U72&lt;&gt;""), U$6:U72, (M$6:M72-M$5:M71)))/1000)/T$3, ""))</f>
        <v>#N/A</v>
      </c>
    </row>
    <row r="73" spans="1:24" x14ac:dyDescent="0.25">
      <c r="A73" s="1">
        <f t="shared" si="12"/>
        <v>690</v>
      </c>
      <c r="B73" s="1">
        <f t="shared" si="13"/>
        <v>0</v>
      </c>
      <c r="I73" s="1" t="e">
        <f t="shared" si="14"/>
        <v>#N/A</v>
      </c>
      <c r="J73" s="1" t="e">
        <f t="shared" si="10"/>
        <v>#N/A</v>
      </c>
      <c r="K73" s="1" t="e">
        <f t="shared" si="15"/>
        <v>#N/A</v>
      </c>
      <c r="L73" s="8" t="e" cm="1">
        <f t="array" ref="L73">IF(I73="","", IFERROR(((IF(I$5&lt;&gt;"", I$5*A$5, 0) + SUMPRODUCT(--(I$6:I73&lt;&gt;""), I$6:I73, (A$6:A73-A$5:A72)))/1000)/H$3, ""))</f>
        <v>#N/A</v>
      </c>
      <c r="M73" s="1">
        <f t="shared" si="16"/>
        <v>690</v>
      </c>
      <c r="N73" s="1">
        <f t="shared" si="17"/>
        <v>0</v>
      </c>
      <c r="U73" s="1" t="e">
        <f t="shared" si="18"/>
        <v>#N/A</v>
      </c>
      <c r="V73" s="1" t="e">
        <f t="shared" si="11"/>
        <v>#N/A</v>
      </c>
      <c r="W73" s="1" t="e">
        <f t="shared" si="19"/>
        <v>#N/A</v>
      </c>
      <c r="X73" s="8" t="e" cm="1">
        <f t="array" ref="X73">IF(U73="","", IFERROR(((IF(U$5&lt;&gt;"", U$5*M$5, 0) + SUMPRODUCT(--(U$6:U73&lt;&gt;""), U$6:U73, (M$6:M73-M$5:M72)))/1000)/T$3, ""))</f>
        <v>#N/A</v>
      </c>
    </row>
    <row r="74" spans="1:24" x14ac:dyDescent="0.25">
      <c r="A74" s="1">
        <f t="shared" si="12"/>
        <v>700</v>
      </c>
      <c r="B74" s="1">
        <f t="shared" si="13"/>
        <v>0</v>
      </c>
      <c r="I74" s="1" t="e">
        <f t="shared" si="14"/>
        <v>#N/A</v>
      </c>
      <c r="J74" s="1" t="e">
        <f t="shared" si="10"/>
        <v>#N/A</v>
      </c>
      <c r="K74" s="1" t="e">
        <f t="shared" si="15"/>
        <v>#N/A</v>
      </c>
      <c r="L74" s="8" t="e" cm="1">
        <f t="array" ref="L74">IF(I74="","", IFERROR(((IF(I$5&lt;&gt;"", I$5*A$5, 0) + SUMPRODUCT(--(I$6:I74&lt;&gt;""), I$6:I74, (A$6:A74-A$5:A73)))/1000)/H$3, ""))</f>
        <v>#N/A</v>
      </c>
      <c r="M74" s="1">
        <f t="shared" si="16"/>
        <v>700</v>
      </c>
      <c r="N74" s="1">
        <f t="shared" si="17"/>
        <v>0</v>
      </c>
      <c r="U74" s="1" t="e">
        <f t="shared" si="18"/>
        <v>#N/A</v>
      </c>
      <c r="V74" s="1" t="e">
        <f t="shared" si="11"/>
        <v>#N/A</v>
      </c>
      <c r="W74" s="1" t="e">
        <f t="shared" si="19"/>
        <v>#N/A</v>
      </c>
      <c r="X74" s="8" t="e" cm="1">
        <f t="array" ref="X74">IF(U74="","", IFERROR(((IF(U$5&lt;&gt;"", U$5*M$5, 0) + SUMPRODUCT(--(U$6:U74&lt;&gt;""), U$6:U74, (M$6:M74-M$5:M73)))/1000)/T$3, ""))</f>
        <v>#N/A</v>
      </c>
    </row>
    <row r="75" spans="1:24" x14ac:dyDescent="0.25">
      <c r="A75" s="1">
        <f t="shared" si="12"/>
        <v>710</v>
      </c>
      <c r="B75" s="1">
        <f t="shared" si="13"/>
        <v>0</v>
      </c>
      <c r="I75" s="1" t="e">
        <f t="shared" si="14"/>
        <v>#N/A</v>
      </c>
      <c r="J75" s="1" t="e">
        <f t="shared" si="10"/>
        <v>#N/A</v>
      </c>
      <c r="K75" s="1" t="e">
        <f t="shared" si="15"/>
        <v>#N/A</v>
      </c>
      <c r="L75" s="8" t="e" cm="1">
        <f t="array" ref="L75">IF(I75="","", IFERROR(((IF(I$5&lt;&gt;"", I$5*A$5, 0) + SUMPRODUCT(--(I$6:I75&lt;&gt;""), I$6:I75, (A$6:A75-A$5:A74)))/1000)/H$3, ""))</f>
        <v>#N/A</v>
      </c>
      <c r="M75" s="1">
        <f t="shared" si="16"/>
        <v>710</v>
      </c>
      <c r="N75" s="1">
        <f t="shared" si="17"/>
        <v>0</v>
      </c>
      <c r="U75" s="1" t="e">
        <f t="shared" si="18"/>
        <v>#N/A</v>
      </c>
      <c r="V75" s="1" t="e">
        <f t="shared" si="11"/>
        <v>#N/A</v>
      </c>
      <c r="W75" s="1" t="e">
        <f t="shared" si="19"/>
        <v>#N/A</v>
      </c>
      <c r="X75" s="8" t="e" cm="1">
        <f t="array" ref="X75">IF(U75="","", IFERROR(((IF(U$5&lt;&gt;"", U$5*M$5, 0) + SUMPRODUCT(--(U$6:U75&lt;&gt;""), U$6:U75, (M$6:M75-M$5:M74)))/1000)/T$3, ""))</f>
        <v>#N/A</v>
      </c>
    </row>
    <row r="76" spans="1:24" x14ac:dyDescent="0.25">
      <c r="A76" s="1">
        <f t="shared" si="12"/>
        <v>720</v>
      </c>
      <c r="B76" s="1">
        <f t="shared" si="13"/>
        <v>0</v>
      </c>
      <c r="I76" s="1" t="e">
        <f t="shared" si="14"/>
        <v>#N/A</v>
      </c>
      <c r="J76" s="1" t="e">
        <f t="shared" si="10"/>
        <v>#N/A</v>
      </c>
      <c r="K76" s="1" t="e">
        <f t="shared" si="15"/>
        <v>#N/A</v>
      </c>
      <c r="L76" s="8" t="e" cm="1">
        <f t="array" ref="L76">IF(I76="","", IFERROR(((IF(I$5&lt;&gt;"", I$5*A$5, 0) + SUMPRODUCT(--(I$6:I76&lt;&gt;""), I$6:I76, (A$6:A76-A$5:A75)))/1000)/H$3, ""))</f>
        <v>#N/A</v>
      </c>
      <c r="M76" s="1">
        <f t="shared" si="16"/>
        <v>720</v>
      </c>
      <c r="N76" s="1">
        <f t="shared" si="17"/>
        <v>0</v>
      </c>
      <c r="U76" s="1" t="e">
        <f t="shared" si="18"/>
        <v>#N/A</v>
      </c>
      <c r="V76" s="1" t="e">
        <f t="shared" si="11"/>
        <v>#N/A</v>
      </c>
      <c r="W76" s="1" t="e">
        <f t="shared" si="19"/>
        <v>#N/A</v>
      </c>
      <c r="X76" s="8" t="e" cm="1">
        <f t="array" ref="X76">IF(U76="","", IFERROR(((IF(U$5&lt;&gt;"", U$5*M$5, 0) + SUMPRODUCT(--(U$6:U76&lt;&gt;""), U$6:U76, (M$6:M76-M$5:M75)))/1000)/T$3, ""))</f>
        <v>#N/A</v>
      </c>
    </row>
    <row r="77" spans="1:24" x14ac:dyDescent="0.25">
      <c r="A77" s="1">
        <f t="shared" si="12"/>
        <v>730</v>
      </c>
      <c r="B77" s="1">
        <f t="shared" si="13"/>
        <v>0</v>
      </c>
      <c r="I77" s="1" t="e">
        <f t="shared" si="14"/>
        <v>#N/A</v>
      </c>
      <c r="J77" s="1" t="e">
        <f t="shared" si="10"/>
        <v>#N/A</v>
      </c>
      <c r="K77" s="1" t="e">
        <f t="shared" si="15"/>
        <v>#N/A</v>
      </c>
      <c r="L77" s="8" t="e" cm="1">
        <f t="array" ref="L77">IF(I77="","", IFERROR(((IF(I$5&lt;&gt;"", I$5*A$5, 0) + SUMPRODUCT(--(I$6:I77&lt;&gt;""), I$6:I77, (A$6:A77-A$5:A76)))/1000)/H$3, ""))</f>
        <v>#N/A</v>
      </c>
      <c r="M77" s="1">
        <f t="shared" si="16"/>
        <v>730</v>
      </c>
      <c r="N77" s="1">
        <f t="shared" si="17"/>
        <v>0</v>
      </c>
      <c r="U77" s="1" t="e">
        <f t="shared" si="18"/>
        <v>#N/A</v>
      </c>
      <c r="V77" s="1" t="e">
        <f t="shared" si="11"/>
        <v>#N/A</v>
      </c>
      <c r="W77" s="1" t="e">
        <f t="shared" si="19"/>
        <v>#N/A</v>
      </c>
      <c r="X77" s="8" t="e" cm="1">
        <f t="array" ref="X77">IF(U77="","", IFERROR(((IF(U$5&lt;&gt;"", U$5*M$5, 0) + SUMPRODUCT(--(U$6:U77&lt;&gt;""), U$6:U77, (M$6:M77-M$5:M76)))/1000)/T$3, ""))</f>
        <v>#N/A</v>
      </c>
    </row>
    <row r="78" spans="1:24" x14ac:dyDescent="0.25">
      <c r="A78" s="1">
        <f t="shared" si="12"/>
        <v>740</v>
      </c>
      <c r="B78" s="1">
        <f t="shared" si="13"/>
        <v>0</v>
      </c>
      <c r="I78" s="1" t="e">
        <f t="shared" si="14"/>
        <v>#N/A</v>
      </c>
      <c r="J78" s="1" t="e">
        <f t="shared" si="10"/>
        <v>#N/A</v>
      </c>
      <c r="K78" s="1" t="e">
        <f t="shared" si="15"/>
        <v>#N/A</v>
      </c>
      <c r="L78" s="8" t="e" cm="1">
        <f t="array" ref="L78">IF(I78="","", IFERROR(((IF(I$5&lt;&gt;"", I$5*A$5, 0) + SUMPRODUCT(--(I$6:I78&lt;&gt;""), I$6:I78, (A$6:A78-A$5:A77)))/1000)/H$3, ""))</f>
        <v>#N/A</v>
      </c>
      <c r="M78" s="1">
        <f t="shared" si="16"/>
        <v>740</v>
      </c>
      <c r="N78" s="1">
        <f t="shared" si="17"/>
        <v>0</v>
      </c>
      <c r="U78" s="1" t="e">
        <f t="shared" si="18"/>
        <v>#N/A</v>
      </c>
      <c r="V78" s="1" t="e">
        <f t="shared" si="11"/>
        <v>#N/A</v>
      </c>
      <c r="W78" s="1" t="e">
        <f t="shared" si="19"/>
        <v>#N/A</v>
      </c>
      <c r="X78" s="8" t="e" cm="1">
        <f t="array" ref="X78">IF(U78="","", IFERROR(((IF(U$5&lt;&gt;"", U$5*M$5, 0) + SUMPRODUCT(--(U$6:U78&lt;&gt;""), U$6:U78, (M$6:M78-M$5:M77)))/1000)/T$3, ""))</f>
        <v>#N/A</v>
      </c>
    </row>
    <row r="79" spans="1:24" x14ac:dyDescent="0.25">
      <c r="A79" s="1">
        <f t="shared" si="12"/>
        <v>750</v>
      </c>
      <c r="B79" s="1">
        <f t="shared" si="13"/>
        <v>0</v>
      </c>
      <c r="I79" s="1" t="e">
        <f t="shared" si="14"/>
        <v>#N/A</v>
      </c>
      <c r="J79" s="1" t="e">
        <f t="shared" si="10"/>
        <v>#N/A</v>
      </c>
      <c r="K79" s="1" t="e">
        <f t="shared" si="15"/>
        <v>#N/A</v>
      </c>
      <c r="L79" s="8" t="e" cm="1">
        <f t="array" ref="L79">IF(I79="","", IFERROR(((IF(I$5&lt;&gt;"", I$5*A$5, 0) + SUMPRODUCT(--(I$6:I79&lt;&gt;""), I$6:I79, (A$6:A79-A$5:A78)))/1000)/H$3, ""))</f>
        <v>#N/A</v>
      </c>
      <c r="M79" s="1">
        <f t="shared" si="16"/>
        <v>750</v>
      </c>
      <c r="N79" s="1">
        <f t="shared" si="17"/>
        <v>0</v>
      </c>
      <c r="U79" s="1" t="e">
        <f t="shared" si="18"/>
        <v>#N/A</v>
      </c>
      <c r="V79" s="1" t="e">
        <f t="shared" si="11"/>
        <v>#N/A</v>
      </c>
      <c r="W79" s="1" t="e">
        <f t="shared" si="19"/>
        <v>#N/A</v>
      </c>
      <c r="X79" s="8" t="e" cm="1">
        <f t="array" ref="X79">IF(U79="","", IFERROR(((IF(U$5&lt;&gt;"", U$5*M$5, 0) + SUMPRODUCT(--(U$6:U79&lt;&gt;""), U$6:U79, (M$6:M79-M$5:M78)))/1000)/T$3, ""))</f>
        <v>#N/A</v>
      </c>
    </row>
    <row r="80" spans="1:24" x14ac:dyDescent="0.25">
      <c r="A80" s="1">
        <f t="shared" si="12"/>
        <v>760</v>
      </c>
      <c r="B80" s="1">
        <f t="shared" si="13"/>
        <v>0</v>
      </c>
      <c r="I80" s="1" t="e">
        <f t="shared" si="14"/>
        <v>#N/A</v>
      </c>
      <c r="J80" s="1" t="e">
        <f t="shared" si="10"/>
        <v>#N/A</v>
      </c>
      <c r="K80" s="1" t="e">
        <f t="shared" si="15"/>
        <v>#N/A</v>
      </c>
      <c r="L80" s="8" t="e" cm="1">
        <f t="array" ref="L80">IF(I80="","", IFERROR(((IF(I$5&lt;&gt;"", I$5*A$5, 0) + SUMPRODUCT(--(I$6:I80&lt;&gt;""), I$6:I80, (A$6:A80-A$5:A79)))/1000)/H$3, ""))</f>
        <v>#N/A</v>
      </c>
      <c r="M80" s="1">
        <f t="shared" si="16"/>
        <v>760</v>
      </c>
      <c r="N80" s="1">
        <f t="shared" si="17"/>
        <v>0</v>
      </c>
      <c r="U80" s="1" t="e">
        <f t="shared" si="18"/>
        <v>#N/A</v>
      </c>
      <c r="V80" s="1" t="e">
        <f t="shared" si="11"/>
        <v>#N/A</v>
      </c>
      <c r="W80" s="1" t="e">
        <f t="shared" si="19"/>
        <v>#N/A</v>
      </c>
      <c r="X80" s="8" t="e" cm="1">
        <f t="array" ref="X80">IF(U80="","", IFERROR(((IF(U$5&lt;&gt;"", U$5*M$5, 0) + SUMPRODUCT(--(U$6:U80&lt;&gt;""), U$6:U80, (M$6:M80-M$5:M79)))/1000)/T$3, ""))</f>
        <v>#N/A</v>
      </c>
    </row>
    <row r="81" spans="1:24" x14ac:dyDescent="0.25">
      <c r="A81" s="1">
        <f t="shared" si="12"/>
        <v>770</v>
      </c>
      <c r="B81" s="1">
        <f t="shared" si="13"/>
        <v>0</v>
      </c>
      <c r="I81" s="1" t="e">
        <f t="shared" si="14"/>
        <v>#N/A</v>
      </c>
      <c r="J81" s="1" t="e">
        <f t="shared" si="10"/>
        <v>#N/A</v>
      </c>
      <c r="K81" s="1" t="e">
        <f t="shared" si="15"/>
        <v>#N/A</v>
      </c>
      <c r="L81" s="8" t="e" cm="1">
        <f t="array" ref="L81">IF(I81="","", IFERROR(((IF(I$5&lt;&gt;"", I$5*A$5, 0) + SUMPRODUCT(--(I$6:I81&lt;&gt;""), I$6:I81, (A$6:A81-A$5:A80)))/1000)/H$3, ""))</f>
        <v>#N/A</v>
      </c>
      <c r="M81" s="1">
        <f t="shared" si="16"/>
        <v>770</v>
      </c>
      <c r="N81" s="1">
        <f t="shared" si="17"/>
        <v>0</v>
      </c>
      <c r="U81" s="1" t="e">
        <f t="shared" si="18"/>
        <v>#N/A</v>
      </c>
      <c r="V81" s="1" t="e">
        <f t="shared" si="11"/>
        <v>#N/A</v>
      </c>
      <c r="W81" s="1" t="e">
        <f t="shared" si="19"/>
        <v>#N/A</v>
      </c>
      <c r="X81" s="8" t="e" cm="1">
        <f t="array" ref="X81">IF(U81="","", IFERROR(((IF(U$5&lt;&gt;"", U$5*M$5, 0) + SUMPRODUCT(--(U$6:U81&lt;&gt;""), U$6:U81, (M$6:M81-M$5:M80)))/1000)/T$3, ""))</f>
        <v>#N/A</v>
      </c>
    </row>
    <row r="82" spans="1:24" x14ac:dyDescent="0.25">
      <c r="A82" s="1">
        <f t="shared" si="12"/>
        <v>780</v>
      </c>
      <c r="B82" s="1">
        <f t="shared" si="13"/>
        <v>0</v>
      </c>
      <c r="I82" s="1" t="e">
        <f t="shared" si="14"/>
        <v>#N/A</v>
      </c>
      <c r="J82" s="1" t="e">
        <f t="shared" si="10"/>
        <v>#N/A</v>
      </c>
      <c r="K82" s="1" t="e">
        <f t="shared" si="15"/>
        <v>#N/A</v>
      </c>
      <c r="L82" s="8" t="e" cm="1">
        <f t="array" ref="L82">IF(I82="","", IFERROR(((IF(I$5&lt;&gt;"", I$5*A$5, 0) + SUMPRODUCT(--(I$6:I82&lt;&gt;""), I$6:I82, (A$6:A82-A$5:A81)))/1000)/H$3, ""))</f>
        <v>#N/A</v>
      </c>
      <c r="M82" s="1">
        <f t="shared" si="16"/>
        <v>780</v>
      </c>
      <c r="N82" s="1">
        <f t="shared" si="17"/>
        <v>0</v>
      </c>
      <c r="U82" s="1" t="e">
        <f t="shared" si="18"/>
        <v>#N/A</v>
      </c>
      <c r="V82" s="1" t="e">
        <f t="shared" si="11"/>
        <v>#N/A</v>
      </c>
      <c r="W82" s="1" t="e">
        <f t="shared" si="19"/>
        <v>#N/A</v>
      </c>
      <c r="X82" s="8" t="e" cm="1">
        <f t="array" ref="X82">IF(U82="","", IFERROR(((IF(U$5&lt;&gt;"", U$5*M$5, 0) + SUMPRODUCT(--(U$6:U82&lt;&gt;""), U$6:U82, (M$6:M82-M$5:M81)))/1000)/T$3, ""))</f>
        <v>#N/A</v>
      </c>
    </row>
    <row r="83" spans="1:24" x14ac:dyDescent="0.25">
      <c r="A83" s="1">
        <f t="shared" si="12"/>
        <v>790</v>
      </c>
      <c r="B83" s="1">
        <f t="shared" si="13"/>
        <v>0</v>
      </c>
      <c r="I83" s="1" t="e">
        <f t="shared" si="14"/>
        <v>#N/A</v>
      </c>
      <c r="J83" s="1" t="e">
        <f t="shared" si="10"/>
        <v>#N/A</v>
      </c>
      <c r="K83" s="1" t="e">
        <f t="shared" si="15"/>
        <v>#N/A</v>
      </c>
      <c r="L83" s="8" t="e" cm="1">
        <f t="array" ref="L83">IF(I83="","", IFERROR(((IF(I$5&lt;&gt;"", I$5*A$5, 0) + SUMPRODUCT(--(I$6:I83&lt;&gt;""), I$6:I83, (A$6:A83-A$5:A82)))/1000)/H$3, ""))</f>
        <v>#N/A</v>
      </c>
      <c r="M83" s="1">
        <f t="shared" si="16"/>
        <v>790</v>
      </c>
      <c r="N83" s="1">
        <f t="shared" si="17"/>
        <v>0</v>
      </c>
      <c r="U83" s="1" t="e">
        <f t="shared" si="18"/>
        <v>#N/A</v>
      </c>
      <c r="V83" s="1" t="e">
        <f t="shared" si="11"/>
        <v>#N/A</v>
      </c>
      <c r="W83" s="1" t="e">
        <f t="shared" si="19"/>
        <v>#N/A</v>
      </c>
      <c r="X83" s="8" t="e" cm="1">
        <f t="array" ref="X83">IF(U83="","", IFERROR(((IF(U$5&lt;&gt;"", U$5*M$5, 0) + SUMPRODUCT(--(U$6:U83&lt;&gt;""), U$6:U83, (M$6:M83-M$5:M82)))/1000)/T$3, ""))</f>
        <v>#N/A</v>
      </c>
    </row>
    <row r="84" spans="1:24" x14ac:dyDescent="0.25">
      <c r="A84" s="1">
        <f t="shared" si="12"/>
        <v>800</v>
      </c>
      <c r="B84" s="1">
        <f t="shared" si="13"/>
        <v>0</v>
      </c>
      <c r="I84" s="1" t="e">
        <f t="shared" si="14"/>
        <v>#N/A</v>
      </c>
      <c r="J84" s="1" t="e">
        <f t="shared" si="10"/>
        <v>#N/A</v>
      </c>
      <c r="K84" s="1" t="e">
        <f t="shared" si="15"/>
        <v>#N/A</v>
      </c>
      <c r="L84" s="8" t="e" cm="1">
        <f t="array" ref="L84">IF(I84="","", IFERROR(((IF(I$5&lt;&gt;"", I$5*A$5, 0) + SUMPRODUCT(--(I$6:I84&lt;&gt;""), I$6:I84, (A$6:A84-A$5:A83)))/1000)/H$3, ""))</f>
        <v>#N/A</v>
      </c>
      <c r="M84" s="1">
        <f t="shared" si="16"/>
        <v>800</v>
      </c>
      <c r="N84" s="1">
        <f t="shared" si="17"/>
        <v>0</v>
      </c>
      <c r="U84" s="1" t="e">
        <f t="shared" si="18"/>
        <v>#N/A</v>
      </c>
      <c r="V84" s="1" t="e">
        <f t="shared" si="11"/>
        <v>#N/A</v>
      </c>
      <c r="W84" s="1" t="e">
        <f t="shared" si="19"/>
        <v>#N/A</v>
      </c>
      <c r="X84" s="8" t="e" cm="1">
        <f t="array" ref="X84">IF(U84="","", IFERROR(((IF(U$5&lt;&gt;"", U$5*M$5, 0) + SUMPRODUCT(--(U$6:U84&lt;&gt;""), U$6:U84, (M$6:M84-M$5:M83)))/1000)/T$3, ""))</f>
        <v>#N/A</v>
      </c>
    </row>
    <row r="85" spans="1:24" x14ac:dyDescent="0.25">
      <c r="A85" s="1">
        <f t="shared" si="12"/>
        <v>810</v>
      </c>
      <c r="B85" s="1">
        <f t="shared" si="13"/>
        <v>0</v>
      </c>
      <c r="I85" s="1" t="e">
        <f t="shared" si="14"/>
        <v>#N/A</v>
      </c>
      <c r="J85" s="1" t="e">
        <f t="shared" si="10"/>
        <v>#N/A</v>
      </c>
      <c r="K85" s="1" t="e">
        <f t="shared" si="15"/>
        <v>#N/A</v>
      </c>
      <c r="L85" s="8" t="e" cm="1">
        <f t="array" ref="L85">IF(I85="","", IFERROR(((IF(I$5&lt;&gt;"", I$5*A$5, 0) + SUMPRODUCT(--(I$6:I85&lt;&gt;""), I$6:I85, (A$6:A85-A$5:A84)))/1000)/H$3, ""))</f>
        <v>#N/A</v>
      </c>
      <c r="M85" s="1">
        <f t="shared" si="16"/>
        <v>810</v>
      </c>
      <c r="N85" s="1">
        <f t="shared" si="17"/>
        <v>0</v>
      </c>
      <c r="U85" s="1" t="e">
        <f t="shared" si="18"/>
        <v>#N/A</v>
      </c>
      <c r="V85" s="1" t="e">
        <f t="shared" si="11"/>
        <v>#N/A</v>
      </c>
      <c r="W85" s="1" t="e">
        <f t="shared" si="19"/>
        <v>#N/A</v>
      </c>
      <c r="X85" s="8" t="e" cm="1">
        <f t="array" ref="X85">IF(U85="","", IFERROR(((IF(U$5&lt;&gt;"", U$5*M$5, 0) + SUMPRODUCT(--(U$6:U85&lt;&gt;""), U$6:U85, (M$6:M85-M$5:M84)))/1000)/T$3, ""))</f>
        <v>#N/A</v>
      </c>
    </row>
    <row r="86" spans="1:24" x14ac:dyDescent="0.25">
      <c r="A86" s="1">
        <f t="shared" si="12"/>
        <v>820</v>
      </c>
      <c r="B86" s="1">
        <f t="shared" si="13"/>
        <v>0</v>
      </c>
      <c r="I86" s="1" t="e">
        <f t="shared" si="14"/>
        <v>#N/A</v>
      </c>
      <c r="J86" s="1" t="e">
        <f t="shared" si="10"/>
        <v>#N/A</v>
      </c>
      <c r="K86" s="1" t="e">
        <f t="shared" si="15"/>
        <v>#N/A</v>
      </c>
      <c r="L86" s="8" t="e" cm="1">
        <f t="array" ref="L86">IF(I86="","", IFERROR(((IF(I$5&lt;&gt;"", I$5*A$5, 0) + SUMPRODUCT(--(I$6:I86&lt;&gt;""), I$6:I86, (A$6:A86-A$5:A85)))/1000)/H$3, ""))</f>
        <v>#N/A</v>
      </c>
      <c r="M86" s="1">
        <f t="shared" si="16"/>
        <v>820</v>
      </c>
      <c r="N86" s="1">
        <f t="shared" si="17"/>
        <v>0</v>
      </c>
      <c r="U86" s="1" t="e">
        <f t="shared" si="18"/>
        <v>#N/A</v>
      </c>
      <c r="V86" s="1" t="e">
        <f t="shared" si="11"/>
        <v>#N/A</v>
      </c>
      <c r="W86" s="1" t="e">
        <f t="shared" si="19"/>
        <v>#N/A</v>
      </c>
      <c r="X86" s="8" t="e" cm="1">
        <f t="array" ref="X86">IF(U86="","", IFERROR(((IF(U$5&lt;&gt;"", U$5*M$5, 0) + SUMPRODUCT(--(U$6:U86&lt;&gt;""), U$6:U86, (M$6:M86-M$5:M85)))/1000)/T$3, ""))</f>
        <v>#N/A</v>
      </c>
    </row>
    <row r="87" spans="1:24" x14ac:dyDescent="0.25">
      <c r="A87" s="1">
        <f t="shared" si="12"/>
        <v>830</v>
      </c>
      <c r="B87" s="1">
        <f t="shared" si="13"/>
        <v>0</v>
      </c>
      <c r="I87" s="1" t="e">
        <f t="shared" si="14"/>
        <v>#N/A</v>
      </c>
      <c r="J87" s="1" t="e">
        <f t="shared" si="10"/>
        <v>#N/A</v>
      </c>
      <c r="K87" s="1" t="e">
        <f t="shared" si="15"/>
        <v>#N/A</v>
      </c>
      <c r="L87" s="8" t="e" cm="1">
        <f t="array" ref="L87">IF(I87="","", IFERROR(((IF(I$5&lt;&gt;"", I$5*A$5, 0) + SUMPRODUCT(--(I$6:I87&lt;&gt;""), I$6:I87, (A$6:A87-A$5:A86)))/1000)/H$3, ""))</f>
        <v>#N/A</v>
      </c>
      <c r="M87" s="1">
        <f t="shared" si="16"/>
        <v>830</v>
      </c>
      <c r="N87" s="1">
        <f t="shared" si="17"/>
        <v>0</v>
      </c>
      <c r="U87" s="1" t="e">
        <f t="shared" si="18"/>
        <v>#N/A</v>
      </c>
      <c r="V87" s="1" t="e">
        <f t="shared" si="11"/>
        <v>#N/A</v>
      </c>
      <c r="W87" s="1" t="e">
        <f t="shared" si="19"/>
        <v>#N/A</v>
      </c>
      <c r="X87" s="8" t="e" cm="1">
        <f t="array" ref="X87">IF(U87="","", IFERROR(((IF(U$5&lt;&gt;"", U$5*M$5, 0) + SUMPRODUCT(--(U$6:U87&lt;&gt;""), U$6:U87, (M$6:M87-M$5:M86)))/1000)/T$3, ""))</f>
        <v>#N/A</v>
      </c>
    </row>
    <row r="88" spans="1:24" x14ac:dyDescent="0.25">
      <c r="A88" s="1">
        <f t="shared" si="12"/>
        <v>840</v>
      </c>
      <c r="B88" s="1">
        <f t="shared" si="13"/>
        <v>0</v>
      </c>
      <c r="I88" s="1" t="e">
        <f t="shared" si="14"/>
        <v>#N/A</v>
      </c>
      <c r="J88" s="1" t="e">
        <f t="shared" si="10"/>
        <v>#N/A</v>
      </c>
      <c r="K88" s="1" t="e">
        <f t="shared" si="15"/>
        <v>#N/A</v>
      </c>
      <c r="L88" s="8" t="e" cm="1">
        <f t="array" ref="L88">IF(I88="","", IFERROR(((IF(I$5&lt;&gt;"", I$5*A$5, 0) + SUMPRODUCT(--(I$6:I88&lt;&gt;""), I$6:I88, (A$6:A88-A$5:A87)))/1000)/H$3, ""))</f>
        <v>#N/A</v>
      </c>
      <c r="M88" s="1">
        <f t="shared" si="16"/>
        <v>840</v>
      </c>
      <c r="N88" s="1">
        <f t="shared" si="17"/>
        <v>0</v>
      </c>
      <c r="U88" s="1" t="e">
        <f t="shared" si="18"/>
        <v>#N/A</v>
      </c>
      <c r="V88" s="1" t="e">
        <f t="shared" si="11"/>
        <v>#N/A</v>
      </c>
      <c r="W88" s="1" t="e">
        <f t="shared" si="19"/>
        <v>#N/A</v>
      </c>
      <c r="X88" s="8" t="e" cm="1">
        <f t="array" ref="X88">IF(U88="","", IFERROR(((IF(U$5&lt;&gt;"", U$5*M$5, 0) + SUMPRODUCT(--(U$6:U88&lt;&gt;""), U$6:U88, (M$6:M88-M$5:M87)))/1000)/T$3, ""))</f>
        <v>#N/A</v>
      </c>
    </row>
    <row r="89" spans="1:24" x14ac:dyDescent="0.25">
      <c r="A89" s="1">
        <f t="shared" si="12"/>
        <v>850</v>
      </c>
      <c r="B89" s="1">
        <f t="shared" si="13"/>
        <v>0</v>
      </c>
      <c r="I89" s="1" t="e">
        <f t="shared" si="14"/>
        <v>#N/A</v>
      </c>
      <c r="J89" s="1" t="e">
        <f t="shared" si="10"/>
        <v>#N/A</v>
      </c>
      <c r="K89" s="1" t="e">
        <f t="shared" si="15"/>
        <v>#N/A</v>
      </c>
      <c r="L89" s="8" t="e" cm="1">
        <f t="array" ref="L89">IF(I89="","", IFERROR(((IF(I$5&lt;&gt;"", I$5*A$5, 0) + SUMPRODUCT(--(I$6:I89&lt;&gt;""), I$6:I89, (A$6:A89-A$5:A88)))/1000)/H$3, ""))</f>
        <v>#N/A</v>
      </c>
      <c r="M89" s="1">
        <f t="shared" si="16"/>
        <v>850</v>
      </c>
      <c r="N89" s="1">
        <f t="shared" si="17"/>
        <v>0</v>
      </c>
      <c r="U89" s="1" t="e">
        <f t="shared" si="18"/>
        <v>#N/A</v>
      </c>
      <c r="V89" s="1" t="e">
        <f t="shared" si="11"/>
        <v>#N/A</v>
      </c>
      <c r="W89" s="1" t="e">
        <f t="shared" si="19"/>
        <v>#N/A</v>
      </c>
      <c r="X89" s="8" t="e" cm="1">
        <f t="array" ref="X89">IF(U89="","", IFERROR(((IF(U$5&lt;&gt;"", U$5*M$5, 0) + SUMPRODUCT(--(U$6:U89&lt;&gt;""), U$6:U89, (M$6:M89-M$5:M88)))/1000)/T$3, ""))</f>
        <v>#N/A</v>
      </c>
    </row>
    <row r="90" spans="1:24" x14ac:dyDescent="0.25">
      <c r="A90" s="1">
        <f t="shared" si="12"/>
        <v>860</v>
      </c>
      <c r="B90" s="1">
        <f t="shared" si="13"/>
        <v>0</v>
      </c>
      <c r="I90" s="1" t="e">
        <f t="shared" si="14"/>
        <v>#N/A</v>
      </c>
      <c r="J90" s="1" t="e">
        <f t="shared" si="10"/>
        <v>#N/A</v>
      </c>
      <c r="K90" s="1" t="e">
        <f t="shared" si="15"/>
        <v>#N/A</v>
      </c>
      <c r="L90" s="8" t="e" cm="1">
        <f t="array" ref="L90">IF(I90="","", IFERROR(((IF(I$5&lt;&gt;"", I$5*A$5, 0) + SUMPRODUCT(--(I$6:I90&lt;&gt;""), I$6:I90, (A$6:A90-A$5:A89)))/1000)/H$3, ""))</f>
        <v>#N/A</v>
      </c>
      <c r="M90" s="1">
        <f t="shared" si="16"/>
        <v>860</v>
      </c>
      <c r="N90" s="1">
        <f t="shared" si="17"/>
        <v>0</v>
      </c>
      <c r="U90" s="1" t="e">
        <f t="shared" si="18"/>
        <v>#N/A</v>
      </c>
      <c r="V90" s="1" t="e">
        <f t="shared" si="11"/>
        <v>#N/A</v>
      </c>
      <c r="W90" s="1" t="e">
        <f t="shared" si="19"/>
        <v>#N/A</v>
      </c>
      <c r="X90" s="8" t="e" cm="1">
        <f t="array" ref="X90">IF(U90="","", IFERROR(((IF(U$5&lt;&gt;"", U$5*M$5, 0) + SUMPRODUCT(--(U$6:U90&lt;&gt;""), U$6:U90, (M$6:M90-M$5:M89)))/1000)/T$3, ""))</f>
        <v>#N/A</v>
      </c>
    </row>
    <row r="91" spans="1:24" x14ac:dyDescent="0.25">
      <c r="A91" s="1">
        <f t="shared" si="12"/>
        <v>870</v>
      </c>
      <c r="B91" s="1">
        <f t="shared" si="13"/>
        <v>0</v>
      </c>
      <c r="I91" s="1" t="e">
        <f t="shared" si="14"/>
        <v>#N/A</v>
      </c>
      <c r="J91" s="1" t="e">
        <f t="shared" si="10"/>
        <v>#N/A</v>
      </c>
      <c r="K91" s="1" t="e">
        <f t="shared" si="15"/>
        <v>#N/A</v>
      </c>
      <c r="L91" s="8" t="e" cm="1">
        <f t="array" ref="L91">IF(I91="","", IFERROR(((IF(I$5&lt;&gt;"", I$5*A$5, 0) + SUMPRODUCT(--(I$6:I91&lt;&gt;""), I$6:I91, (A$6:A91-A$5:A90)))/1000)/H$3, ""))</f>
        <v>#N/A</v>
      </c>
      <c r="M91" s="1">
        <f t="shared" si="16"/>
        <v>870</v>
      </c>
      <c r="N91" s="1">
        <f t="shared" si="17"/>
        <v>0</v>
      </c>
      <c r="U91" s="1" t="e">
        <f t="shared" si="18"/>
        <v>#N/A</v>
      </c>
      <c r="V91" s="1" t="e">
        <f t="shared" si="11"/>
        <v>#N/A</v>
      </c>
      <c r="W91" s="1" t="e">
        <f t="shared" si="19"/>
        <v>#N/A</v>
      </c>
      <c r="X91" s="8" t="e" cm="1">
        <f t="array" ref="X91">IF(U91="","", IFERROR(((IF(U$5&lt;&gt;"", U$5*M$5, 0) + SUMPRODUCT(--(U$6:U91&lt;&gt;""), U$6:U91, (M$6:M91-M$5:M90)))/1000)/T$3, ""))</f>
        <v>#N/A</v>
      </c>
    </row>
    <row r="92" spans="1:24" x14ac:dyDescent="0.25">
      <c r="A92" s="1">
        <f t="shared" si="12"/>
        <v>880</v>
      </c>
      <c r="B92" s="1">
        <f t="shared" si="13"/>
        <v>0</v>
      </c>
      <c r="I92" s="1" t="e">
        <f t="shared" si="14"/>
        <v>#N/A</v>
      </c>
      <c r="J92" s="1" t="e">
        <f t="shared" si="10"/>
        <v>#N/A</v>
      </c>
      <c r="K92" s="1" t="e">
        <f t="shared" si="15"/>
        <v>#N/A</v>
      </c>
      <c r="L92" s="8" t="e" cm="1">
        <f t="array" ref="L92">IF(I92="","", IFERROR(((IF(I$5&lt;&gt;"", I$5*A$5, 0) + SUMPRODUCT(--(I$6:I92&lt;&gt;""), I$6:I92, (A$6:A92-A$5:A91)))/1000)/H$3, ""))</f>
        <v>#N/A</v>
      </c>
      <c r="M92" s="1">
        <f t="shared" si="16"/>
        <v>880</v>
      </c>
      <c r="N92" s="1">
        <f t="shared" si="17"/>
        <v>0</v>
      </c>
      <c r="U92" s="1" t="e">
        <f t="shared" si="18"/>
        <v>#N/A</v>
      </c>
      <c r="V92" s="1" t="e">
        <f t="shared" si="11"/>
        <v>#N/A</v>
      </c>
      <c r="W92" s="1" t="e">
        <f t="shared" si="19"/>
        <v>#N/A</v>
      </c>
      <c r="X92" s="8" t="e" cm="1">
        <f t="array" ref="X92">IF(U92="","", IFERROR(((IF(U$5&lt;&gt;"", U$5*M$5, 0) + SUMPRODUCT(--(U$6:U92&lt;&gt;""), U$6:U92, (M$6:M92-M$5:M91)))/1000)/T$3, ""))</f>
        <v>#N/A</v>
      </c>
    </row>
    <row r="93" spans="1:24" x14ac:dyDescent="0.25">
      <c r="A93" s="1">
        <f t="shared" si="12"/>
        <v>890</v>
      </c>
      <c r="B93" s="1">
        <f t="shared" si="13"/>
        <v>0</v>
      </c>
      <c r="I93" s="1" t="e">
        <f t="shared" si="14"/>
        <v>#N/A</v>
      </c>
      <c r="J93" s="1" t="e">
        <f t="shared" si="10"/>
        <v>#N/A</v>
      </c>
      <c r="K93" s="1" t="e">
        <f t="shared" si="15"/>
        <v>#N/A</v>
      </c>
      <c r="L93" s="8" t="e" cm="1">
        <f t="array" ref="L93">IF(I93="","", IFERROR(((IF(I$5&lt;&gt;"", I$5*A$5, 0) + SUMPRODUCT(--(I$6:I93&lt;&gt;""), I$6:I93, (A$6:A93-A$5:A92)))/1000)/H$3, ""))</f>
        <v>#N/A</v>
      </c>
      <c r="M93" s="1">
        <f t="shared" si="16"/>
        <v>890</v>
      </c>
      <c r="N93" s="1">
        <f t="shared" si="17"/>
        <v>0</v>
      </c>
      <c r="U93" s="1" t="e">
        <f t="shared" si="18"/>
        <v>#N/A</v>
      </c>
      <c r="V93" s="1" t="e">
        <f t="shared" si="11"/>
        <v>#N/A</v>
      </c>
      <c r="W93" s="1" t="e">
        <f t="shared" si="19"/>
        <v>#N/A</v>
      </c>
      <c r="X93" s="8" t="e" cm="1">
        <f t="array" ref="X93">IF(U93="","", IFERROR(((IF(U$5&lt;&gt;"", U$5*M$5, 0) + SUMPRODUCT(--(U$6:U93&lt;&gt;""), U$6:U93, (M$6:M93-M$5:M92)))/1000)/T$3, ""))</f>
        <v>#N/A</v>
      </c>
    </row>
    <row r="94" spans="1:24" x14ac:dyDescent="0.25">
      <c r="A94" s="1">
        <f t="shared" si="12"/>
        <v>900</v>
      </c>
      <c r="B94" s="1">
        <f t="shared" si="13"/>
        <v>0</v>
      </c>
      <c r="I94" s="1" t="e">
        <f t="shared" si="14"/>
        <v>#N/A</v>
      </c>
      <c r="J94" s="1" t="e">
        <f t="shared" si="10"/>
        <v>#N/A</v>
      </c>
      <c r="K94" s="1" t="e">
        <f t="shared" si="15"/>
        <v>#N/A</v>
      </c>
      <c r="L94" s="8" t="e" cm="1">
        <f t="array" ref="L94">IF(I94="","", IFERROR(((IF(I$5&lt;&gt;"", I$5*A$5, 0) + SUMPRODUCT(--(I$6:I94&lt;&gt;""), I$6:I94, (A$6:A94-A$5:A93)))/1000)/H$3, ""))</f>
        <v>#N/A</v>
      </c>
      <c r="M94" s="1">
        <f t="shared" si="16"/>
        <v>900</v>
      </c>
      <c r="N94" s="1">
        <f t="shared" si="17"/>
        <v>0</v>
      </c>
      <c r="U94" s="1" t="e">
        <f t="shared" si="18"/>
        <v>#N/A</v>
      </c>
      <c r="V94" s="1" t="e">
        <f t="shared" si="11"/>
        <v>#N/A</v>
      </c>
      <c r="W94" s="1" t="e">
        <f t="shared" si="19"/>
        <v>#N/A</v>
      </c>
      <c r="X94" s="8" t="e" cm="1">
        <f t="array" ref="X94">IF(U94="","", IFERROR(((IF(U$5&lt;&gt;"", U$5*M$5, 0) + SUMPRODUCT(--(U$6:U94&lt;&gt;""), U$6:U94, (M$6:M94-M$5:M93)))/1000)/T$3, ""))</f>
        <v>#N/A</v>
      </c>
    </row>
    <row r="95" spans="1:24" x14ac:dyDescent="0.25">
      <c r="A95" s="1">
        <f t="shared" si="12"/>
        <v>910</v>
      </c>
      <c r="B95" s="1">
        <f t="shared" si="13"/>
        <v>0</v>
      </c>
      <c r="I95" s="1" t="e">
        <f t="shared" si="14"/>
        <v>#N/A</v>
      </c>
      <c r="J95" s="1" t="e">
        <f t="shared" si="10"/>
        <v>#N/A</v>
      </c>
      <c r="K95" s="1" t="e">
        <f t="shared" si="15"/>
        <v>#N/A</v>
      </c>
      <c r="L95" s="8" t="e" cm="1">
        <f t="array" ref="L95">IF(I95="","", IFERROR(((IF(I$5&lt;&gt;"", I$5*A$5, 0) + SUMPRODUCT(--(I$6:I95&lt;&gt;""), I$6:I95, (A$6:A95-A$5:A94)))/1000)/H$3, ""))</f>
        <v>#N/A</v>
      </c>
      <c r="M95" s="1">
        <f t="shared" si="16"/>
        <v>910</v>
      </c>
      <c r="N95" s="1">
        <f t="shared" si="17"/>
        <v>0</v>
      </c>
      <c r="U95" s="1" t="e">
        <f t="shared" si="18"/>
        <v>#N/A</v>
      </c>
      <c r="V95" s="1" t="e">
        <f t="shared" si="11"/>
        <v>#N/A</v>
      </c>
      <c r="W95" s="1" t="e">
        <f t="shared" si="19"/>
        <v>#N/A</v>
      </c>
      <c r="X95" s="8" t="e" cm="1">
        <f t="array" ref="X95">IF(U95="","", IFERROR(((IF(U$5&lt;&gt;"", U$5*M$5, 0) + SUMPRODUCT(--(U$6:U95&lt;&gt;""), U$6:U95, (M$6:M95-M$5:M94)))/1000)/T$3, ""))</f>
        <v>#N/A</v>
      </c>
    </row>
    <row r="96" spans="1:24" x14ac:dyDescent="0.25">
      <c r="A96" s="1">
        <f t="shared" si="12"/>
        <v>920</v>
      </c>
      <c r="B96" s="1">
        <f t="shared" si="13"/>
        <v>0</v>
      </c>
      <c r="I96" s="1" t="e">
        <f t="shared" si="14"/>
        <v>#N/A</v>
      </c>
      <c r="J96" s="1" t="e">
        <f t="shared" si="10"/>
        <v>#N/A</v>
      </c>
      <c r="K96" s="1" t="e">
        <f t="shared" si="15"/>
        <v>#N/A</v>
      </c>
      <c r="L96" s="8" t="e" cm="1">
        <f t="array" ref="L96">IF(I96="","", IFERROR(((IF(I$5&lt;&gt;"", I$5*A$5, 0) + SUMPRODUCT(--(I$6:I96&lt;&gt;""), I$6:I96, (A$6:A96-A$5:A95)))/1000)/H$3, ""))</f>
        <v>#N/A</v>
      </c>
      <c r="M96" s="1">
        <f t="shared" si="16"/>
        <v>920</v>
      </c>
      <c r="N96" s="1">
        <f t="shared" si="17"/>
        <v>0</v>
      </c>
      <c r="U96" s="1" t="e">
        <f t="shared" si="18"/>
        <v>#N/A</v>
      </c>
      <c r="V96" s="1" t="e">
        <f t="shared" si="11"/>
        <v>#N/A</v>
      </c>
      <c r="W96" s="1" t="e">
        <f t="shared" si="19"/>
        <v>#N/A</v>
      </c>
      <c r="X96" s="8" t="e" cm="1">
        <f t="array" ref="X96">IF(U96="","", IFERROR(((IF(U$5&lt;&gt;"", U$5*M$5, 0) + SUMPRODUCT(--(U$6:U96&lt;&gt;""), U$6:U96, (M$6:M96-M$5:M95)))/1000)/T$3, ""))</f>
        <v>#N/A</v>
      </c>
    </row>
    <row r="97" spans="1:24" x14ac:dyDescent="0.25">
      <c r="A97" s="1">
        <f t="shared" si="12"/>
        <v>930</v>
      </c>
      <c r="B97" s="1">
        <f t="shared" si="13"/>
        <v>0</v>
      </c>
      <c r="I97" s="1" t="e">
        <f t="shared" si="14"/>
        <v>#N/A</v>
      </c>
      <c r="J97" s="1" t="e">
        <f t="shared" si="10"/>
        <v>#N/A</v>
      </c>
      <c r="K97" s="1" t="e">
        <f t="shared" si="15"/>
        <v>#N/A</v>
      </c>
      <c r="L97" s="8" t="e" cm="1">
        <f t="array" ref="L97">IF(I97="","", IFERROR(((IF(I$5&lt;&gt;"", I$5*A$5, 0) + SUMPRODUCT(--(I$6:I97&lt;&gt;""), I$6:I97, (A$6:A97-A$5:A96)))/1000)/H$3, ""))</f>
        <v>#N/A</v>
      </c>
      <c r="M97" s="1">
        <f t="shared" si="16"/>
        <v>930</v>
      </c>
      <c r="N97" s="1">
        <f t="shared" si="17"/>
        <v>0</v>
      </c>
      <c r="U97" s="1" t="e">
        <f t="shared" si="18"/>
        <v>#N/A</v>
      </c>
      <c r="V97" s="1" t="e">
        <f t="shared" si="11"/>
        <v>#N/A</v>
      </c>
      <c r="W97" s="1" t="e">
        <f t="shared" si="19"/>
        <v>#N/A</v>
      </c>
      <c r="X97" s="8" t="e" cm="1">
        <f t="array" ref="X97">IF(U97="","", IFERROR(((IF(U$5&lt;&gt;"", U$5*M$5, 0) + SUMPRODUCT(--(U$6:U97&lt;&gt;""), U$6:U97, (M$6:M97-M$5:M96)))/1000)/T$3, ""))</f>
        <v>#N/A</v>
      </c>
    </row>
    <row r="98" spans="1:24" x14ac:dyDescent="0.25">
      <c r="A98" s="1">
        <f t="shared" si="12"/>
        <v>940</v>
      </c>
      <c r="B98" s="1">
        <f t="shared" si="13"/>
        <v>0</v>
      </c>
      <c r="I98" s="1" t="e">
        <f t="shared" si="14"/>
        <v>#N/A</v>
      </c>
      <c r="J98" s="1" t="e">
        <f t="shared" si="10"/>
        <v>#N/A</v>
      </c>
      <c r="K98" s="1" t="e">
        <f t="shared" si="15"/>
        <v>#N/A</v>
      </c>
      <c r="L98" s="8" t="e" cm="1">
        <f t="array" ref="L98">IF(I98="","", IFERROR(((IF(I$5&lt;&gt;"", I$5*A$5, 0) + SUMPRODUCT(--(I$6:I98&lt;&gt;""), I$6:I98, (A$6:A98-A$5:A97)))/1000)/H$3, ""))</f>
        <v>#N/A</v>
      </c>
      <c r="M98" s="1">
        <f t="shared" si="16"/>
        <v>940</v>
      </c>
      <c r="N98" s="1">
        <f t="shared" si="17"/>
        <v>0</v>
      </c>
      <c r="U98" s="1" t="e">
        <f t="shared" si="18"/>
        <v>#N/A</v>
      </c>
      <c r="V98" s="1" t="e">
        <f t="shared" si="11"/>
        <v>#N/A</v>
      </c>
      <c r="W98" s="1" t="e">
        <f t="shared" si="19"/>
        <v>#N/A</v>
      </c>
      <c r="X98" s="8" t="e" cm="1">
        <f t="array" ref="X98">IF(U98="","", IFERROR(((IF(U$5&lt;&gt;"", U$5*M$5, 0) + SUMPRODUCT(--(U$6:U98&lt;&gt;""), U$6:U98, (M$6:M98-M$5:M97)))/1000)/T$3, ""))</f>
        <v>#N/A</v>
      </c>
    </row>
    <row r="99" spans="1:24" x14ac:dyDescent="0.25">
      <c r="A99" s="1">
        <f t="shared" si="12"/>
        <v>950</v>
      </c>
      <c r="B99" s="1">
        <f t="shared" si="13"/>
        <v>0</v>
      </c>
      <c r="I99" s="1" t="e">
        <f t="shared" si="14"/>
        <v>#N/A</v>
      </c>
      <c r="J99" s="1" t="e">
        <f t="shared" si="10"/>
        <v>#N/A</v>
      </c>
      <c r="K99" s="1" t="e">
        <f t="shared" si="15"/>
        <v>#N/A</v>
      </c>
      <c r="L99" s="8" t="e" cm="1">
        <f t="array" ref="L99">IF(I99="","", IFERROR(((IF(I$5&lt;&gt;"", I$5*A$5, 0) + SUMPRODUCT(--(I$6:I99&lt;&gt;""), I$6:I99, (A$6:A99-A$5:A98)))/1000)/H$3, ""))</f>
        <v>#N/A</v>
      </c>
      <c r="M99" s="1">
        <f t="shared" si="16"/>
        <v>950</v>
      </c>
      <c r="N99" s="1">
        <f t="shared" si="17"/>
        <v>0</v>
      </c>
      <c r="U99" s="1" t="e">
        <f t="shared" si="18"/>
        <v>#N/A</v>
      </c>
      <c r="V99" s="1" t="e">
        <f t="shared" si="11"/>
        <v>#N/A</v>
      </c>
      <c r="W99" s="1" t="e">
        <f t="shared" si="19"/>
        <v>#N/A</v>
      </c>
      <c r="X99" s="8" t="e" cm="1">
        <f t="array" ref="X99">IF(U99="","", IFERROR(((IF(U$5&lt;&gt;"", U$5*M$5, 0) + SUMPRODUCT(--(U$6:U99&lt;&gt;""), U$6:U99, (M$6:M99-M$5:M98)))/1000)/T$3, ""))</f>
        <v>#N/A</v>
      </c>
    </row>
    <row r="100" spans="1:24" x14ac:dyDescent="0.25">
      <c r="A100" s="1">
        <f t="shared" si="12"/>
        <v>960</v>
      </c>
      <c r="B100" s="1">
        <f t="shared" si="13"/>
        <v>0</v>
      </c>
      <c r="I100" s="1" t="e">
        <f t="shared" si="14"/>
        <v>#N/A</v>
      </c>
      <c r="J100" s="1" t="e">
        <f t="shared" si="10"/>
        <v>#N/A</v>
      </c>
      <c r="K100" s="1" t="e">
        <f t="shared" si="15"/>
        <v>#N/A</v>
      </c>
      <c r="L100" s="8" t="e" cm="1">
        <f t="array" ref="L100">IF(I100="","", IFERROR(((IF(I$5&lt;&gt;"", I$5*A$5, 0) + SUMPRODUCT(--(I$6:I100&lt;&gt;""), I$6:I100, (A$6:A100-A$5:A99)))/1000)/H$3, ""))</f>
        <v>#N/A</v>
      </c>
      <c r="M100" s="1">
        <f t="shared" si="16"/>
        <v>960</v>
      </c>
      <c r="N100" s="1">
        <f t="shared" si="17"/>
        <v>0</v>
      </c>
      <c r="U100" s="1" t="e">
        <f t="shared" si="18"/>
        <v>#N/A</v>
      </c>
      <c r="V100" s="1" t="e">
        <f t="shared" si="11"/>
        <v>#N/A</v>
      </c>
      <c r="W100" s="1" t="e">
        <f t="shared" si="19"/>
        <v>#N/A</v>
      </c>
      <c r="X100" s="8" t="e" cm="1">
        <f t="array" ref="X100">IF(U100="","", IFERROR(((IF(U$5&lt;&gt;"", U$5*M$5, 0) + SUMPRODUCT(--(U$6:U100&lt;&gt;""), U$6:U100, (M$6:M100-M$5:M99)))/1000)/T$3, ""))</f>
        <v>#N/A</v>
      </c>
    </row>
    <row r="101" spans="1:24" x14ac:dyDescent="0.25">
      <c r="A101" s="1">
        <f t="shared" si="12"/>
        <v>970</v>
      </c>
      <c r="B101" s="1">
        <f t="shared" si="13"/>
        <v>0</v>
      </c>
      <c r="I101" s="1" t="e">
        <f t="shared" si="14"/>
        <v>#N/A</v>
      </c>
      <c r="J101" s="1" t="e">
        <f t="shared" si="10"/>
        <v>#N/A</v>
      </c>
      <c r="K101" s="1" t="e">
        <f t="shared" si="15"/>
        <v>#N/A</v>
      </c>
      <c r="L101" s="8" t="e" cm="1">
        <f t="array" ref="L101">IF(I101="","", IFERROR(((IF(I$5&lt;&gt;"", I$5*A$5, 0) + SUMPRODUCT(--(I$6:I101&lt;&gt;""), I$6:I101, (A$6:A101-A$5:A100)))/1000)/H$3, ""))</f>
        <v>#N/A</v>
      </c>
      <c r="M101" s="1">
        <f t="shared" si="16"/>
        <v>970</v>
      </c>
      <c r="N101" s="1">
        <f t="shared" si="17"/>
        <v>0</v>
      </c>
      <c r="U101" s="1" t="e">
        <f t="shared" si="18"/>
        <v>#N/A</v>
      </c>
      <c r="V101" s="1" t="e">
        <f t="shared" si="11"/>
        <v>#N/A</v>
      </c>
      <c r="W101" s="1" t="e">
        <f t="shared" si="19"/>
        <v>#N/A</v>
      </c>
      <c r="X101" s="8" t="e" cm="1">
        <f t="array" ref="X101">IF(U101="","", IFERROR(((IF(U$5&lt;&gt;"", U$5*M$5, 0) + SUMPRODUCT(--(U$6:U101&lt;&gt;""), U$6:U101, (M$6:M101-M$5:M100)))/1000)/T$3, ""))</f>
        <v>#N/A</v>
      </c>
    </row>
    <row r="102" spans="1:24" x14ac:dyDescent="0.25">
      <c r="A102" s="1">
        <f t="shared" si="12"/>
        <v>980</v>
      </c>
      <c r="B102" s="1">
        <f t="shared" si="13"/>
        <v>0</v>
      </c>
      <c r="I102" s="1" t="e">
        <f t="shared" si="14"/>
        <v>#N/A</v>
      </c>
      <c r="J102" s="1" t="e">
        <f t="shared" si="10"/>
        <v>#N/A</v>
      </c>
      <c r="K102" s="1" t="e">
        <f t="shared" si="15"/>
        <v>#N/A</v>
      </c>
      <c r="L102" s="8" t="e" cm="1">
        <f t="array" ref="L102">IF(I102="","", IFERROR(((IF(I$5&lt;&gt;"", I$5*A$5, 0) + SUMPRODUCT(--(I$6:I102&lt;&gt;""), I$6:I102, (A$6:A102-A$5:A101)))/1000)/H$3, ""))</f>
        <v>#N/A</v>
      </c>
      <c r="M102" s="1">
        <f t="shared" si="16"/>
        <v>980</v>
      </c>
      <c r="N102" s="1">
        <f t="shared" si="17"/>
        <v>0</v>
      </c>
      <c r="U102" s="1" t="e">
        <f t="shared" si="18"/>
        <v>#N/A</v>
      </c>
      <c r="V102" s="1" t="e">
        <f t="shared" si="11"/>
        <v>#N/A</v>
      </c>
      <c r="W102" s="1" t="e">
        <f t="shared" si="19"/>
        <v>#N/A</v>
      </c>
      <c r="X102" s="8" t="e" cm="1">
        <f t="array" ref="X102">IF(U102="","", IFERROR(((IF(U$5&lt;&gt;"", U$5*M$5, 0) + SUMPRODUCT(--(U$6:U102&lt;&gt;""), U$6:U102, (M$6:M102-M$5:M101)))/1000)/T$3, ""))</f>
        <v>#N/A</v>
      </c>
    </row>
    <row r="103" spans="1:24" x14ac:dyDescent="0.25">
      <c r="A103" s="1">
        <f t="shared" si="12"/>
        <v>990</v>
      </c>
      <c r="B103" s="1">
        <f t="shared" si="13"/>
        <v>0</v>
      </c>
      <c r="I103" s="1" t="e">
        <f t="shared" si="14"/>
        <v>#N/A</v>
      </c>
      <c r="J103" s="1" t="e">
        <f t="shared" si="10"/>
        <v>#N/A</v>
      </c>
      <c r="K103" s="1" t="e">
        <f t="shared" si="15"/>
        <v>#N/A</v>
      </c>
      <c r="L103" s="8" t="e" cm="1">
        <f t="array" ref="L103">IF(I103="","", IFERROR(((IF(I$5&lt;&gt;"", I$5*A$5, 0) + SUMPRODUCT(--(I$6:I103&lt;&gt;""), I$6:I103, (A$6:A103-A$5:A102)))/1000)/H$3, ""))</f>
        <v>#N/A</v>
      </c>
      <c r="M103" s="1">
        <f t="shared" si="16"/>
        <v>990</v>
      </c>
      <c r="N103" s="1">
        <f t="shared" si="17"/>
        <v>0</v>
      </c>
      <c r="U103" s="1" t="e">
        <f t="shared" si="18"/>
        <v>#N/A</v>
      </c>
      <c r="V103" s="1" t="e">
        <f t="shared" si="11"/>
        <v>#N/A</v>
      </c>
      <c r="W103" s="1" t="e">
        <f t="shared" si="19"/>
        <v>#N/A</v>
      </c>
      <c r="X103" s="8" t="e" cm="1">
        <f t="array" ref="X103">IF(U103="","", IFERROR(((IF(U$5&lt;&gt;"", U$5*M$5, 0) + SUMPRODUCT(--(U$6:U103&lt;&gt;""), U$6:U103, (M$6:M103-M$5:M102)))/1000)/T$3, ""))</f>
        <v>#N/A</v>
      </c>
    </row>
    <row r="104" spans="1:24" x14ac:dyDescent="0.25">
      <c r="A104" s="1">
        <f t="shared" si="12"/>
        <v>1000</v>
      </c>
      <c r="B104" s="1">
        <f t="shared" si="13"/>
        <v>0</v>
      </c>
      <c r="I104" s="1" t="e">
        <f t="shared" si="14"/>
        <v>#N/A</v>
      </c>
      <c r="J104" s="1" t="e">
        <f t="shared" si="10"/>
        <v>#N/A</v>
      </c>
      <c r="K104" s="1" t="e">
        <f t="shared" si="15"/>
        <v>#N/A</v>
      </c>
      <c r="L104" s="8" t="e" cm="1">
        <f t="array" ref="L104">IF(I104="","", IFERROR(((IF(I$5&lt;&gt;"", I$5*A$5, 0) + SUMPRODUCT(--(I$6:I104&lt;&gt;""), I$6:I104, (A$6:A104-A$5:A103)))/1000)/H$3, ""))</f>
        <v>#N/A</v>
      </c>
      <c r="M104" s="1">
        <f t="shared" si="16"/>
        <v>1000</v>
      </c>
      <c r="N104" s="1">
        <f t="shared" si="17"/>
        <v>0</v>
      </c>
      <c r="U104" s="1" t="e">
        <f t="shared" si="18"/>
        <v>#N/A</v>
      </c>
      <c r="V104" s="1" t="e">
        <f t="shared" si="11"/>
        <v>#N/A</v>
      </c>
      <c r="W104" s="1" t="e">
        <f t="shared" si="19"/>
        <v>#N/A</v>
      </c>
      <c r="X104" s="8" t="e" cm="1">
        <f t="array" ref="X104">IF(U104="","", IFERROR(((IF(U$5&lt;&gt;"", U$5*M$5, 0) + SUMPRODUCT(--(U$6:U104&lt;&gt;""), U$6:U104, (M$6:M104-M$5:M103)))/1000)/T$3, ""))</f>
        <v>#N/A</v>
      </c>
    </row>
    <row r="105" spans="1:24" x14ac:dyDescent="0.25">
      <c r="A105" s="1">
        <f t="shared" si="12"/>
        <v>1010</v>
      </c>
      <c r="B105" s="1">
        <f t="shared" si="13"/>
        <v>0</v>
      </c>
      <c r="I105" s="1" t="e">
        <f t="shared" si="14"/>
        <v>#N/A</v>
      </c>
      <c r="J105" s="1" t="e">
        <f t="shared" si="10"/>
        <v>#N/A</v>
      </c>
      <c r="K105" s="1" t="e">
        <f t="shared" si="15"/>
        <v>#N/A</v>
      </c>
      <c r="L105" s="8" t="e" cm="1">
        <f t="array" ref="L105">IF(I105="","", IFERROR(((IF(I$5&lt;&gt;"", I$5*A$5, 0) + SUMPRODUCT(--(I$6:I105&lt;&gt;""), I$6:I105, (A$6:A105-A$5:A104)))/1000)/H$3, ""))</f>
        <v>#N/A</v>
      </c>
      <c r="M105" s="1">
        <f t="shared" si="16"/>
        <v>1010</v>
      </c>
      <c r="N105" s="1">
        <f t="shared" si="17"/>
        <v>0</v>
      </c>
      <c r="U105" s="1" t="e">
        <f t="shared" si="18"/>
        <v>#N/A</v>
      </c>
      <c r="V105" s="1" t="e">
        <f t="shared" si="11"/>
        <v>#N/A</v>
      </c>
      <c r="W105" s="1" t="e">
        <f t="shared" si="19"/>
        <v>#N/A</v>
      </c>
      <c r="X105" s="8" t="e" cm="1">
        <f t="array" ref="X105">IF(U105="","", IFERROR(((IF(U$5&lt;&gt;"", U$5*M$5, 0) + SUMPRODUCT(--(U$6:U105&lt;&gt;""), U$6:U105, (M$6:M105-M$5:M104)))/1000)/T$3, ""))</f>
        <v>#N/A</v>
      </c>
    </row>
    <row r="106" spans="1:24" x14ac:dyDescent="0.25">
      <c r="A106" s="1">
        <f t="shared" si="12"/>
        <v>1020</v>
      </c>
      <c r="B106" s="1">
        <f t="shared" si="13"/>
        <v>0</v>
      </c>
      <c r="I106" s="1" t="e">
        <f t="shared" si="14"/>
        <v>#N/A</v>
      </c>
      <c r="J106" s="1" t="e">
        <f t="shared" si="10"/>
        <v>#N/A</v>
      </c>
      <c r="K106" s="1" t="e">
        <f t="shared" si="15"/>
        <v>#N/A</v>
      </c>
      <c r="L106" s="8" t="e" cm="1">
        <f t="array" ref="L106">IF(I106="","", IFERROR(((IF(I$5&lt;&gt;"", I$5*A$5, 0) + SUMPRODUCT(--(I$6:I106&lt;&gt;""), I$6:I106, (A$6:A106-A$5:A105)))/1000)/H$3, ""))</f>
        <v>#N/A</v>
      </c>
      <c r="M106" s="1">
        <f t="shared" si="16"/>
        <v>1020</v>
      </c>
      <c r="N106" s="1">
        <f t="shared" si="17"/>
        <v>0</v>
      </c>
      <c r="U106" s="1" t="e">
        <f t="shared" si="18"/>
        <v>#N/A</v>
      </c>
      <c r="V106" s="1" t="e">
        <f t="shared" si="11"/>
        <v>#N/A</v>
      </c>
      <c r="W106" s="1" t="e">
        <f t="shared" si="19"/>
        <v>#N/A</v>
      </c>
      <c r="X106" s="8" t="e" cm="1">
        <f t="array" ref="X106">IF(U106="","", IFERROR(((IF(U$5&lt;&gt;"", U$5*M$5, 0) + SUMPRODUCT(--(U$6:U106&lt;&gt;""), U$6:U106, (M$6:M106-M$5:M105)))/1000)/T$3, ""))</f>
        <v>#N/A</v>
      </c>
    </row>
    <row r="107" spans="1:24" x14ac:dyDescent="0.25">
      <c r="A107" s="1">
        <f t="shared" si="12"/>
        <v>1030</v>
      </c>
      <c r="B107" s="1">
        <f t="shared" si="13"/>
        <v>0</v>
      </c>
      <c r="I107" s="1" t="e">
        <f t="shared" si="14"/>
        <v>#N/A</v>
      </c>
      <c r="J107" s="1" t="e">
        <f t="shared" si="10"/>
        <v>#N/A</v>
      </c>
      <c r="K107" s="1" t="e">
        <f t="shared" si="15"/>
        <v>#N/A</v>
      </c>
      <c r="L107" s="8" t="e" cm="1">
        <f t="array" ref="L107">IF(I107="","", IFERROR(((IF(I$5&lt;&gt;"", I$5*A$5, 0) + SUMPRODUCT(--(I$6:I107&lt;&gt;""), I$6:I107, (A$6:A107-A$5:A106)))/1000)/H$3, ""))</f>
        <v>#N/A</v>
      </c>
      <c r="M107" s="1">
        <f t="shared" si="16"/>
        <v>1030</v>
      </c>
      <c r="N107" s="1">
        <f t="shared" si="17"/>
        <v>0</v>
      </c>
      <c r="U107" s="1" t="e">
        <f t="shared" si="18"/>
        <v>#N/A</v>
      </c>
      <c r="V107" s="1" t="e">
        <f t="shared" si="11"/>
        <v>#N/A</v>
      </c>
      <c r="W107" s="1" t="e">
        <f t="shared" si="19"/>
        <v>#N/A</v>
      </c>
      <c r="X107" s="8" t="e" cm="1">
        <f t="array" ref="X107">IF(U107="","", IFERROR(((IF(U$5&lt;&gt;"", U$5*M$5, 0) + SUMPRODUCT(--(U$6:U107&lt;&gt;""), U$6:U107, (M$6:M107-M$5:M106)))/1000)/T$3, ""))</f>
        <v>#N/A</v>
      </c>
    </row>
    <row r="108" spans="1:24" x14ac:dyDescent="0.25">
      <c r="A108" s="1">
        <f t="shared" si="12"/>
        <v>1040</v>
      </c>
      <c r="B108" s="1">
        <f t="shared" si="13"/>
        <v>0</v>
      </c>
      <c r="I108" s="1" t="e">
        <f t="shared" si="14"/>
        <v>#N/A</v>
      </c>
      <c r="J108" s="1" t="e">
        <f t="shared" si="10"/>
        <v>#N/A</v>
      </c>
      <c r="K108" s="1" t="e">
        <f t="shared" si="15"/>
        <v>#N/A</v>
      </c>
      <c r="L108" s="8" t="e" cm="1">
        <f t="array" ref="L108">IF(I108="","", IFERROR(((IF(I$5&lt;&gt;"", I$5*A$5, 0) + SUMPRODUCT(--(I$6:I108&lt;&gt;""), I$6:I108, (A$6:A108-A$5:A107)))/1000)/H$3, ""))</f>
        <v>#N/A</v>
      </c>
      <c r="M108" s="1">
        <f t="shared" si="16"/>
        <v>1040</v>
      </c>
      <c r="N108" s="1">
        <f t="shared" si="17"/>
        <v>0</v>
      </c>
      <c r="U108" s="1" t="e">
        <f t="shared" si="18"/>
        <v>#N/A</v>
      </c>
      <c r="V108" s="1" t="e">
        <f t="shared" si="11"/>
        <v>#N/A</v>
      </c>
      <c r="W108" s="1" t="e">
        <f t="shared" si="19"/>
        <v>#N/A</v>
      </c>
      <c r="X108" s="8" t="e" cm="1">
        <f t="array" ref="X108">IF(U108="","", IFERROR(((IF(U$5&lt;&gt;"", U$5*M$5, 0) + SUMPRODUCT(--(U$6:U108&lt;&gt;""), U$6:U108, (M$6:M108-M$5:M107)))/1000)/T$3, ""))</f>
        <v>#N/A</v>
      </c>
    </row>
    <row r="109" spans="1:24" x14ac:dyDescent="0.25">
      <c r="A109" s="1">
        <f t="shared" si="12"/>
        <v>1050</v>
      </c>
      <c r="B109" s="1">
        <f t="shared" si="13"/>
        <v>0</v>
      </c>
      <c r="I109" s="1" t="e">
        <f t="shared" si="14"/>
        <v>#N/A</v>
      </c>
      <c r="J109" s="1" t="e">
        <f t="shared" si="10"/>
        <v>#N/A</v>
      </c>
      <c r="K109" s="1" t="e">
        <f t="shared" si="15"/>
        <v>#N/A</v>
      </c>
      <c r="L109" s="8" t="e" cm="1">
        <f t="array" ref="L109">IF(I109="","", IFERROR(((IF(I$5&lt;&gt;"", I$5*A$5, 0) + SUMPRODUCT(--(I$6:I109&lt;&gt;""), I$6:I109, (A$6:A109-A$5:A108)))/1000)/H$3, ""))</f>
        <v>#N/A</v>
      </c>
      <c r="M109" s="1">
        <f t="shared" si="16"/>
        <v>1050</v>
      </c>
      <c r="N109" s="1">
        <f t="shared" si="17"/>
        <v>0</v>
      </c>
      <c r="U109" s="1" t="e">
        <f t="shared" si="18"/>
        <v>#N/A</v>
      </c>
      <c r="V109" s="1" t="e">
        <f t="shared" si="11"/>
        <v>#N/A</v>
      </c>
      <c r="W109" s="1" t="e">
        <f t="shared" si="19"/>
        <v>#N/A</v>
      </c>
      <c r="X109" s="8" t="e" cm="1">
        <f t="array" ref="X109">IF(U109="","", IFERROR(((IF(U$5&lt;&gt;"", U$5*M$5, 0) + SUMPRODUCT(--(U$6:U109&lt;&gt;""), U$6:U109, (M$6:M109-M$5:M108)))/1000)/T$3, ""))</f>
        <v>#N/A</v>
      </c>
    </row>
    <row r="110" spans="1:24" x14ac:dyDescent="0.25">
      <c r="A110" s="1">
        <f t="shared" si="12"/>
        <v>1060</v>
      </c>
      <c r="B110" s="1">
        <f t="shared" si="13"/>
        <v>0</v>
      </c>
      <c r="I110" s="1" t="e">
        <f t="shared" si="14"/>
        <v>#N/A</v>
      </c>
      <c r="J110" s="1" t="e">
        <f t="shared" si="10"/>
        <v>#N/A</v>
      </c>
      <c r="K110" s="1" t="e">
        <f t="shared" si="15"/>
        <v>#N/A</v>
      </c>
      <c r="L110" s="8" t="e" cm="1">
        <f t="array" ref="L110">IF(I110="","", IFERROR(((IF(I$5&lt;&gt;"", I$5*A$5, 0) + SUMPRODUCT(--(I$6:I110&lt;&gt;""), I$6:I110, (A$6:A110-A$5:A109)))/1000)/H$3, ""))</f>
        <v>#N/A</v>
      </c>
      <c r="M110" s="1">
        <f t="shared" si="16"/>
        <v>1060</v>
      </c>
      <c r="N110" s="1">
        <f t="shared" si="17"/>
        <v>0</v>
      </c>
      <c r="U110" s="1" t="e">
        <f t="shared" si="18"/>
        <v>#N/A</v>
      </c>
      <c r="V110" s="1" t="e">
        <f t="shared" si="11"/>
        <v>#N/A</v>
      </c>
      <c r="W110" s="1" t="e">
        <f t="shared" si="19"/>
        <v>#N/A</v>
      </c>
      <c r="X110" s="8" t="e" cm="1">
        <f t="array" ref="X110">IF(U110="","", IFERROR(((IF(U$5&lt;&gt;"", U$5*M$5, 0) + SUMPRODUCT(--(U$6:U110&lt;&gt;""), U$6:U110, (M$6:M110-M$5:M109)))/1000)/T$3, ""))</f>
        <v>#N/A</v>
      </c>
    </row>
    <row r="111" spans="1:24" x14ac:dyDescent="0.25">
      <c r="A111" s="1">
        <f t="shared" si="12"/>
        <v>1070</v>
      </c>
      <c r="B111" s="1">
        <f t="shared" si="13"/>
        <v>0</v>
      </c>
      <c r="I111" s="1" t="e">
        <f t="shared" si="14"/>
        <v>#N/A</v>
      </c>
      <c r="J111" s="1" t="e">
        <f t="shared" si="10"/>
        <v>#N/A</v>
      </c>
      <c r="K111" s="1" t="e">
        <f t="shared" si="15"/>
        <v>#N/A</v>
      </c>
      <c r="L111" s="8" t="e" cm="1">
        <f t="array" ref="L111">IF(I111="","", IFERROR(((IF(I$5&lt;&gt;"", I$5*A$5, 0) + SUMPRODUCT(--(I$6:I111&lt;&gt;""), I$6:I111, (A$6:A111-A$5:A110)))/1000)/H$3, ""))</f>
        <v>#N/A</v>
      </c>
      <c r="M111" s="1">
        <f t="shared" si="16"/>
        <v>1070</v>
      </c>
      <c r="N111" s="1">
        <f t="shared" si="17"/>
        <v>0</v>
      </c>
      <c r="U111" s="1" t="e">
        <f t="shared" si="18"/>
        <v>#N/A</v>
      </c>
      <c r="V111" s="1" t="e">
        <f t="shared" si="11"/>
        <v>#N/A</v>
      </c>
      <c r="W111" s="1" t="e">
        <f t="shared" si="19"/>
        <v>#N/A</v>
      </c>
      <c r="X111" s="8" t="e" cm="1">
        <f t="array" ref="X111">IF(U111="","", IFERROR(((IF(U$5&lt;&gt;"", U$5*M$5, 0) + SUMPRODUCT(--(U$6:U111&lt;&gt;""), U$6:U111, (M$6:M111-M$5:M110)))/1000)/T$3, ""))</f>
        <v>#N/A</v>
      </c>
    </row>
    <row r="112" spans="1:24" x14ac:dyDescent="0.25">
      <c r="A112" s="1">
        <f t="shared" si="12"/>
        <v>1080</v>
      </c>
      <c r="B112" s="1">
        <f t="shared" si="13"/>
        <v>0</v>
      </c>
      <c r="I112" s="1" t="e">
        <f t="shared" si="14"/>
        <v>#N/A</v>
      </c>
      <c r="J112" s="1" t="e">
        <f t="shared" si="10"/>
        <v>#N/A</v>
      </c>
      <c r="K112" s="1" t="e">
        <f t="shared" si="15"/>
        <v>#N/A</v>
      </c>
      <c r="L112" s="8" t="e" cm="1">
        <f t="array" ref="L112">IF(I112="","", IFERROR(((IF(I$5&lt;&gt;"", I$5*A$5, 0) + SUMPRODUCT(--(I$6:I112&lt;&gt;""), I$6:I112, (A$6:A112-A$5:A111)))/1000)/H$3, ""))</f>
        <v>#N/A</v>
      </c>
      <c r="M112" s="1">
        <f t="shared" si="16"/>
        <v>1080</v>
      </c>
      <c r="N112" s="1">
        <f t="shared" si="17"/>
        <v>0</v>
      </c>
      <c r="U112" s="1" t="e">
        <f t="shared" si="18"/>
        <v>#N/A</v>
      </c>
      <c r="V112" s="1" t="e">
        <f t="shared" si="11"/>
        <v>#N/A</v>
      </c>
      <c r="W112" s="1" t="e">
        <f t="shared" si="19"/>
        <v>#N/A</v>
      </c>
      <c r="X112" s="8" t="e" cm="1">
        <f t="array" ref="X112">IF(U112="","", IFERROR(((IF(U$5&lt;&gt;"", U$5*M$5, 0) + SUMPRODUCT(--(U$6:U112&lt;&gt;""), U$6:U112, (M$6:M112-M$5:M111)))/1000)/T$3, ""))</f>
        <v>#N/A</v>
      </c>
    </row>
    <row r="113" spans="1:24" x14ac:dyDescent="0.25">
      <c r="A113" s="1">
        <f t="shared" si="12"/>
        <v>1090</v>
      </c>
      <c r="B113" s="1">
        <f t="shared" si="13"/>
        <v>0</v>
      </c>
      <c r="I113" s="1" t="e">
        <f t="shared" si="14"/>
        <v>#N/A</v>
      </c>
      <c r="J113" s="1" t="e">
        <f t="shared" si="10"/>
        <v>#N/A</v>
      </c>
      <c r="K113" s="1" t="e">
        <f t="shared" si="15"/>
        <v>#N/A</v>
      </c>
      <c r="L113" s="8" t="e" cm="1">
        <f t="array" ref="L113">IF(I113="","", IFERROR(((IF(I$5&lt;&gt;"", I$5*A$5, 0) + SUMPRODUCT(--(I$6:I113&lt;&gt;""), I$6:I113, (A$6:A113-A$5:A112)))/1000)/H$3, ""))</f>
        <v>#N/A</v>
      </c>
      <c r="M113" s="1">
        <f t="shared" si="16"/>
        <v>1090</v>
      </c>
      <c r="N113" s="1">
        <f t="shared" si="17"/>
        <v>0</v>
      </c>
      <c r="U113" s="1" t="e">
        <f t="shared" si="18"/>
        <v>#N/A</v>
      </c>
      <c r="V113" s="1" t="e">
        <f t="shared" si="11"/>
        <v>#N/A</v>
      </c>
      <c r="W113" s="1" t="e">
        <f t="shared" si="19"/>
        <v>#N/A</v>
      </c>
      <c r="X113" s="8" t="e" cm="1">
        <f t="array" ref="X113">IF(U113="","", IFERROR(((IF(U$5&lt;&gt;"", U$5*M$5, 0) + SUMPRODUCT(--(U$6:U113&lt;&gt;""), U$6:U113, (M$6:M113-M$5:M112)))/1000)/T$3, ""))</f>
        <v>#N/A</v>
      </c>
    </row>
    <row r="114" spans="1:24" x14ac:dyDescent="0.25">
      <c r="A114" s="1">
        <f t="shared" si="12"/>
        <v>1100</v>
      </c>
      <c r="B114" s="1">
        <f t="shared" si="13"/>
        <v>0</v>
      </c>
      <c r="I114" s="1" t="e">
        <f t="shared" si="14"/>
        <v>#N/A</v>
      </c>
      <c r="J114" s="1" t="e">
        <f t="shared" si="10"/>
        <v>#N/A</v>
      </c>
      <c r="K114" s="1" t="e">
        <f t="shared" si="15"/>
        <v>#N/A</v>
      </c>
      <c r="L114" s="8" t="e" cm="1">
        <f t="array" ref="L114">IF(I114="","", IFERROR(((IF(I$5&lt;&gt;"", I$5*A$5, 0) + SUMPRODUCT(--(I$6:I114&lt;&gt;""), I$6:I114, (A$6:A114-A$5:A113)))/1000)/H$3, ""))</f>
        <v>#N/A</v>
      </c>
      <c r="M114" s="1">
        <f t="shared" si="16"/>
        <v>1100</v>
      </c>
      <c r="N114" s="1">
        <f t="shared" si="17"/>
        <v>0</v>
      </c>
      <c r="U114" s="1" t="e">
        <f t="shared" si="18"/>
        <v>#N/A</v>
      </c>
      <c r="V114" s="1" t="e">
        <f t="shared" si="11"/>
        <v>#N/A</v>
      </c>
      <c r="W114" s="1" t="e">
        <f t="shared" si="19"/>
        <v>#N/A</v>
      </c>
      <c r="X114" s="8" t="e" cm="1">
        <f t="array" ref="X114">IF(U114="","", IFERROR(((IF(U$5&lt;&gt;"", U$5*M$5, 0) + SUMPRODUCT(--(U$6:U114&lt;&gt;""), U$6:U114, (M$6:M114-M$5:M113)))/1000)/T$3, ""))</f>
        <v>#N/A</v>
      </c>
    </row>
    <row r="115" spans="1:24" x14ac:dyDescent="0.25">
      <c r="A115" s="1">
        <f t="shared" si="12"/>
        <v>1110</v>
      </c>
      <c r="B115" s="1">
        <f t="shared" si="13"/>
        <v>0</v>
      </c>
      <c r="I115" s="1" t="e">
        <f t="shared" si="14"/>
        <v>#N/A</v>
      </c>
      <c r="J115" s="1" t="e">
        <f t="shared" si="10"/>
        <v>#N/A</v>
      </c>
      <c r="K115" s="1" t="e">
        <f t="shared" si="15"/>
        <v>#N/A</v>
      </c>
      <c r="L115" s="8" t="e" cm="1">
        <f t="array" ref="L115">IF(I115="","", IFERROR(((IF(I$5&lt;&gt;"", I$5*A$5, 0) + SUMPRODUCT(--(I$6:I115&lt;&gt;""), I$6:I115, (A$6:A115-A$5:A114)))/1000)/H$3, ""))</f>
        <v>#N/A</v>
      </c>
      <c r="M115" s="1">
        <f t="shared" si="16"/>
        <v>1110</v>
      </c>
      <c r="N115" s="1">
        <f t="shared" si="17"/>
        <v>0</v>
      </c>
      <c r="U115" s="1" t="e">
        <f t="shared" si="18"/>
        <v>#N/A</v>
      </c>
      <c r="V115" s="1" t="e">
        <f t="shared" si="11"/>
        <v>#N/A</v>
      </c>
      <c r="W115" s="1" t="e">
        <f t="shared" si="19"/>
        <v>#N/A</v>
      </c>
      <c r="X115" s="8" t="e" cm="1">
        <f t="array" ref="X115">IF(U115="","", IFERROR(((IF(U$5&lt;&gt;"", U$5*M$5, 0) + SUMPRODUCT(--(U$6:U115&lt;&gt;""), U$6:U115, (M$6:M115-M$5:M114)))/1000)/T$3, ""))</f>
        <v>#N/A</v>
      </c>
    </row>
  </sheetData>
  <conditionalFormatting sqref="I5:L115">
    <cfRule type="containsErrors" dxfId="128" priority="3">
      <formula>ISERROR(I5)</formula>
    </cfRule>
  </conditionalFormatting>
  <conditionalFormatting sqref="K6:K115">
    <cfRule type="cellIs" dxfId="127" priority="12" operator="between">
      <formula>0</formula>
      <formula>15</formula>
    </cfRule>
    <cfRule type="cellIs" dxfId="126" priority="13" operator="between">
      <formula>15</formula>
      <formula>25</formula>
    </cfRule>
    <cfRule type="cellIs" dxfId="125" priority="14" operator="between">
      <formula>25</formula>
      <formula>1000</formula>
    </cfRule>
  </conditionalFormatting>
  <conditionalFormatting sqref="L2:L3 X2:X3">
    <cfRule type="containsErrors" dxfId="124" priority="5">
      <formula>ISERROR(L2)</formula>
    </cfRule>
  </conditionalFormatting>
  <conditionalFormatting sqref="U5:X115">
    <cfRule type="containsErrors" dxfId="123" priority="1">
      <formula>ISERROR(U5)</formula>
    </cfRule>
  </conditionalFormatting>
  <conditionalFormatting sqref="W6:W115">
    <cfRule type="cellIs" dxfId="122" priority="9" operator="between">
      <formula>0</formula>
      <formula>15</formula>
    </cfRule>
    <cfRule type="cellIs" dxfId="121" priority="10" operator="between">
      <formula>15</formula>
      <formula>25</formula>
    </cfRule>
    <cfRule type="cellIs" dxfId="120" priority="11" operator="between">
      <formula>25</formula>
      <formula>1000</formula>
    </cfRule>
  </conditionalFormatting>
  <pageMargins left="0.7" right="0.7" top="0.75" bottom="0.75" header="0.3" footer="0.3"/>
  <ignoredErrors>
    <ignoredError sqref="A1:XFD1 A5:XFD1048576 Y4:XFD4 A3:XFD3 A2:B2 P2:XFD2 D2:N2" evalError="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D6AE-E89A-4470-A1ED-5622185E1F1E}">
  <dimension ref="A1:X115"/>
  <sheetViews>
    <sheetView zoomScale="59" workbookViewId="0">
      <selection sqref="A1:XFD4"/>
    </sheetView>
  </sheetViews>
  <sheetFormatPr defaultRowHeight="15" x14ac:dyDescent="0.25"/>
  <cols>
    <col min="1" max="1" width="16.14062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7.71093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16384" width="9.140625" style="1"/>
  </cols>
  <sheetData>
    <row r="1" spans="1:24" s="2" customFormat="1" ht="45" x14ac:dyDescent="0.25">
      <c r="A1" s="3" t="s">
        <v>47</v>
      </c>
      <c r="C1" s="4" t="s">
        <v>6</v>
      </c>
      <c r="E1" s="4" t="s">
        <v>43</v>
      </c>
      <c r="G1" s="4" t="s">
        <v>54</v>
      </c>
      <c r="H1" s="2" t="s">
        <v>53</v>
      </c>
      <c r="J1" s="4" t="s">
        <v>7</v>
      </c>
      <c r="L1" s="6" t="s">
        <v>20</v>
      </c>
      <c r="M1" s="3" t="s">
        <v>47</v>
      </c>
      <c r="O1" s="4" t="s">
        <v>6</v>
      </c>
      <c r="Q1" s="4" t="s">
        <v>43</v>
      </c>
      <c r="S1" s="4" t="s">
        <v>54</v>
      </c>
      <c r="T1" s="2" t="s">
        <v>53</v>
      </c>
      <c r="V1" s="4" t="s">
        <v>7</v>
      </c>
      <c r="X1" s="6" t="s">
        <v>20</v>
      </c>
    </row>
    <row r="2" spans="1:24"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21</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21</v>
      </c>
      <c r="U2" s="4" t="s">
        <v>9</v>
      </c>
      <c r="V2" s="4" t="s">
        <v>10</v>
      </c>
      <c r="X2" s="20" t="e">
        <f>IF(U5="","",AVERAGEIFS(U5:U115,U5:U115,"&lt;&gt;0",U5:U115,"&lt;&gt;"))</f>
        <v>#N/A</v>
      </c>
    </row>
    <row r="3" spans="1:24"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row>
    <row r="4" spans="1:24"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row>
    <row r="5" spans="1:24" x14ac:dyDescent="0.25">
      <c r="A5" s="1">
        <v>1</v>
      </c>
      <c r="B5" s="1">
        <v>0</v>
      </c>
      <c r="H5" s="1" t="s">
        <v>62</v>
      </c>
      <c r="I5" s="1" t="e">
        <f>IF(C5="", NA(), (B5-C5)*1000/A5)</f>
        <v>#N/A</v>
      </c>
      <c r="J5" s="1" t="e">
        <f>IF(I5="","",I5/F$2/2.5)</f>
        <v>#N/A</v>
      </c>
      <c r="L5" s="8" t="e">
        <f>IF(I5="","", IFERROR(((IF(I$5&lt;&gt;"", I$5*A$5, 0))/1000)/H$3, ""))</f>
        <v>#N/A</v>
      </c>
      <c r="M5" s="1">
        <v>1</v>
      </c>
      <c r="T5" s="1" t="s">
        <v>62</v>
      </c>
      <c r="U5" s="1" t="e">
        <f>IF(O5="", NA(), (N5-O5)*1000/M5)</f>
        <v>#N/A</v>
      </c>
      <c r="V5" s="1" t="e">
        <f>IF(U5="","",U5/R$2/2.5)</f>
        <v>#N/A</v>
      </c>
      <c r="X5" s="8" t="e">
        <f>IF(U5="","", IFERROR(((IF(U$5&lt;&gt;"", U$5*M$5, 0))/1000)/T$3, ""))</f>
        <v>#N/A</v>
      </c>
    </row>
    <row r="6" spans="1:24" x14ac:dyDescent="0.25">
      <c r="A6" s="1">
        <f>A5+1</f>
        <v>2</v>
      </c>
      <c r="B6" s="1">
        <f>C5</f>
        <v>0</v>
      </c>
      <c r="I6" s="1" t="e">
        <f>IF(C6="", NA(), (B6-C6)*1000/(A6-A5))</f>
        <v>#N/A</v>
      </c>
      <c r="J6" s="1" t="e">
        <f t="shared" ref="J6:J34" si="0">IF(I6="","",I6/F$2/2.5)</f>
        <v>#N/A</v>
      </c>
      <c r="K6" s="1" t="e">
        <f>IF(I6="","", 100*_xlfn.STDEV.P(I5:I6)/AVERAGE(I5:I6))</f>
        <v>#N/A</v>
      </c>
      <c r="L6" s="8" t="e" cm="1">
        <f t="array" ref="L6">IF(I6="","", IFERROR(((IF(I$5&lt;&gt;"", I$5*A$5, 0) + SUMPRODUCT(--(I$6:I6&lt;&gt;""), I$6:I6, (A$6:A6-A$5:A5)))/1000)/H$3, ""))</f>
        <v>#N/A</v>
      </c>
      <c r="M6" s="1">
        <f>M5+1</f>
        <v>2</v>
      </c>
      <c r="N6" s="1">
        <f>O5</f>
        <v>0</v>
      </c>
      <c r="U6" s="1" t="e">
        <f>IF(O6="", NA(), (N6-O6)*1000/(M6-M5))</f>
        <v>#N/A</v>
      </c>
      <c r="V6" s="1" t="e">
        <f t="shared" ref="V6:V34" si="1">IF(U6="","",U6/R$2/2.5)</f>
        <v>#N/A</v>
      </c>
      <c r="W6" s="1" t="e">
        <f>IF(U6="","", 100*_xlfn.STDEV.P(U5:U6)/AVERAGE(U5:U6))</f>
        <v>#N/A</v>
      </c>
      <c r="X6" s="8" t="e" cm="1">
        <f t="array" ref="X6">IF(U6="","", IFERROR(((IF(U$5&lt;&gt;"", U$5*M$5, 0) + SUMPRODUCT(--(U$6:U6&lt;&gt;""), U$6:U6, (M$6:M6-M$5:M5)))/1000)/T$3, ""))</f>
        <v>#N/A</v>
      </c>
    </row>
    <row r="7" spans="1:24" x14ac:dyDescent="0.25">
      <c r="A7" s="1">
        <f t="shared" ref="A7:A34" si="2">A6+1</f>
        <v>3</v>
      </c>
      <c r="B7" s="1">
        <f t="shared" ref="B7:B34" si="3">C6</f>
        <v>0</v>
      </c>
      <c r="I7" s="1" t="e">
        <f t="shared" ref="I7:I34" si="4">IF(C7="", NA(), (B7-C7)*1000/(A7-A6))</f>
        <v>#N/A</v>
      </c>
      <c r="J7" s="1" t="e">
        <f t="shared" si="0"/>
        <v>#N/A</v>
      </c>
      <c r="K7" s="1" t="e">
        <f t="shared" ref="K7:K34" si="5">IF(I7="","", 100*_xlfn.STDEV.P(I6:I7)/AVERAGE(I6:I7))</f>
        <v>#N/A</v>
      </c>
      <c r="L7" s="8" t="e" cm="1">
        <f t="array" ref="L7">IF(I7="","", IFERROR(((IF(I$5&lt;&gt;"", I$5*A$5, 0) + SUMPRODUCT(--(I$6:I7&lt;&gt;""), I$6:I7, (A$6:A7-A$5:A6)))/1000)/H$3, ""))</f>
        <v>#N/A</v>
      </c>
      <c r="M7" s="1">
        <f t="shared" ref="M7:M34" si="6">M6+1</f>
        <v>3</v>
      </c>
      <c r="N7" s="1">
        <f t="shared" ref="N7:N34" si="7">O6</f>
        <v>0</v>
      </c>
      <c r="U7" s="1" t="e">
        <f t="shared" ref="U7:U34" si="8">IF(O7="", NA(), (N7-O7)*1000/(M7-M6))</f>
        <v>#N/A</v>
      </c>
      <c r="V7" s="1" t="e">
        <f t="shared" si="1"/>
        <v>#N/A</v>
      </c>
      <c r="W7" s="1" t="e">
        <f t="shared" ref="W7:W34" si="9">IF(U7="","", 100*_xlfn.STDEV.P(U6:U7)/AVERAGE(U6:U7))</f>
        <v>#N/A</v>
      </c>
      <c r="X7" s="8" t="e" cm="1">
        <f t="array" ref="X7">IF(U7="","", IFERROR(((IF(U$5&lt;&gt;"", U$5*M$5, 0) + SUMPRODUCT(--(U$6:U7&lt;&gt;""), U$6:U7, (M$6:M7-M$5:M6)))/1000)/T$3, ""))</f>
        <v>#N/A</v>
      </c>
    </row>
    <row r="8" spans="1:24" x14ac:dyDescent="0.25">
      <c r="A8" s="1">
        <f t="shared" si="2"/>
        <v>4</v>
      </c>
      <c r="B8" s="1">
        <f t="shared" si="3"/>
        <v>0</v>
      </c>
      <c r="I8" s="1" t="e">
        <f t="shared" si="4"/>
        <v>#N/A</v>
      </c>
      <c r="J8" s="1" t="e">
        <f t="shared" si="0"/>
        <v>#N/A</v>
      </c>
      <c r="K8" s="1" t="e">
        <f t="shared" si="5"/>
        <v>#N/A</v>
      </c>
      <c r="L8" s="8" t="e" cm="1">
        <f t="array" ref="L8">IF(I8="","", IFERROR(((IF(I$5&lt;&gt;"", I$5*A$5, 0) + SUMPRODUCT(--(I$6:I8&lt;&gt;""), I$6:I8, (A$6:A8-A$5:A7)))/1000)/H$3, ""))</f>
        <v>#N/A</v>
      </c>
      <c r="M8" s="1">
        <f t="shared" si="6"/>
        <v>4</v>
      </c>
      <c r="N8" s="1">
        <f t="shared" si="7"/>
        <v>0</v>
      </c>
      <c r="U8" s="1" t="e">
        <f t="shared" si="8"/>
        <v>#N/A</v>
      </c>
      <c r="V8" s="1" t="e">
        <f t="shared" si="1"/>
        <v>#N/A</v>
      </c>
      <c r="W8" s="1" t="e">
        <f t="shared" si="9"/>
        <v>#N/A</v>
      </c>
      <c r="X8" s="8" t="e" cm="1">
        <f t="array" ref="X8">IF(U8="","", IFERROR(((IF(U$5&lt;&gt;"", U$5*M$5, 0) + SUMPRODUCT(--(U$6:U8&lt;&gt;""), U$6:U8, (M$6:M8-M$5:M7)))/1000)/T$3, ""))</f>
        <v>#N/A</v>
      </c>
    </row>
    <row r="9" spans="1:24" x14ac:dyDescent="0.25">
      <c r="A9" s="1">
        <f t="shared" si="2"/>
        <v>5</v>
      </c>
      <c r="B9" s="1">
        <f t="shared" si="3"/>
        <v>0</v>
      </c>
      <c r="I9" s="1" t="e">
        <f t="shared" si="4"/>
        <v>#N/A</v>
      </c>
      <c r="J9" s="1" t="e">
        <f t="shared" si="0"/>
        <v>#N/A</v>
      </c>
      <c r="K9" s="1" t="e">
        <f t="shared" si="5"/>
        <v>#N/A</v>
      </c>
      <c r="L9" s="8" t="e" cm="1">
        <f t="array" ref="L9">IF(I9="","", IFERROR(((IF(I$5&lt;&gt;"", I$5*A$5, 0) + SUMPRODUCT(--(I$6:I9&lt;&gt;""), I$6:I9, (A$6:A9-A$5:A8)))/1000)/H$3, ""))</f>
        <v>#N/A</v>
      </c>
      <c r="M9" s="1">
        <f t="shared" si="6"/>
        <v>5</v>
      </c>
      <c r="N9" s="1">
        <f t="shared" si="7"/>
        <v>0</v>
      </c>
      <c r="U9" s="1" t="e">
        <f t="shared" si="8"/>
        <v>#N/A</v>
      </c>
      <c r="V9" s="1" t="e">
        <f t="shared" si="1"/>
        <v>#N/A</v>
      </c>
      <c r="W9" s="1" t="e">
        <f t="shared" si="9"/>
        <v>#N/A</v>
      </c>
      <c r="X9" s="8" t="e" cm="1">
        <f t="array" ref="X9">IF(U9="","", IFERROR(((IF(U$5&lt;&gt;"", U$5*M$5, 0) + SUMPRODUCT(--(U$6:U9&lt;&gt;""), U$6:U9, (M$6:M9-M$5:M8)))/1000)/T$3, ""))</f>
        <v>#N/A</v>
      </c>
    </row>
    <row r="10" spans="1:24" x14ac:dyDescent="0.25">
      <c r="A10" s="1">
        <f t="shared" si="2"/>
        <v>6</v>
      </c>
      <c r="B10" s="1">
        <f t="shared" si="3"/>
        <v>0</v>
      </c>
      <c r="I10" s="1" t="e">
        <f t="shared" si="4"/>
        <v>#N/A</v>
      </c>
      <c r="J10" s="1" t="e">
        <f t="shared" si="0"/>
        <v>#N/A</v>
      </c>
      <c r="K10" s="1" t="e">
        <f t="shared" si="5"/>
        <v>#N/A</v>
      </c>
      <c r="L10" s="8" t="e" cm="1">
        <f t="array" ref="L10">IF(I10="","", IFERROR(((IF(I$5&lt;&gt;"", I$5*A$5, 0) + SUMPRODUCT(--(I$6:I10&lt;&gt;""), I$6:I10, (A$6:A10-A$5:A9)))/1000)/H$3, ""))</f>
        <v>#N/A</v>
      </c>
      <c r="M10" s="1">
        <f t="shared" si="6"/>
        <v>6</v>
      </c>
      <c r="N10" s="1">
        <f t="shared" si="7"/>
        <v>0</v>
      </c>
      <c r="U10" s="1" t="e">
        <f t="shared" si="8"/>
        <v>#N/A</v>
      </c>
      <c r="V10" s="1" t="e">
        <f t="shared" si="1"/>
        <v>#N/A</v>
      </c>
      <c r="W10" s="1" t="e">
        <f t="shared" si="9"/>
        <v>#N/A</v>
      </c>
      <c r="X10" s="8" t="e" cm="1">
        <f t="array" ref="X10">IF(U10="","", IFERROR(((IF(U$5&lt;&gt;"", U$5*M$5, 0) + SUMPRODUCT(--(U$6:U10&lt;&gt;""), U$6:U10, (M$6:M10-M$5:M9)))/1000)/T$3, ""))</f>
        <v>#N/A</v>
      </c>
    </row>
    <row r="11" spans="1:24" x14ac:dyDescent="0.25">
      <c r="A11" s="1">
        <f t="shared" si="2"/>
        <v>7</v>
      </c>
      <c r="B11" s="1">
        <f t="shared" si="3"/>
        <v>0</v>
      </c>
      <c r="I11" s="1" t="e">
        <f t="shared" si="4"/>
        <v>#N/A</v>
      </c>
      <c r="J11" s="1" t="e">
        <f t="shared" si="0"/>
        <v>#N/A</v>
      </c>
      <c r="K11" s="1" t="e">
        <f t="shared" si="5"/>
        <v>#N/A</v>
      </c>
      <c r="L11" s="8" t="e" cm="1">
        <f t="array" ref="L11">IF(I11="","", IFERROR(((IF(I$5&lt;&gt;"", I$5*A$5, 0) + SUMPRODUCT(--(I$6:I11&lt;&gt;""), I$6:I11, (A$6:A11-A$5:A10)))/1000)/H$3, ""))</f>
        <v>#N/A</v>
      </c>
      <c r="M11" s="1">
        <f t="shared" si="6"/>
        <v>7</v>
      </c>
      <c r="N11" s="1">
        <f t="shared" si="7"/>
        <v>0</v>
      </c>
      <c r="U11" s="1" t="e">
        <f t="shared" si="8"/>
        <v>#N/A</v>
      </c>
      <c r="V11" s="1" t="e">
        <f t="shared" si="1"/>
        <v>#N/A</v>
      </c>
      <c r="W11" s="1" t="e">
        <f t="shared" si="9"/>
        <v>#N/A</v>
      </c>
      <c r="X11" s="8" t="e" cm="1">
        <f t="array" ref="X11">IF(U11="","", IFERROR(((IF(U$5&lt;&gt;"", U$5*M$5, 0) + SUMPRODUCT(--(U$6:U11&lt;&gt;""), U$6:U11, (M$6:M11-M$5:M10)))/1000)/T$3, ""))</f>
        <v>#N/A</v>
      </c>
    </row>
    <row r="12" spans="1:24" x14ac:dyDescent="0.25">
      <c r="A12" s="1">
        <f t="shared" si="2"/>
        <v>8</v>
      </c>
      <c r="B12" s="1">
        <f t="shared" si="3"/>
        <v>0</v>
      </c>
      <c r="I12" s="1" t="e">
        <f t="shared" si="4"/>
        <v>#N/A</v>
      </c>
      <c r="J12" s="1" t="e">
        <f t="shared" si="0"/>
        <v>#N/A</v>
      </c>
      <c r="K12" s="1" t="e">
        <f t="shared" si="5"/>
        <v>#N/A</v>
      </c>
      <c r="L12" s="8" t="e" cm="1">
        <f t="array" ref="L12">IF(I12="","", IFERROR(((IF(I$5&lt;&gt;"", I$5*A$5, 0) + SUMPRODUCT(--(I$6:I12&lt;&gt;""), I$6:I12, (A$6:A12-A$5:A11)))/1000)/H$3, ""))</f>
        <v>#N/A</v>
      </c>
      <c r="M12" s="1">
        <f t="shared" si="6"/>
        <v>8</v>
      </c>
      <c r="N12" s="1">
        <f t="shared" si="7"/>
        <v>0</v>
      </c>
      <c r="U12" s="1" t="e">
        <f t="shared" si="8"/>
        <v>#N/A</v>
      </c>
      <c r="V12" s="1" t="e">
        <f t="shared" si="1"/>
        <v>#N/A</v>
      </c>
      <c r="W12" s="1" t="e">
        <f t="shared" si="9"/>
        <v>#N/A</v>
      </c>
      <c r="X12" s="8" t="e" cm="1">
        <f t="array" ref="X12">IF(U12="","", IFERROR(((IF(U$5&lt;&gt;"", U$5*M$5, 0) + SUMPRODUCT(--(U$6:U12&lt;&gt;""), U$6:U12, (M$6:M12-M$5:M11)))/1000)/T$3, ""))</f>
        <v>#N/A</v>
      </c>
    </row>
    <row r="13" spans="1:24" x14ac:dyDescent="0.25">
      <c r="A13" s="1">
        <f t="shared" si="2"/>
        <v>9</v>
      </c>
      <c r="B13" s="1">
        <f t="shared" si="3"/>
        <v>0</v>
      </c>
      <c r="I13" s="1" t="e">
        <f t="shared" si="4"/>
        <v>#N/A</v>
      </c>
      <c r="J13" s="1" t="e">
        <f t="shared" si="0"/>
        <v>#N/A</v>
      </c>
      <c r="K13" s="1" t="e">
        <f t="shared" si="5"/>
        <v>#N/A</v>
      </c>
      <c r="L13" s="8" t="e" cm="1">
        <f t="array" ref="L13">IF(I13="","", IFERROR(((IF(I$5&lt;&gt;"", I$5*A$5, 0) + SUMPRODUCT(--(I$6:I13&lt;&gt;""), I$6:I13, (A$6:A13-A$5:A12)))/1000)/H$3, ""))</f>
        <v>#N/A</v>
      </c>
      <c r="M13" s="1">
        <f t="shared" si="6"/>
        <v>9</v>
      </c>
      <c r="N13" s="1">
        <f t="shared" si="7"/>
        <v>0</v>
      </c>
      <c r="U13" s="1" t="e">
        <f t="shared" si="8"/>
        <v>#N/A</v>
      </c>
      <c r="V13" s="1" t="e">
        <f t="shared" si="1"/>
        <v>#N/A</v>
      </c>
      <c r="W13" s="1" t="e">
        <f t="shared" si="9"/>
        <v>#N/A</v>
      </c>
      <c r="X13" s="8" t="e" cm="1">
        <f t="array" ref="X13">IF(U13="","", IFERROR(((IF(U$5&lt;&gt;"", U$5*M$5, 0) + SUMPRODUCT(--(U$6:U13&lt;&gt;""), U$6:U13, (M$6:M13-M$5:M12)))/1000)/T$3, ""))</f>
        <v>#N/A</v>
      </c>
    </row>
    <row r="14" spans="1:24" x14ac:dyDescent="0.25">
      <c r="A14" s="1">
        <f t="shared" si="2"/>
        <v>10</v>
      </c>
      <c r="B14" s="1">
        <f t="shared" si="3"/>
        <v>0</v>
      </c>
      <c r="I14" s="1" t="e">
        <f t="shared" si="4"/>
        <v>#N/A</v>
      </c>
      <c r="J14" s="1" t="e">
        <f t="shared" si="0"/>
        <v>#N/A</v>
      </c>
      <c r="K14" s="1" t="e">
        <f t="shared" si="5"/>
        <v>#N/A</v>
      </c>
      <c r="L14" s="8" t="e" cm="1">
        <f t="array" ref="L14">IF(I14="","", IFERROR(((IF(I$5&lt;&gt;"", I$5*A$5, 0) + SUMPRODUCT(--(I$6:I14&lt;&gt;""), I$6:I14, (A$6:A14-A$5:A13)))/1000)/H$3, ""))</f>
        <v>#N/A</v>
      </c>
      <c r="M14" s="1">
        <f t="shared" si="6"/>
        <v>10</v>
      </c>
      <c r="N14" s="1">
        <f t="shared" si="7"/>
        <v>0</v>
      </c>
      <c r="U14" s="1" t="e">
        <f t="shared" si="8"/>
        <v>#N/A</v>
      </c>
      <c r="V14" s="1" t="e">
        <f t="shared" si="1"/>
        <v>#N/A</v>
      </c>
      <c r="W14" s="1" t="e">
        <f t="shared" si="9"/>
        <v>#N/A</v>
      </c>
      <c r="X14" s="8" t="e" cm="1">
        <f t="array" ref="X14">IF(U14="","", IFERROR(((IF(U$5&lt;&gt;"", U$5*M$5, 0) + SUMPRODUCT(--(U$6:U14&lt;&gt;""), U$6:U14, (M$6:M14-M$5:M13)))/1000)/T$3, ""))</f>
        <v>#N/A</v>
      </c>
    </row>
    <row r="15" spans="1:24" x14ac:dyDescent="0.25">
      <c r="A15" s="1">
        <f t="shared" si="2"/>
        <v>11</v>
      </c>
      <c r="B15" s="1">
        <f t="shared" si="3"/>
        <v>0</v>
      </c>
      <c r="H15" s="1" t="s">
        <v>63</v>
      </c>
      <c r="I15" s="1" t="e">
        <f t="shared" si="4"/>
        <v>#N/A</v>
      </c>
      <c r="J15" s="1" t="e">
        <f t="shared" si="0"/>
        <v>#N/A</v>
      </c>
      <c r="K15" s="1" t="e">
        <f t="shared" si="5"/>
        <v>#N/A</v>
      </c>
      <c r="L15" s="8" t="e" cm="1">
        <f t="array" ref="L15">IF(I15="","", IFERROR(((IF(I$5&lt;&gt;"", I$5*A$5, 0) + SUMPRODUCT(--(I$6:I15&lt;&gt;""), I$6:I15, (A$6:A15-A$5:A14)))/1000)/H$3, ""))</f>
        <v>#N/A</v>
      </c>
      <c r="M15" s="1">
        <f t="shared" si="6"/>
        <v>11</v>
      </c>
      <c r="N15" s="1">
        <f t="shared" si="7"/>
        <v>0</v>
      </c>
      <c r="T15" s="1" t="s">
        <v>63</v>
      </c>
      <c r="U15" s="1" t="e">
        <f t="shared" si="8"/>
        <v>#N/A</v>
      </c>
      <c r="V15" s="1" t="e">
        <f t="shared" si="1"/>
        <v>#N/A</v>
      </c>
      <c r="W15" s="1" t="e">
        <f t="shared" si="9"/>
        <v>#N/A</v>
      </c>
      <c r="X15" s="8" t="e" cm="1">
        <f t="array" ref="X15">IF(U15="","", IFERROR(((IF(U$5&lt;&gt;"", U$5*M$5, 0) + SUMPRODUCT(--(U$6:U15&lt;&gt;""), U$6:U15, (M$6:M15-M$5:M14)))/1000)/T$3, ""))</f>
        <v>#N/A</v>
      </c>
    </row>
    <row r="16" spans="1:24" x14ac:dyDescent="0.25">
      <c r="A16" s="1">
        <f t="shared" si="2"/>
        <v>12</v>
      </c>
      <c r="B16" s="1">
        <f t="shared" si="3"/>
        <v>0</v>
      </c>
      <c r="I16" s="1" t="e">
        <f t="shared" si="4"/>
        <v>#N/A</v>
      </c>
      <c r="J16" s="1" t="e">
        <f t="shared" si="0"/>
        <v>#N/A</v>
      </c>
      <c r="K16" s="1" t="e">
        <f t="shared" si="5"/>
        <v>#N/A</v>
      </c>
      <c r="L16" s="8" t="e" cm="1">
        <f t="array" ref="L16">IF(I16="","", IFERROR(((IF(I$5&lt;&gt;"", I$5*A$5, 0) + SUMPRODUCT(--(I$6:I16&lt;&gt;""), I$6:I16, (A$6:A16-A$5:A15)))/1000)/H$3, ""))</f>
        <v>#N/A</v>
      </c>
      <c r="M16" s="1">
        <f t="shared" si="6"/>
        <v>12</v>
      </c>
      <c r="N16" s="1">
        <f t="shared" si="7"/>
        <v>0</v>
      </c>
      <c r="U16" s="1" t="e">
        <f t="shared" si="8"/>
        <v>#N/A</v>
      </c>
      <c r="V16" s="1" t="e">
        <f t="shared" si="1"/>
        <v>#N/A</v>
      </c>
      <c r="W16" s="1" t="e">
        <f t="shared" si="9"/>
        <v>#N/A</v>
      </c>
      <c r="X16" s="8" t="e" cm="1">
        <f t="array" ref="X16">IF(U16="","", IFERROR(((IF(U$5&lt;&gt;"", U$5*M$5, 0) + SUMPRODUCT(--(U$6:U16&lt;&gt;""), U$6:U16, (M$6:M16-M$5:M15)))/1000)/T$3, ""))</f>
        <v>#N/A</v>
      </c>
    </row>
    <row r="17" spans="1:24" x14ac:dyDescent="0.25">
      <c r="A17" s="1">
        <f t="shared" si="2"/>
        <v>13</v>
      </c>
      <c r="B17" s="1">
        <f t="shared" si="3"/>
        <v>0</v>
      </c>
      <c r="I17" s="1" t="e">
        <f t="shared" si="4"/>
        <v>#N/A</v>
      </c>
      <c r="J17" s="1" t="e">
        <f t="shared" si="0"/>
        <v>#N/A</v>
      </c>
      <c r="K17" s="1" t="e">
        <f t="shared" si="5"/>
        <v>#N/A</v>
      </c>
      <c r="L17" s="8" t="e" cm="1">
        <f t="array" ref="L17">IF(I17="","", IFERROR(((IF(I$5&lt;&gt;"", I$5*A$5, 0) + SUMPRODUCT(--(I$6:I17&lt;&gt;""), I$6:I17, (A$6:A17-A$5:A16)))/1000)/H$3, ""))</f>
        <v>#N/A</v>
      </c>
      <c r="M17" s="1">
        <f t="shared" si="6"/>
        <v>13</v>
      </c>
      <c r="N17" s="1">
        <f t="shared" si="7"/>
        <v>0</v>
      </c>
      <c r="U17" s="1" t="e">
        <f t="shared" si="8"/>
        <v>#N/A</v>
      </c>
      <c r="V17" s="1" t="e">
        <f t="shared" si="1"/>
        <v>#N/A</v>
      </c>
      <c r="W17" s="1" t="e">
        <f t="shared" si="9"/>
        <v>#N/A</v>
      </c>
      <c r="X17" s="8" t="e" cm="1">
        <f t="array" ref="X17">IF(U17="","", IFERROR(((IF(U$5&lt;&gt;"", U$5*M$5, 0) + SUMPRODUCT(--(U$6:U17&lt;&gt;""), U$6:U17, (M$6:M17-M$5:M16)))/1000)/T$3, ""))</f>
        <v>#N/A</v>
      </c>
    </row>
    <row r="18" spans="1:24" x14ac:dyDescent="0.25">
      <c r="A18" s="1">
        <f t="shared" si="2"/>
        <v>14</v>
      </c>
      <c r="B18" s="1">
        <f t="shared" si="3"/>
        <v>0</v>
      </c>
      <c r="I18" s="1" t="e">
        <f t="shared" si="4"/>
        <v>#N/A</v>
      </c>
      <c r="J18" s="1" t="e">
        <f t="shared" si="0"/>
        <v>#N/A</v>
      </c>
      <c r="K18" s="1" t="e">
        <f t="shared" si="5"/>
        <v>#N/A</v>
      </c>
      <c r="L18" s="8" t="e" cm="1">
        <f t="array" ref="L18">IF(I18="","", IFERROR(((IF(I$5&lt;&gt;"", I$5*A$5, 0) + SUMPRODUCT(--(I$6:I18&lt;&gt;""), I$6:I18, (A$6:A18-A$5:A17)))/1000)/H$3, ""))</f>
        <v>#N/A</v>
      </c>
      <c r="M18" s="1">
        <f t="shared" si="6"/>
        <v>14</v>
      </c>
      <c r="N18" s="1">
        <f t="shared" si="7"/>
        <v>0</v>
      </c>
      <c r="U18" s="1" t="e">
        <f t="shared" si="8"/>
        <v>#N/A</v>
      </c>
      <c r="V18" s="1" t="e">
        <f t="shared" si="1"/>
        <v>#N/A</v>
      </c>
      <c r="W18" s="1" t="e">
        <f t="shared" si="9"/>
        <v>#N/A</v>
      </c>
      <c r="X18" s="8" t="e" cm="1">
        <f t="array" ref="X18">IF(U18="","", IFERROR(((IF(U$5&lt;&gt;"", U$5*M$5, 0) + SUMPRODUCT(--(U$6:U18&lt;&gt;""), U$6:U18, (M$6:M18-M$5:M17)))/1000)/T$3, ""))</f>
        <v>#N/A</v>
      </c>
    </row>
    <row r="19" spans="1:24" x14ac:dyDescent="0.25">
      <c r="A19" s="1">
        <f t="shared" si="2"/>
        <v>15</v>
      </c>
      <c r="B19" s="1">
        <f t="shared" si="3"/>
        <v>0</v>
      </c>
      <c r="I19" s="1" t="e">
        <f t="shared" si="4"/>
        <v>#N/A</v>
      </c>
      <c r="J19" s="1" t="e">
        <f t="shared" si="0"/>
        <v>#N/A</v>
      </c>
      <c r="K19" s="1" t="e">
        <f t="shared" si="5"/>
        <v>#N/A</v>
      </c>
      <c r="L19" s="8" t="e" cm="1">
        <f t="array" ref="L19">IF(I19="","", IFERROR(((IF(I$5&lt;&gt;"", I$5*A$5, 0) + SUMPRODUCT(--(I$6:I19&lt;&gt;""), I$6:I19, (A$6:A19-A$5:A18)))/1000)/H$3, ""))</f>
        <v>#N/A</v>
      </c>
      <c r="M19" s="1">
        <f t="shared" si="6"/>
        <v>15</v>
      </c>
      <c r="N19" s="1">
        <f t="shared" si="7"/>
        <v>0</v>
      </c>
      <c r="U19" s="1" t="e">
        <f t="shared" si="8"/>
        <v>#N/A</v>
      </c>
      <c r="V19" s="1" t="e">
        <f t="shared" si="1"/>
        <v>#N/A</v>
      </c>
      <c r="W19" s="1" t="e">
        <f t="shared" si="9"/>
        <v>#N/A</v>
      </c>
      <c r="X19" s="8" t="e" cm="1">
        <f t="array" ref="X19">IF(U19="","", IFERROR(((IF(U$5&lt;&gt;"", U$5*M$5, 0) + SUMPRODUCT(--(U$6:U19&lt;&gt;""), U$6:U19, (M$6:M19-M$5:M18)))/1000)/T$3, ""))</f>
        <v>#N/A</v>
      </c>
    </row>
    <row r="20" spans="1:24" x14ac:dyDescent="0.25">
      <c r="A20" s="1">
        <f t="shared" si="2"/>
        <v>16</v>
      </c>
      <c r="B20" s="1">
        <f t="shared" si="3"/>
        <v>0</v>
      </c>
      <c r="I20" s="1" t="e">
        <f t="shared" si="4"/>
        <v>#N/A</v>
      </c>
      <c r="J20" s="1" t="e">
        <f t="shared" si="0"/>
        <v>#N/A</v>
      </c>
      <c r="K20" s="1" t="e">
        <f t="shared" si="5"/>
        <v>#N/A</v>
      </c>
      <c r="L20" s="8" t="e" cm="1">
        <f t="array" ref="L20">IF(I20="","", IFERROR(((IF(I$5&lt;&gt;"", I$5*A$5, 0) + SUMPRODUCT(--(I$6:I20&lt;&gt;""), I$6:I20, (A$6:A20-A$5:A19)))/1000)/H$3, ""))</f>
        <v>#N/A</v>
      </c>
      <c r="M20" s="1">
        <f t="shared" si="6"/>
        <v>16</v>
      </c>
      <c r="N20" s="1">
        <f t="shared" si="7"/>
        <v>0</v>
      </c>
      <c r="U20" s="1" t="e">
        <f t="shared" si="8"/>
        <v>#N/A</v>
      </c>
      <c r="V20" s="1" t="e">
        <f t="shared" si="1"/>
        <v>#N/A</v>
      </c>
      <c r="W20" s="1" t="e">
        <f t="shared" si="9"/>
        <v>#N/A</v>
      </c>
      <c r="X20" s="8" t="e" cm="1">
        <f t="array" ref="X20">IF(U20="","", IFERROR(((IF(U$5&lt;&gt;"", U$5*M$5, 0) + SUMPRODUCT(--(U$6:U20&lt;&gt;""), U$6:U20, (M$6:M20-M$5:M19)))/1000)/T$3, ""))</f>
        <v>#N/A</v>
      </c>
    </row>
    <row r="21" spans="1:24" x14ac:dyDescent="0.25">
      <c r="A21" s="1">
        <f t="shared" si="2"/>
        <v>17</v>
      </c>
      <c r="B21" s="1">
        <f t="shared" si="3"/>
        <v>0</v>
      </c>
      <c r="I21" s="1" t="e">
        <f t="shared" si="4"/>
        <v>#N/A</v>
      </c>
      <c r="J21" s="1" t="e">
        <f t="shared" si="0"/>
        <v>#N/A</v>
      </c>
      <c r="K21" s="1" t="e">
        <f t="shared" si="5"/>
        <v>#N/A</v>
      </c>
      <c r="L21" s="8" t="e" cm="1">
        <f t="array" ref="L21">IF(I21="","", IFERROR(((IF(I$5&lt;&gt;"", I$5*A$5, 0) + SUMPRODUCT(--(I$6:I21&lt;&gt;""), I$6:I21, (A$6:A21-A$5:A20)))/1000)/H$3, ""))</f>
        <v>#N/A</v>
      </c>
      <c r="M21" s="1">
        <f t="shared" si="6"/>
        <v>17</v>
      </c>
      <c r="N21" s="1">
        <f t="shared" si="7"/>
        <v>0</v>
      </c>
      <c r="U21" s="1" t="e">
        <f t="shared" si="8"/>
        <v>#N/A</v>
      </c>
      <c r="V21" s="1" t="e">
        <f t="shared" si="1"/>
        <v>#N/A</v>
      </c>
      <c r="W21" s="1" t="e">
        <f t="shared" si="9"/>
        <v>#N/A</v>
      </c>
      <c r="X21" s="8" t="e" cm="1">
        <f t="array" ref="X21">IF(U21="","", IFERROR(((IF(U$5&lt;&gt;"", U$5*M$5, 0) + SUMPRODUCT(--(U$6:U21&lt;&gt;""), U$6:U21, (M$6:M21-M$5:M20)))/1000)/T$3, ""))</f>
        <v>#N/A</v>
      </c>
    </row>
    <row r="22" spans="1:24" x14ac:dyDescent="0.25">
      <c r="A22" s="1">
        <f t="shared" si="2"/>
        <v>18</v>
      </c>
      <c r="B22" s="1">
        <f t="shared" si="3"/>
        <v>0</v>
      </c>
      <c r="I22" s="1" t="e">
        <f t="shared" si="4"/>
        <v>#N/A</v>
      </c>
      <c r="J22" s="1" t="e">
        <f t="shared" si="0"/>
        <v>#N/A</v>
      </c>
      <c r="K22" s="1" t="e">
        <f t="shared" si="5"/>
        <v>#N/A</v>
      </c>
      <c r="L22" s="8" t="e" cm="1">
        <f t="array" ref="L22">IF(I22="","", IFERROR(((IF(I$5&lt;&gt;"", I$5*A$5, 0) + SUMPRODUCT(--(I$6:I22&lt;&gt;""), I$6:I22, (A$6:A22-A$5:A21)))/1000)/H$3, ""))</f>
        <v>#N/A</v>
      </c>
      <c r="M22" s="1">
        <f t="shared" si="6"/>
        <v>18</v>
      </c>
      <c r="N22" s="1">
        <f t="shared" si="7"/>
        <v>0</v>
      </c>
      <c r="U22" s="1" t="e">
        <f t="shared" si="8"/>
        <v>#N/A</v>
      </c>
      <c r="V22" s="1" t="e">
        <f t="shared" si="1"/>
        <v>#N/A</v>
      </c>
      <c r="W22" s="1" t="e">
        <f t="shared" si="9"/>
        <v>#N/A</v>
      </c>
      <c r="X22" s="8" t="e" cm="1">
        <f t="array" ref="X22">IF(U22="","", IFERROR(((IF(U$5&lt;&gt;"", U$5*M$5, 0) + SUMPRODUCT(--(U$6:U22&lt;&gt;""), U$6:U22, (M$6:M22-M$5:M21)))/1000)/T$3, ""))</f>
        <v>#N/A</v>
      </c>
    </row>
    <row r="23" spans="1:24" x14ac:dyDescent="0.25">
      <c r="A23" s="1">
        <f t="shared" si="2"/>
        <v>19</v>
      </c>
      <c r="B23" s="1">
        <f t="shared" si="3"/>
        <v>0</v>
      </c>
      <c r="I23" s="1" t="e">
        <f t="shared" si="4"/>
        <v>#N/A</v>
      </c>
      <c r="J23" s="1" t="e">
        <f t="shared" si="0"/>
        <v>#N/A</v>
      </c>
      <c r="K23" s="1" t="e">
        <f t="shared" si="5"/>
        <v>#N/A</v>
      </c>
      <c r="L23" s="8" t="e" cm="1">
        <f t="array" ref="L23">IF(I23="","", IFERROR(((IF(I$5&lt;&gt;"", I$5*A$5, 0) + SUMPRODUCT(--(I$6:I23&lt;&gt;""), I$6:I23, (A$6:A23-A$5:A22)))/1000)/H$3, ""))</f>
        <v>#N/A</v>
      </c>
      <c r="M23" s="1">
        <f t="shared" si="6"/>
        <v>19</v>
      </c>
      <c r="N23" s="1">
        <f t="shared" si="7"/>
        <v>0</v>
      </c>
      <c r="U23" s="1" t="e">
        <f t="shared" si="8"/>
        <v>#N/A</v>
      </c>
      <c r="V23" s="1" t="e">
        <f t="shared" si="1"/>
        <v>#N/A</v>
      </c>
      <c r="W23" s="1" t="e">
        <f t="shared" si="9"/>
        <v>#N/A</v>
      </c>
      <c r="X23" s="8" t="e" cm="1">
        <f t="array" ref="X23">IF(U23="","", IFERROR(((IF(U$5&lt;&gt;"", U$5*M$5, 0) + SUMPRODUCT(--(U$6:U23&lt;&gt;""), U$6:U23, (M$6:M23-M$5:M22)))/1000)/T$3, ""))</f>
        <v>#N/A</v>
      </c>
    </row>
    <row r="24" spans="1:24" x14ac:dyDescent="0.25">
      <c r="A24" s="1">
        <f t="shared" si="2"/>
        <v>20</v>
      </c>
      <c r="B24" s="1">
        <f t="shared" si="3"/>
        <v>0</v>
      </c>
      <c r="I24" s="1" t="e">
        <f t="shared" si="4"/>
        <v>#N/A</v>
      </c>
      <c r="J24" s="1" t="e">
        <f t="shared" si="0"/>
        <v>#N/A</v>
      </c>
      <c r="K24" s="1" t="e">
        <f t="shared" si="5"/>
        <v>#N/A</v>
      </c>
      <c r="L24" s="8" t="e" cm="1">
        <f t="array" ref="L24">IF(I24="","", IFERROR(((IF(I$5&lt;&gt;"", I$5*A$5, 0) + SUMPRODUCT(--(I$6:I24&lt;&gt;""), I$6:I24, (A$6:A24-A$5:A23)))/1000)/H$3, ""))</f>
        <v>#N/A</v>
      </c>
      <c r="M24" s="1">
        <f t="shared" si="6"/>
        <v>20</v>
      </c>
      <c r="N24" s="1">
        <f t="shared" si="7"/>
        <v>0</v>
      </c>
      <c r="U24" s="1" t="e">
        <f t="shared" si="8"/>
        <v>#N/A</v>
      </c>
      <c r="V24" s="1" t="e">
        <f t="shared" si="1"/>
        <v>#N/A</v>
      </c>
      <c r="W24" s="1" t="e">
        <f t="shared" si="9"/>
        <v>#N/A</v>
      </c>
      <c r="X24" s="8" t="e" cm="1">
        <f t="array" ref="X24">IF(U24="","", IFERROR(((IF(U$5&lt;&gt;"", U$5*M$5, 0) + SUMPRODUCT(--(U$6:U24&lt;&gt;""), U$6:U24, (M$6:M24-M$5:M23)))/1000)/T$3, ""))</f>
        <v>#N/A</v>
      </c>
    </row>
    <row r="25" spans="1:24" x14ac:dyDescent="0.25">
      <c r="A25" s="1">
        <f t="shared" si="2"/>
        <v>21</v>
      </c>
      <c r="B25" s="1">
        <f t="shared" si="3"/>
        <v>0</v>
      </c>
      <c r="H25" s="1" t="s">
        <v>64</v>
      </c>
      <c r="I25" s="1" t="e">
        <f t="shared" si="4"/>
        <v>#N/A</v>
      </c>
      <c r="J25" s="1" t="e">
        <f t="shared" si="0"/>
        <v>#N/A</v>
      </c>
      <c r="K25" s="1" t="e">
        <f t="shared" si="5"/>
        <v>#N/A</v>
      </c>
      <c r="L25" s="8" t="e" cm="1">
        <f t="array" ref="L25">IF(I25="","", IFERROR(((IF(I$5&lt;&gt;"", I$5*A$5, 0) + SUMPRODUCT(--(I$6:I25&lt;&gt;""), I$6:I25, (A$6:A25-A$5:A24)))/1000)/H$3, ""))</f>
        <v>#N/A</v>
      </c>
      <c r="M25" s="1">
        <f t="shared" si="6"/>
        <v>21</v>
      </c>
      <c r="N25" s="1">
        <f t="shared" si="7"/>
        <v>0</v>
      </c>
      <c r="T25" s="1" t="s">
        <v>64</v>
      </c>
      <c r="U25" s="1" t="e">
        <f t="shared" si="8"/>
        <v>#N/A</v>
      </c>
      <c r="V25" s="1" t="e">
        <f t="shared" si="1"/>
        <v>#N/A</v>
      </c>
      <c r="W25" s="1" t="e">
        <f t="shared" si="9"/>
        <v>#N/A</v>
      </c>
      <c r="X25" s="8" t="e" cm="1">
        <f t="array" ref="X25">IF(U25="","", IFERROR(((IF(U$5&lt;&gt;"", U$5*M$5, 0) + SUMPRODUCT(--(U$6:U25&lt;&gt;""), U$6:U25, (M$6:M25-M$5:M24)))/1000)/T$3, ""))</f>
        <v>#N/A</v>
      </c>
    </row>
    <row r="26" spans="1:24" x14ac:dyDescent="0.25">
      <c r="A26" s="1">
        <f t="shared" si="2"/>
        <v>22</v>
      </c>
      <c r="B26" s="1">
        <f t="shared" si="3"/>
        <v>0</v>
      </c>
      <c r="I26" s="1" t="e">
        <f t="shared" si="4"/>
        <v>#N/A</v>
      </c>
      <c r="J26" s="1" t="e">
        <f t="shared" si="0"/>
        <v>#N/A</v>
      </c>
      <c r="K26" s="1" t="e">
        <f t="shared" si="5"/>
        <v>#N/A</v>
      </c>
      <c r="L26" s="8" t="e" cm="1">
        <f t="array" ref="L26">IF(I26="","", IFERROR(((IF(I$5&lt;&gt;"", I$5*A$5, 0) + SUMPRODUCT(--(I$6:I26&lt;&gt;""), I$6:I26, (A$6:A26-A$5:A25)))/1000)/H$3, ""))</f>
        <v>#N/A</v>
      </c>
      <c r="M26" s="1">
        <f t="shared" si="6"/>
        <v>22</v>
      </c>
      <c r="N26" s="1">
        <f t="shared" si="7"/>
        <v>0</v>
      </c>
      <c r="U26" s="1" t="e">
        <f t="shared" si="8"/>
        <v>#N/A</v>
      </c>
      <c r="V26" s="1" t="e">
        <f t="shared" si="1"/>
        <v>#N/A</v>
      </c>
      <c r="W26" s="1" t="e">
        <f t="shared" si="9"/>
        <v>#N/A</v>
      </c>
      <c r="X26" s="8" t="e" cm="1">
        <f t="array" ref="X26">IF(U26="","", IFERROR(((IF(U$5&lt;&gt;"", U$5*M$5, 0) + SUMPRODUCT(--(U$6:U26&lt;&gt;""), U$6:U26, (M$6:M26-M$5:M25)))/1000)/T$3, ""))</f>
        <v>#N/A</v>
      </c>
    </row>
    <row r="27" spans="1:24" x14ac:dyDescent="0.25">
      <c r="A27" s="1">
        <f t="shared" si="2"/>
        <v>23</v>
      </c>
      <c r="B27" s="1">
        <f t="shared" si="3"/>
        <v>0</v>
      </c>
      <c r="I27" s="1" t="e">
        <f t="shared" si="4"/>
        <v>#N/A</v>
      </c>
      <c r="J27" s="1" t="e">
        <f t="shared" si="0"/>
        <v>#N/A</v>
      </c>
      <c r="K27" s="1" t="e">
        <f t="shared" si="5"/>
        <v>#N/A</v>
      </c>
      <c r="L27" s="8" t="e" cm="1">
        <f t="array" ref="L27">IF(I27="","", IFERROR(((IF(I$5&lt;&gt;"", I$5*A$5, 0) + SUMPRODUCT(--(I$6:I27&lt;&gt;""), I$6:I27, (A$6:A27-A$5:A26)))/1000)/H$3, ""))</f>
        <v>#N/A</v>
      </c>
      <c r="M27" s="1">
        <f t="shared" si="6"/>
        <v>23</v>
      </c>
      <c r="N27" s="1">
        <f t="shared" si="7"/>
        <v>0</v>
      </c>
      <c r="U27" s="1" t="e">
        <f t="shared" si="8"/>
        <v>#N/A</v>
      </c>
      <c r="V27" s="1" t="e">
        <f t="shared" si="1"/>
        <v>#N/A</v>
      </c>
      <c r="W27" s="1" t="e">
        <f t="shared" si="9"/>
        <v>#N/A</v>
      </c>
      <c r="X27" s="8" t="e" cm="1">
        <f t="array" ref="X27">IF(U27="","", IFERROR(((IF(U$5&lt;&gt;"", U$5*M$5, 0) + SUMPRODUCT(--(U$6:U27&lt;&gt;""), U$6:U27, (M$6:M27-M$5:M26)))/1000)/T$3, ""))</f>
        <v>#N/A</v>
      </c>
    </row>
    <row r="28" spans="1:24" x14ac:dyDescent="0.25">
      <c r="A28" s="1">
        <f t="shared" si="2"/>
        <v>24</v>
      </c>
      <c r="B28" s="1">
        <f t="shared" si="3"/>
        <v>0</v>
      </c>
      <c r="I28" s="1" t="e">
        <f t="shared" si="4"/>
        <v>#N/A</v>
      </c>
      <c r="J28" s="1" t="e">
        <f t="shared" si="0"/>
        <v>#N/A</v>
      </c>
      <c r="K28" s="1" t="e">
        <f t="shared" si="5"/>
        <v>#N/A</v>
      </c>
      <c r="L28" s="8" t="e" cm="1">
        <f t="array" ref="L28">IF(I28="","", IFERROR(((IF(I$5&lt;&gt;"", I$5*A$5, 0) + SUMPRODUCT(--(I$6:I28&lt;&gt;""), I$6:I28, (A$6:A28-A$5:A27)))/1000)/H$3, ""))</f>
        <v>#N/A</v>
      </c>
      <c r="M28" s="1">
        <f t="shared" si="6"/>
        <v>24</v>
      </c>
      <c r="N28" s="1">
        <f t="shared" si="7"/>
        <v>0</v>
      </c>
      <c r="U28" s="1" t="e">
        <f t="shared" si="8"/>
        <v>#N/A</v>
      </c>
      <c r="V28" s="1" t="e">
        <f t="shared" si="1"/>
        <v>#N/A</v>
      </c>
      <c r="W28" s="1" t="e">
        <f t="shared" si="9"/>
        <v>#N/A</v>
      </c>
      <c r="X28" s="8" t="e" cm="1">
        <f t="array" ref="X28">IF(U28="","", IFERROR(((IF(U$5&lt;&gt;"", U$5*M$5, 0) + SUMPRODUCT(--(U$6:U28&lt;&gt;""), U$6:U28, (M$6:M28-M$5:M27)))/1000)/T$3, ""))</f>
        <v>#N/A</v>
      </c>
    </row>
    <row r="29" spans="1:24" x14ac:dyDescent="0.25">
      <c r="A29" s="1">
        <f t="shared" si="2"/>
        <v>25</v>
      </c>
      <c r="B29" s="1">
        <f t="shared" si="3"/>
        <v>0</v>
      </c>
      <c r="F29" s="9"/>
      <c r="G29" s="9"/>
      <c r="H29" s="9"/>
      <c r="I29" s="1" t="e">
        <f t="shared" si="4"/>
        <v>#N/A</v>
      </c>
      <c r="J29" s="1" t="e">
        <f t="shared" si="0"/>
        <v>#N/A</v>
      </c>
      <c r="K29" s="1" t="e">
        <f t="shared" si="5"/>
        <v>#N/A</v>
      </c>
      <c r="L29" s="8" t="e" cm="1">
        <f t="array" ref="L29">IF(I29="","", IFERROR(((IF(I$5&lt;&gt;"", I$5*A$5, 0) + SUMPRODUCT(--(I$6:I29&lt;&gt;""), I$6:I29, (A$6:A29-A$5:A28)))/1000)/H$3, ""))</f>
        <v>#N/A</v>
      </c>
      <c r="M29" s="1">
        <f t="shared" si="6"/>
        <v>25</v>
      </c>
      <c r="N29" s="1">
        <f t="shared" si="7"/>
        <v>0</v>
      </c>
      <c r="R29" s="9"/>
      <c r="S29" s="9"/>
      <c r="T29" s="9"/>
      <c r="U29" s="1" t="e">
        <f t="shared" si="8"/>
        <v>#N/A</v>
      </c>
      <c r="V29" s="1" t="e">
        <f t="shared" si="1"/>
        <v>#N/A</v>
      </c>
      <c r="W29" s="1" t="e">
        <f t="shared" si="9"/>
        <v>#N/A</v>
      </c>
      <c r="X29" s="8" t="e" cm="1">
        <f t="array" ref="X29">IF(U29="","", IFERROR(((IF(U$5&lt;&gt;"", U$5*M$5, 0) + SUMPRODUCT(--(U$6:U29&lt;&gt;""), U$6:U29, (M$6:M29-M$5:M28)))/1000)/T$3, ""))</f>
        <v>#N/A</v>
      </c>
    </row>
    <row r="30" spans="1:24" x14ac:dyDescent="0.25">
      <c r="A30" s="1">
        <f t="shared" si="2"/>
        <v>26</v>
      </c>
      <c r="B30" s="1">
        <f t="shared" si="3"/>
        <v>0</v>
      </c>
      <c r="I30" s="1" t="e">
        <f t="shared" si="4"/>
        <v>#N/A</v>
      </c>
      <c r="J30" s="1" t="e">
        <f t="shared" si="0"/>
        <v>#N/A</v>
      </c>
      <c r="K30" s="1" t="e">
        <f t="shared" si="5"/>
        <v>#N/A</v>
      </c>
      <c r="L30" s="8" t="e" cm="1">
        <f t="array" ref="L30">IF(I30="","", IFERROR(((IF(I$5&lt;&gt;"", I$5*A$5, 0) + SUMPRODUCT(--(I$6:I30&lt;&gt;""), I$6:I30, (A$6:A30-A$5:A29)))/1000)/H$3, ""))</f>
        <v>#N/A</v>
      </c>
      <c r="M30" s="1">
        <f t="shared" si="6"/>
        <v>26</v>
      </c>
      <c r="N30" s="1">
        <f t="shared" si="7"/>
        <v>0</v>
      </c>
      <c r="U30" s="1" t="e">
        <f t="shared" si="8"/>
        <v>#N/A</v>
      </c>
      <c r="V30" s="1" t="e">
        <f t="shared" si="1"/>
        <v>#N/A</v>
      </c>
      <c r="W30" s="1" t="e">
        <f t="shared" si="9"/>
        <v>#N/A</v>
      </c>
      <c r="X30" s="8" t="e" cm="1">
        <f t="array" ref="X30">IF(U30="","", IFERROR(((IF(U$5&lt;&gt;"", U$5*M$5, 0) + SUMPRODUCT(--(U$6:U30&lt;&gt;""), U$6:U30, (M$6:M30-M$5:M29)))/1000)/T$3, ""))</f>
        <v>#N/A</v>
      </c>
    </row>
    <row r="31" spans="1:24" x14ac:dyDescent="0.25">
      <c r="A31" s="1">
        <f t="shared" si="2"/>
        <v>27</v>
      </c>
      <c r="B31" s="1">
        <f t="shared" si="3"/>
        <v>0</v>
      </c>
      <c r="I31" s="1" t="e">
        <f t="shared" si="4"/>
        <v>#N/A</v>
      </c>
      <c r="J31" s="1" t="e">
        <f t="shared" si="0"/>
        <v>#N/A</v>
      </c>
      <c r="K31" s="1" t="e">
        <f t="shared" si="5"/>
        <v>#N/A</v>
      </c>
      <c r="L31" s="8" t="e" cm="1">
        <f t="array" ref="L31">IF(I31="","", IFERROR(((IF(I$5&lt;&gt;"", I$5*A$5, 0) + SUMPRODUCT(--(I$6:I31&lt;&gt;""), I$6:I31, (A$6:A31-A$5:A30)))/1000)/H$3, ""))</f>
        <v>#N/A</v>
      </c>
      <c r="M31" s="1">
        <f t="shared" si="6"/>
        <v>27</v>
      </c>
      <c r="N31" s="1">
        <f t="shared" si="7"/>
        <v>0</v>
      </c>
      <c r="U31" s="1" t="e">
        <f t="shared" si="8"/>
        <v>#N/A</v>
      </c>
      <c r="V31" s="1" t="e">
        <f t="shared" si="1"/>
        <v>#N/A</v>
      </c>
      <c r="W31" s="1" t="e">
        <f t="shared" si="9"/>
        <v>#N/A</v>
      </c>
      <c r="X31" s="8" t="e" cm="1">
        <f t="array" ref="X31">IF(U31="","", IFERROR(((IF(U$5&lt;&gt;"", U$5*M$5, 0) + SUMPRODUCT(--(U$6:U31&lt;&gt;""), U$6:U31, (M$6:M31-M$5:M30)))/1000)/T$3, ""))</f>
        <v>#N/A</v>
      </c>
    </row>
    <row r="32" spans="1:24" x14ac:dyDescent="0.25">
      <c r="A32" s="1">
        <f t="shared" si="2"/>
        <v>28</v>
      </c>
      <c r="B32" s="1">
        <f t="shared" si="3"/>
        <v>0</v>
      </c>
      <c r="I32" s="1" t="e">
        <f t="shared" si="4"/>
        <v>#N/A</v>
      </c>
      <c r="J32" s="1" t="e">
        <f t="shared" si="0"/>
        <v>#N/A</v>
      </c>
      <c r="K32" s="1" t="e">
        <f t="shared" si="5"/>
        <v>#N/A</v>
      </c>
      <c r="L32" s="8" t="e" cm="1">
        <f t="array" ref="L32">IF(I32="","", IFERROR(((IF(I$5&lt;&gt;"", I$5*A$5, 0) + SUMPRODUCT(--(I$6:I32&lt;&gt;""), I$6:I32, (A$6:A32-A$5:A31)))/1000)/H$3, ""))</f>
        <v>#N/A</v>
      </c>
      <c r="M32" s="1">
        <f t="shared" si="6"/>
        <v>28</v>
      </c>
      <c r="N32" s="1">
        <f t="shared" si="7"/>
        <v>0</v>
      </c>
      <c r="U32" s="1" t="e">
        <f t="shared" si="8"/>
        <v>#N/A</v>
      </c>
      <c r="V32" s="1" t="e">
        <f t="shared" si="1"/>
        <v>#N/A</v>
      </c>
      <c r="W32" s="1" t="e">
        <f t="shared" si="9"/>
        <v>#N/A</v>
      </c>
      <c r="X32" s="8" t="e" cm="1">
        <f t="array" ref="X32">IF(U32="","", IFERROR(((IF(U$5&lt;&gt;"", U$5*M$5, 0) + SUMPRODUCT(--(U$6:U32&lt;&gt;""), U$6:U32, (M$6:M32-M$5:M31)))/1000)/T$3, ""))</f>
        <v>#N/A</v>
      </c>
    </row>
    <row r="33" spans="1:24" x14ac:dyDescent="0.25">
      <c r="A33" s="1">
        <f t="shared" si="2"/>
        <v>29</v>
      </c>
      <c r="B33" s="1">
        <f t="shared" si="3"/>
        <v>0</v>
      </c>
      <c r="I33" s="1" t="e">
        <f t="shared" si="4"/>
        <v>#N/A</v>
      </c>
      <c r="J33" s="1" t="e">
        <f t="shared" si="0"/>
        <v>#N/A</v>
      </c>
      <c r="K33" s="1" t="e">
        <f t="shared" si="5"/>
        <v>#N/A</v>
      </c>
      <c r="L33" s="8" t="e" cm="1">
        <f t="array" ref="L33">IF(I33="","", IFERROR(((IF(I$5&lt;&gt;"", I$5*A$5, 0) + SUMPRODUCT(--(I$6:I33&lt;&gt;""), I$6:I33, (A$6:A33-A$5:A32)))/1000)/H$3, ""))</f>
        <v>#N/A</v>
      </c>
      <c r="M33" s="1">
        <f t="shared" si="6"/>
        <v>29</v>
      </c>
      <c r="N33" s="1">
        <f t="shared" si="7"/>
        <v>0</v>
      </c>
      <c r="U33" s="1" t="e">
        <f t="shared" si="8"/>
        <v>#N/A</v>
      </c>
      <c r="V33" s="1" t="e">
        <f t="shared" si="1"/>
        <v>#N/A</v>
      </c>
      <c r="W33" s="1" t="e">
        <f t="shared" si="9"/>
        <v>#N/A</v>
      </c>
      <c r="X33" s="8" t="e" cm="1">
        <f t="array" ref="X33">IF(U33="","", IFERROR(((IF(U$5&lt;&gt;"", U$5*M$5, 0) + SUMPRODUCT(--(U$6:U33&lt;&gt;""), U$6:U33, (M$6:M33-M$5:M32)))/1000)/T$3, ""))</f>
        <v>#N/A</v>
      </c>
    </row>
    <row r="34" spans="1:24" x14ac:dyDescent="0.25">
      <c r="A34" s="1">
        <f t="shared" si="2"/>
        <v>30</v>
      </c>
      <c r="B34" s="1">
        <f t="shared" si="3"/>
        <v>0</v>
      </c>
      <c r="I34" s="1" t="e">
        <f t="shared" si="4"/>
        <v>#N/A</v>
      </c>
      <c r="J34" s="1" t="e">
        <f t="shared" si="0"/>
        <v>#N/A</v>
      </c>
      <c r="K34" s="1" t="e">
        <f t="shared" si="5"/>
        <v>#N/A</v>
      </c>
      <c r="L34" s="8" t="e" cm="1">
        <f t="array" ref="L34">IF(I34="","", IFERROR(((IF(I$5&lt;&gt;"", I$5*A$5, 0) + SUMPRODUCT(--(I$6:I34&lt;&gt;""), I$6:I34, (A$6:A34-A$5:A33)))/1000)/H$3, ""))</f>
        <v>#N/A</v>
      </c>
      <c r="M34" s="1">
        <f t="shared" si="6"/>
        <v>30</v>
      </c>
      <c r="N34" s="1">
        <f t="shared" si="7"/>
        <v>0</v>
      </c>
      <c r="U34" s="1" t="e">
        <f t="shared" si="8"/>
        <v>#N/A</v>
      </c>
      <c r="V34" s="1" t="e">
        <f t="shared" si="1"/>
        <v>#N/A</v>
      </c>
      <c r="W34" s="1" t="e">
        <f t="shared" si="9"/>
        <v>#N/A</v>
      </c>
      <c r="X34" s="8" t="e" cm="1">
        <f t="array" ref="X34">IF(U34="","", IFERROR(((IF(U$5&lt;&gt;"", U$5*M$5, 0) + SUMPRODUCT(--(U$6:U34&lt;&gt;""), U$6:U34, (M$6:M34-M$5:M33)))/1000)/T$3, ""))</f>
        <v>#N/A</v>
      </c>
    </row>
    <row r="35" spans="1:24" x14ac:dyDescent="0.25">
      <c r="L35" s="8"/>
      <c r="X35" s="8"/>
    </row>
    <row r="36" spans="1:24" x14ac:dyDescent="0.25">
      <c r="L36" s="8"/>
      <c r="X36" s="8"/>
    </row>
    <row r="37" spans="1:24" x14ac:dyDescent="0.25">
      <c r="L37" s="8"/>
      <c r="X37" s="8"/>
    </row>
    <row r="38" spans="1:24" x14ac:dyDescent="0.25">
      <c r="L38" s="8"/>
      <c r="X38" s="8"/>
    </row>
    <row r="39" spans="1:24" x14ac:dyDescent="0.25">
      <c r="L39" s="8"/>
      <c r="X39" s="8"/>
    </row>
    <row r="40" spans="1:24" x14ac:dyDescent="0.25">
      <c r="L40" s="8"/>
      <c r="X40" s="8"/>
    </row>
    <row r="41" spans="1:24" x14ac:dyDescent="0.25">
      <c r="L41" s="8"/>
      <c r="X41" s="8"/>
    </row>
    <row r="42" spans="1:24" x14ac:dyDescent="0.25">
      <c r="L42" s="8"/>
      <c r="X42" s="8"/>
    </row>
    <row r="43" spans="1:24" x14ac:dyDescent="0.25">
      <c r="L43" s="8"/>
      <c r="X43" s="8"/>
    </row>
    <row r="44" spans="1:24" x14ac:dyDescent="0.25">
      <c r="L44" s="8"/>
      <c r="X44" s="8"/>
    </row>
    <row r="45" spans="1:24" x14ac:dyDescent="0.25">
      <c r="L45" s="8"/>
      <c r="X45" s="8"/>
    </row>
    <row r="46" spans="1:24" x14ac:dyDescent="0.25">
      <c r="L46" s="8"/>
      <c r="X46" s="8"/>
    </row>
    <row r="47" spans="1:24" x14ac:dyDescent="0.25">
      <c r="L47" s="8"/>
      <c r="X47" s="8"/>
    </row>
    <row r="48" spans="1:24" x14ac:dyDescent="0.25">
      <c r="L48" s="8"/>
      <c r="X48" s="8"/>
    </row>
    <row r="49" spans="12:24" x14ac:dyDescent="0.25">
      <c r="L49" s="8"/>
      <c r="X49" s="8"/>
    </row>
    <row r="50" spans="12:24" x14ac:dyDescent="0.25">
      <c r="L50" s="8"/>
      <c r="X50" s="8"/>
    </row>
    <row r="51" spans="12:24" x14ac:dyDescent="0.25">
      <c r="L51" s="8"/>
      <c r="X51" s="8"/>
    </row>
    <row r="52" spans="12:24" x14ac:dyDescent="0.25">
      <c r="L52" s="8"/>
      <c r="X52" s="8"/>
    </row>
    <row r="53" spans="12:24" x14ac:dyDescent="0.25">
      <c r="L53" s="8"/>
      <c r="X53" s="8"/>
    </row>
    <row r="54" spans="12:24" x14ac:dyDescent="0.25">
      <c r="L54" s="8"/>
      <c r="X54" s="8"/>
    </row>
    <row r="55" spans="12:24" x14ac:dyDescent="0.25">
      <c r="L55" s="8"/>
      <c r="X55" s="8"/>
    </row>
    <row r="56" spans="12:24" x14ac:dyDescent="0.25">
      <c r="L56" s="8"/>
      <c r="X56" s="8"/>
    </row>
    <row r="57" spans="12:24" x14ac:dyDescent="0.25">
      <c r="L57" s="8"/>
      <c r="X57" s="8"/>
    </row>
    <row r="58" spans="12:24" x14ac:dyDescent="0.25">
      <c r="L58" s="8"/>
      <c r="X58" s="8"/>
    </row>
    <row r="59" spans="12:24" x14ac:dyDescent="0.25">
      <c r="L59" s="8"/>
      <c r="X59" s="8"/>
    </row>
    <row r="60" spans="12:24" x14ac:dyDescent="0.25">
      <c r="L60" s="8"/>
      <c r="X60" s="8"/>
    </row>
    <row r="61" spans="12:24" x14ac:dyDescent="0.25">
      <c r="L61" s="8"/>
      <c r="X61" s="8"/>
    </row>
    <row r="62" spans="12:24" x14ac:dyDescent="0.25">
      <c r="L62" s="8"/>
      <c r="X62" s="8"/>
    </row>
    <row r="63" spans="12:24" x14ac:dyDescent="0.25">
      <c r="L63" s="8"/>
      <c r="X63" s="8"/>
    </row>
    <row r="64" spans="12:24" x14ac:dyDescent="0.25">
      <c r="L64" s="8"/>
      <c r="X64" s="8"/>
    </row>
    <row r="65" spans="12:24" x14ac:dyDescent="0.25">
      <c r="L65" s="8"/>
      <c r="X65" s="8"/>
    </row>
    <row r="66" spans="12:24" x14ac:dyDescent="0.25">
      <c r="L66" s="8"/>
      <c r="X66" s="8"/>
    </row>
    <row r="67" spans="12:24" x14ac:dyDescent="0.25">
      <c r="L67" s="8"/>
      <c r="X67" s="8"/>
    </row>
    <row r="68" spans="12:24" x14ac:dyDescent="0.25">
      <c r="L68" s="8"/>
      <c r="X68" s="8"/>
    </row>
    <row r="69" spans="12:24" x14ac:dyDescent="0.25">
      <c r="L69" s="8"/>
      <c r="X69" s="8"/>
    </row>
    <row r="70" spans="12:24" x14ac:dyDescent="0.25">
      <c r="L70" s="8"/>
      <c r="X70" s="8"/>
    </row>
    <row r="71" spans="12:24" x14ac:dyDescent="0.25">
      <c r="L71" s="8"/>
      <c r="X71" s="8"/>
    </row>
    <row r="72" spans="12:24" x14ac:dyDescent="0.25">
      <c r="L72" s="8"/>
      <c r="X72" s="8"/>
    </row>
    <row r="73" spans="12:24" x14ac:dyDescent="0.25">
      <c r="L73" s="8"/>
      <c r="X73" s="8"/>
    </row>
    <row r="74" spans="12:24" x14ac:dyDescent="0.25">
      <c r="L74" s="8"/>
      <c r="X74" s="8"/>
    </row>
    <row r="75" spans="12:24" x14ac:dyDescent="0.25">
      <c r="L75" s="8"/>
      <c r="X75" s="8"/>
    </row>
    <row r="76" spans="12:24" x14ac:dyDescent="0.25">
      <c r="L76" s="8"/>
      <c r="X76" s="8"/>
    </row>
    <row r="77" spans="12:24" x14ac:dyDescent="0.25">
      <c r="L77" s="8"/>
      <c r="X77" s="8"/>
    </row>
    <row r="78" spans="12:24" x14ac:dyDescent="0.25">
      <c r="L78" s="8"/>
      <c r="X78" s="8"/>
    </row>
    <row r="79" spans="12:24" x14ac:dyDescent="0.25">
      <c r="L79" s="8"/>
      <c r="X79" s="8"/>
    </row>
    <row r="80" spans="12:24" x14ac:dyDescent="0.25">
      <c r="L80" s="8"/>
      <c r="X80" s="8"/>
    </row>
    <row r="81" spans="12:24" x14ac:dyDescent="0.25">
      <c r="L81" s="8"/>
      <c r="X81" s="8"/>
    </row>
    <row r="82" spans="12:24" x14ac:dyDescent="0.25">
      <c r="L82" s="8"/>
      <c r="X82" s="8"/>
    </row>
    <row r="83" spans="12:24" x14ac:dyDescent="0.25">
      <c r="L83" s="8"/>
      <c r="X83" s="8"/>
    </row>
    <row r="84" spans="12:24" x14ac:dyDescent="0.25">
      <c r="L84" s="8"/>
      <c r="X84" s="8"/>
    </row>
    <row r="85" spans="12:24" x14ac:dyDescent="0.25">
      <c r="L85" s="8"/>
      <c r="X85" s="8"/>
    </row>
    <row r="86" spans="12:24" x14ac:dyDescent="0.25">
      <c r="L86" s="8"/>
      <c r="X86" s="8"/>
    </row>
    <row r="87" spans="12:24" x14ac:dyDescent="0.25">
      <c r="L87" s="8"/>
      <c r="X87" s="8"/>
    </row>
    <row r="88" spans="12:24" x14ac:dyDescent="0.25">
      <c r="L88" s="8"/>
      <c r="X88" s="8"/>
    </row>
    <row r="89" spans="12:24" x14ac:dyDescent="0.25">
      <c r="L89" s="8"/>
      <c r="X89" s="8"/>
    </row>
    <row r="90" spans="12:24" x14ac:dyDescent="0.25">
      <c r="L90" s="8"/>
      <c r="X90" s="8"/>
    </row>
    <row r="91" spans="12:24" x14ac:dyDescent="0.25">
      <c r="L91" s="8"/>
      <c r="X91" s="8"/>
    </row>
    <row r="92" spans="12:24" x14ac:dyDescent="0.25">
      <c r="L92" s="8"/>
      <c r="X92" s="8"/>
    </row>
    <row r="93" spans="12:24" x14ac:dyDescent="0.25">
      <c r="L93" s="8"/>
      <c r="X93" s="8"/>
    </row>
    <row r="94" spans="12:24" x14ac:dyDescent="0.25">
      <c r="L94" s="8"/>
      <c r="X94" s="8"/>
    </row>
    <row r="95" spans="12:24" x14ac:dyDescent="0.25">
      <c r="L95" s="8"/>
      <c r="X95" s="8"/>
    </row>
    <row r="96" spans="12:24" x14ac:dyDescent="0.25">
      <c r="L96" s="8"/>
      <c r="X96" s="8"/>
    </row>
    <row r="97" spans="12:24" x14ac:dyDescent="0.25">
      <c r="L97" s="8"/>
      <c r="X97" s="8"/>
    </row>
    <row r="98" spans="12:24" x14ac:dyDescent="0.25">
      <c r="L98" s="8"/>
      <c r="X98" s="8"/>
    </row>
    <row r="99" spans="12:24" x14ac:dyDescent="0.25">
      <c r="L99" s="8"/>
      <c r="X99" s="8"/>
    </row>
    <row r="100" spans="12:24" x14ac:dyDescent="0.25">
      <c r="L100" s="8"/>
      <c r="X100" s="8"/>
    </row>
    <row r="101" spans="12:24" x14ac:dyDescent="0.25">
      <c r="L101" s="8"/>
      <c r="X101" s="8"/>
    </row>
    <row r="102" spans="12:24" x14ac:dyDescent="0.25">
      <c r="L102" s="8"/>
      <c r="X102" s="8"/>
    </row>
    <row r="103" spans="12:24" x14ac:dyDescent="0.25">
      <c r="L103" s="8"/>
      <c r="X103" s="8"/>
    </row>
    <row r="104" spans="12:24" x14ac:dyDescent="0.25">
      <c r="L104" s="8"/>
      <c r="X104" s="8"/>
    </row>
    <row r="105" spans="12:24" x14ac:dyDescent="0.25">
      <c r="L105" s="8"/>
      <c r="X105" s="8"/>
    </row>
    <row r="106" spans="12:24" x14ac:dyDescent="0.25">
      <c r="L106" s="8"/>
      <c r="X106" s="8"/>
    </row>
    <row r="107" spans="12:24" x14ac:dyDescent="0.25">
      <c r="L107" s="8"/>
      <c r="X107" s="8"/>
    </row>
    <row r="108" spans="12:24" x14ac:dyDescent="0.25">
      <c r="L108" s="8"/>
      <c r="X108" s="8"/>
    </row>
    <row r="109" spans="12:24" x14ac:dyDescent="0.25">
      <c r="L109" s="8"/>
      <c r="X109" s="8"/>
    </row>
    <row r="110" spans="12:24" x14ac:dyDescent="0.25">
      <c r="L110" s="8"/>
      <c r="X110" s="8"/>
    </row>
    <row r="111" spans="12:24" x14ac:dyDescent="0.25">
      <c r="L111" s="8"/>
      <c r="X111" s="8"/>
    </row>
    <row r="112" spans="12:24" x14ac:dyDescent="0.25">
      <c r="L112" s="8"/>
      <c r="X112" s="8"/>
    </row>
    <row r="113" spans="12:24" x14ac:dyDescent="0.25">
      <c r="L113" s="8"/>
      <c r="X113" s="8"/>
    </row>
    <row r="114" spans="12:24" x14ac:dyDescent="0.25">
      <c r="L114" s="8"/>
      <c r="X114" s="8"/>
    </row>
    <row r="115" spans="12:24" x14ac:dyDescent="0.25">
      <c r="L115" s="8"/>
      <c r="X115" s="8"/>
    </row>
  </sheetData>
  <conditionalFormatting sqref="I5:L34">
    <cfRule type="containsErrors" dxfId="119" priority="1">
      <formula>ISERROR(I5)</formula>
    </cfRule>
  </conditionalFormatting>
  <conditionalFormatting sqref="K6:K34">
    <cfRule type="cellIs" dxfId="118" priority="12" operator="between">
      <formula>0</formula>
      <formula>15</formula>
    </cfRule>
    <cfRule type="cellIs" dxfId="117" priority="13" operator="between">
      <formula>15</formula>
      <formula>25</formula>
    </cfRule>
    <cfRule type="cellIs" dxfId="116" priority="14" operator="between">
      <formula>25</formula>
      <formula>1000</formula>
    </cfRule>
  </conditionalFormatting>
  <conditionalFormatting sqref="L2:L3 X2:X3 V5:W34">
    <cfRule type="containsErrors" dxfId="115" priority="5">
      <formula>ISERROR(L2)</formula>
    </cfRule>
  </conditionalFormatting>
  <conditionalFormatting sqref="U5:U115">
    <cfRule type="containsErrors" dxfId="114" priority="8">
      <formula>ISERROR(U5)</formula>
    </cfRule>
  </conditionalFormatting>
  <conditionalFormatting sqref="W6:W34">
    <cfRule type="cellIs" dxfId="113" priority="9" operator="between">
      <formula>0</formula>
      <formula>15</formula>
    </cfRule>
    <cfRule type="cellIs" dxfId="112" priority="10" operator="between">
      <formula>15</formula>
      <formula>25</formula>
    </cfRule>
    <cfRule type="cellIs" dxfId="111" priority="11" operator="between">
      <formula>25</formula>
      <formula>1000</formula>
    </cfRule>
  </conditionalFormatting>
  <conditionalFormatting sqref="X5:X115">
    <cfRule type="containsErrors" dxfId="110" priority="3">
      <formula>ISERROR(X5)</formula>
    </cfRule>
  </conditionalFormatting>
  <pageMargins left="0.7" right="0.7" top="0.75" bottom="0.75" header="0.3" footer="0.3"/>
  <ignoredErrors>
    <ignoredError sqref="A1:XFD1 A35:J1048576 L35:V1048576 X35:XFD1048576 A6:S14 A5:G5 I5:S5 A16:S24 A15:G15 I15:S15 A26:XFD34 A25:G25 I25:S25 U6:XFD14 U5:XFD5 U16:XFD24 U15:XFD15 U25:XFD25 Y4:XFD4 A3:XFD3 A2:B2 D2:N2 P2:XFD2" evalError="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D755-DC8E-4D0E-BA40-97BBF40044D4}">
  <dimension ref="A1:BZ42"/>
  <sheetViews>
    <sheetView workbookViewId="0">
      <selection activeCell="A3" sqref="A1:XFD1048576"/>
    </sheetView>
  </sheetViews>
  <sheetFormatPr defaultColWidth="8.85546875" defaultRowHeight="15" x14ac:dyDescent="0.25"/>
  <cols>
    <col min="1" max="1" width="57" style="1" bestFit="1" customWidth="1"/>
    <col min="2" max="2" width="15.140625" style="1" customWidth="1"/>
    <col min="3" max="3" width="7.140625" style="1" bestFit="1" customWidth="1"/>
    <col min="4" max="4" width="12.140625" style="1" customWidth="1"/>
    <col min="5" max="5" width="8.7109375" style="1" customWidth="1"/>
    <col min="6" max="6" width="18" style="1" bestFit="1" customWidth="1"/>
    <col min="7" max="7" width="14.85546875" style="1" customWidth="1"/>
    <col min="8" max="8" width="35.7109375" style="1" customWidth="1"/>
    <col min="9" max="9" width="38.140625" style="1" bestFit="1" customWidth="1"/>
    <col min="10" max="10" width="19" style="1" bestFit="1" customWidth="1"/>
    <col min="11" max="11" width="11.7109375" style="1" customWidth="1"/>
    <col min="12" max="12" width="18.7109375" style="1" customWidth="1"/>
    <col min="13" max="13" width="15.140625" style="1" bestFit="1" customWidth="1"/>
    <col min="14" max="14" width="23" style="1" customWidth="1"/>
    <col min="15" max="15" width="23" style="1" bestFit="1" customWidth="1"/>
    <col min="16" max="16" width="12.85546875" style="1" bestFit="1" customWidth="1"/>
    <col min="17" max="17" width="24.140625" style="1" bestFit="1" customWidth="1"/>
    <col min="18" max="18" width="12.85546875" style="1" customWidth="1"/>
    <col min="19" max="19" width="14.85546875" style="1" bestFit="1" customWidth="1"/>
    <col min="20" max="20" width="35.7109375" style="1" customWidth="1"/>
    <col min="21" max="21" width="38.140625" style="1" bestFit="1" customWidth="1"/>
    <col min="22" max="22" width="19" style="1" bestFit="1" customWidth="1"/>
    <col min="23" max="23" width="11.7109375" style="1" customWidth="1"/>
    <col min="24" max="24" width="18.7109375" style="1" customWidth="1"/>
    <col min="25" max="25" width="15.140625" style="1" bestFit="1" customWidth="1"/>
    <col min="26" max="26" width="23" style="1" customWidth="1"/>
    <col min="27" max="27" width="23" style="1" bestFit="1" customWidth="1"/>
    <col min="28" max="28" width="12.85546875" style="1" bestFit="1" customWidth="1"/>
    <col min="29" max="29" width="24.140625" style="1" bestFit="1" customWidth="1"/>
    <col min="30" max="30" width="12.85546875" style="1" customWidth="1"/>
    <col min="31" max="31" width="14.85546875" style="1" bestFit="1" customWidth="1"/>
    <col min="32" max="32" width="35.7109375" style="1" customWidth="1"/>
    <col min="33" max="33" width="38.140625" style="1" bestFit="1" customWidth="1"/>
    <col min="34" max="34" width="19" style="1" bestFit="1" customWidth="1"/>
    <col min="35" max="35" width="11.7109375" style="1" customWidth="1"/>
    <col min="36" max="36" width="18.7109375" style="1" customWidth="1"/>
    <col min="37" max="37" width="15.140625" style="1" bestFit="1" customWidth="1"/>
    <col min="38" max="38" width="23" style="1" customWidth="1"/>
    <col min="39" max="39" width="23" style="1" bestFit="1" customWidth="1"/>
    <col min="40" max="40" width="12.85546875" style="1" bestFit="1" customWidth="1"/>
    <col min="41" max="41" width="24.140625" style="1" bestFit="1" customWidth="1"/>
    <col min="42" max="42" width="12.85546875" style="1" customWidth="1"/>
    <col min="43" max="43" width="14.85546875" style="1" bestFit="1" customWidth="1"/>
    <col min="44" max="44" width="35.7109375" style="1" customWidth="1"/>
    <col min="45" max="45" width="38.140625" style="1" bestFit="1" customWidth="1"/>
    <col min="46" max="46" width="19" style="1" bestFit="1" customWidth="1"/>
    <col min="47" max="47" width="11.7109375" style="1" customWidth="1"/>
    <col min="48" max="48" width="18.7109375" style="1" customWidth="1"/>
    <col min="49" max="49" width="15.140625" style="1" bestFit="1" customWidth="1"/>
    <col min="50" max="50" width="23" style="1" customWidth="1"/>
    <col min="51" max="51" width="23" style="1" bestFit="1" customWidth="1"/>
    <col min="52" max="52" width="12.85546875" style="1" bestFit="1" customWidth="1"/>
    <col min="53" max="53" width="24.140625" style="1" bestFit="1" customWidth="1"/>
    <col min="54" max="54" width="12.85546875" style="1" customWidth="1"/>
    <col min="55" max="55" width="14.85546875" style="1" bestFit="1" customWidth="1"/>
    <col min="56" max="56" width="35.7109375" style="1" customWidth="1"/>
    <col min="57" max="57" width="38.140625" style="1" bestFit="1" customWidth="1"/>
    <col min="58" max="58" width="19" style="1" bestFit="1" customWidth="1"/>
    <col min="59" max="59" width="11.7109375" style="1" customWidth="1"/>
    <col min="60" max="60" width="18.7109375" style="1" customWidth="1"/>
    <col min="61" max="61" width="15.140625" style="1" bestFit="1" customWidth="1"/>
    <col min="62" max="62" width="23" style="1" customWidth="1"/>
    <col min="63" max="63" width="23" style="1" bestFit="1" customWidth="1"/>
    <col min="64" max="64" width="12.85546875" style="1" bestFit="1" customWidth="1"/>
    <col min="65" max="65" width="24.140625" style="1" bestFit="1" customWidth="1"/>
    <col min="66" max="66" width="12.85546875" style="1" customWidth="1"/>
    <col min="67" max="67" width="14.85546875" style="1" bestFit="1" customWidth="1"/>
    <col min="68" max="68" width="35.7109375" style="1" customWidth="1"/>
    <col min="69" max="69" width="38.140625" style="1" bestFit="1" customWidth="1"/>
    <col min="70" max="70" width="19" style="1" bestFit="1" customWidth="1"/>
    <col min="71" max="71" width="11.7109375" style="1" customWidth="1"/>
    <col min="72" max="72" width="18.7109375" style="1" customWidth="1"/>
    <col min="73" max="73" width="15.140625" style="1" bestFit="1" customWidth="1"/>
    <col min="74" max="74" width="23" style="1" customWidth="1"/>
    <col min="75" max="75" width="23" style="1" bestFit="1" customWidth="1"/>
    <col min="76" max="76" width="12.85546875" style="1" bestFit="1" customWidth="1"/>
    <col min="77" max="77" width="24.140625" style="1" bestFit="1" customWidth="1"/>
    <col min="78" max="78" width="12.85546875" style="1" customWidth="1"/>
    <col min="79" max="79" width="14.85546875" style="1" bestFit="1" customWidth="1"/>
    <col min="80" max="80" width="35.7109375" style="1" customWidth="1"/>
    <col min="81" max="81" width="38.140625" style="1" bestFit="1" customWidth="1"/>
    <col min="82" max="82" width="19" style="1" bestFit="1" customWidth="1"/>
    <col min="83" max="16384" width="8.85546875" style="1"/>
  </cols>
  <sheetData>
    <row r="1" spans="1:7" x14ac:dyDescent="0.25">
      <c r="A1" s="3" t="s">
        <v>40</v>
      </c>
      <c r="B1" s="4" t="s">
        <v>0</v>
      </c>
      <c r="C1" s="2"/>
      <c r="D1" s="4" t="s">
        <v>1</v>
      </c>
      <c r="E1" s="1" cm="1">
        <f t="array" ref="E1">_xlfn.SWITCH(G1,
    "CCELL3.0", E2^2/(E3+0.78),
    "EVOMAX", E2^2/(E3),
    "EVO", E2^2/(E3),
    "SE", E2^2/E3,
    "T51", E2^2/(0.25+E3),
    "Competitor", E2^2/E3,
    "Error: Unknown device type")</f>
        <v>0</v>
      </c>
      <c r="F1" s="5" t="s">
        <v>59</v>
      </c>
      <c r="G1" s="1" t="s">
        <v>53</v>
      </c>
    </row>
    <row r="2" spans="1:7" x14ac:dyDescent="0.25">
      <c r="A2" s="2"/>
      <c r="B2" s="4" t="s">
        <v>2</v>
      </c>
      <c r="C2" s="2"/>
      <c r="D2" s="4" t="s">
        <v>3</v>
      </c>
      <c r="E2" s="2"/>
      <c r="F2" s="5" t="s">
        <v>60</v>
      </c>
      <c r="G2" s="1">
        <v>6</v>
      </c>
    </row>
    <row r="3" spans="1:7" x14ac:dyDescent="0.25">
      <c r="B3" s="4" t="s">
        <v>4</v>
      </c>
      <c r="D3" s="4" t="s">
        <v>37</v>
      </c>
      <c r="E3" s="2"/>
    </row>
    <row r="5" spans="1:7" x14ac:dyDescent="0.25">
      <c r="A5" s="10" t="s">
        <v>58</v>
      </c>
      <c r="B5" s="11" t="s">
        <v>5</v>
      </c>
      <c r="C5" s="12"/>
      <c r="D5" s="12"/>
    </row>
    <row r="6" spans="1:7" x14ac:dyDescent="0.25">
      <c r="A6" s="12" t="s">
        <v>23</v>
      </c>
      <c r="B6" s="13"/>
      <c r="C6" s="12"/>
      <c r="D6" s="12"/>
    </row>
    <row r="7" spans="1:7" x14ac:dyDescent="0.25">
      <c r="A7" s="12" t="s">
        <v>24</v>
      </c>
      <c r="B7" s="13"/>
      <c r="C7" s="12"/>
      <c r="D7" s="12"/>
    </row>
    <row r="8" spans="1:7" x14ac:dyDescent="0.25">
      <c r="A8" s="12" t="s">
        <v>25</v>
      </c>
      <c r="B8" s="13"/>
      <c r="C8" s="12"/>
      <c r="D8" s="12"/>
    </row>
    <row r="9" spans="1:7" x14ac:dyDescent="0.25">
      <c r="A9" s="12" t="s">
        <v>26</v>
      </c>
      <c r="B9" s="13"/>
      <c r="C9" s="12"/>
      <c r="D9" s="12"/>
    </row>
    <row r="10" spans="1:7" x14ac:dyDescent="0.25">
      <c r="A10" s="12" t="s">
        <v>27</v>
      </c>
      <c r="B10" s="13"/>
      <c r="C10" s="12"/>
      <c r="D10" s="12"/>
    </row>
    <row r="11" spans="1:7" x14ac:dyDescent="0.25">
      <c r="A11" s="12" t="s">
        <v>28</v>
      </c>
      <c r="B11" s="13"/>
      <c r="C11" s="12"/>
      <c r="D11" s="12"/>
    </row>
    <row r="12" spans="1:7" x14ac:dyDescent="0.25">
      <c r="A12" s="12" t="s">
        <v>29</v>
      </c>
      <c r="B12" s="13"/>
      <c r="C12" s="12"/>
      <c r="D12" s="12"/>
    </row>
    <row r="13" spans="1:7" x14ac:dyDescent="0.25">
      <c r="A13" s="12" t="s">
        <v>30</v>
      </c>
      <c r="B13" s="13"/>
      <c r="C13" s="12"/>
      <c r="D13" s="14"/>
    </row>
    <row r="14" spans="1:7" x14ac:dyDescent="0.25">
      <c r="A14" s="12" t="s">
        <v>31</v>
      </c>
      <c r="B14" s="13"/>
      <c r="C14" s="12"/>
      <c r="D14" s="12"/>
    </row>
    <row r="15" spans="1:7" x14ac:dyDescent="0.25">
      <c r="A15" s="12" t="s">
        <v>32</v>
      </c>
      <c r="B15" s="13"/>
      <c r="C15" s="12"/>
      <c r="D15" s="12"/>
    </row>
    <row r="16" spans="1:7" x14ac:dyDescent="0.25">
      <c r="A16" s="12" t="s">
        <v>33</v>
      </c>
      <c r="B16" s="13"/>
      <c r="C16" s="12"/>
      <c r="D16" s="12"/>
    </row>
    <row r="17" spans="1:4" x14ac:dyDescent="0.25">
      <c r="A17" s="12" t="s">
        <v>34</v>
      </c>
      <c r="B17" s="13"/>
      <c r="C17" s="12"/>
      <c r="D17" s="12"/>
    </row>
    <row r="18" spans="1:4" x14ac:dyDescent="0.25">
      <c r="A18" s="15" t="s">
        <v>44</v>
      </c>
      <c r="B18" s="13"/>
      <c r="C18" s="12"/>
      <c r="D18" s="12"/>
    </row>
    <row r="19" spans="1:4" ht="15" customHeight="1" x14ac:dyDescent="0.25">
      <c r="A19" s="16" t="s">
        <v>45</v>
      </c>
      <c r="B19" s="12" t="s">
        <v>46</v>
      </c>
      <c r="C19" s="12" t="s">
        <v>41</v>
      </c>
      <c r="D19" s="12" t="s">
        <v>42</v>
      </c>
    </row>
    <row r="20" spans="1:4" ht="14.45" customHeight="1" x14ac:dyDescent="0.25">
      <c r="A20" s="16"/>
      <c r="B20" s="17"/>
      <c r="C20" s="17"/>
      <c r="D20" s="17"/>
    </row>
    <row r="42" spans="6:78" x14ac:dyDescent="0.25">
      <c r="F42" s="9"/>
      <c r="P42" s="9"/>
      <c r="Q42" s="9"/>
      <c r="R42" s="9"/>
      <c r="AB42" s="9"/>
      <c r="AC42" s="9"/>
      <c r="AD42" s="9"/>
      <c r="AN42" s="9"/>
      <c r="AO42" s="9"/>
      <c r="AP42" s="9"/>
      <c r="AZ42" s="9"/>
      <c r="BA42" s="9"/>
      <c r="BB42" s="9"/>
      <c r="BL42" s="9"/>
      <c r="BM42" s="9"/>
      <c r="BN42" s="9"/>
      <c r="BX42" s="9"/>
      <c r="BY42" s="9"/>
      <c r="BZ42" s="9"/>
    </row>
  </sheetData>
  <conditionalFormatting sqref="B6:B18">
    <cfRule type="containsText" dxfId="109" priority="12" operator="containsText" text="Yes">
      <formula>NOT(ISERROR(SEARCH("Yes",B6)))</formula>
    </cfRule>
  </conditionalFormatting>
  <conditionalFormatting sqref="D13 B20:D20">
    <cfRule type="containsText" dxfId="108" priority="14" operator="containsText" text="No">
      <formula>NOT(ISERROR(SEARCH("No",B13)))</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B01A-09A9-47BB-B5D7-006B64F25335}">
  <dimension ref="A1:BT115"/>
  <sheetViews>
    <sheetView topLeftCell="AU1" zoomScale="50" zoomScaleNormal="50" workbookViewId="0">
      <selection activeCell="AQ1" sqref="A1:XFD4"/>
    </sheetView>
  </sheetViews>
  <sheetFormatPr defaultRowHeight="15" x14ac:dyDescent="0.25"/>
  <cols>
    <col min="1" max="1" width="16.2851562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8.2851562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25" width="16.28515625" style="1" customWidth="1"/>
    <col min="26" max="26" width="12.5703125" style="1" customWidth="1"/>
    <col min="27" max="27" width="11.28515625" style="1" customWidth="1"/>
    <col min="28" max="28" width="14.28515625" style="1" customWidth="1"/>
    <col min="29" max="29" width="23" style="1" bestFit="1" customWidth="1"/>
    <col min="30" max="30" width="12.85546875" style="1" bestFit="1" customWidth="1"/>
    <col min="31" max="31" width="13" style="1" customWidth="1"/>
    <col min="32" max="32" width="39.7109375" style="1" customWidth="1"/>
    <col min="33" max="33" width="14.85546875" style="1" bestFit="1" customWidth="1"/>
    <col min="34" max="34" width="18" style="1" customWidth="1"/>
    <col min="35" max="35" width="12.140625" style="1" customWidth="1"/>
    <col min="36" max="36" width="14.140625" style="7" customWidth="1"/>
    <col min="37" max="37" width="17.42578125" style="1" customWidth="1"/>
    <col min="38" max="38" width="12.5703125" style="1" customWidth="1"/>
    <col min="39" max="39" width="10.85546875" style="1" customWidth="1"/>
    <col min="40" max="40" width="14.28515625" style="1" customWidth="1"/>
    <col min="41" max="41" width="23" style="1" bestFit="1" customWidth="1"/>
    <col min="42" max="42" width="12.85546875" style="1" bestFit="1" customWidth="1"/>
    <col min="43" max="43" width="13" style="1" customWidth="1"/>
    <col min="44" max="44" width="39.7109375" style="1" customWidth="1"/>
    <col min="45" max="45" width="14.85546875" style="1" bestFit="1" customWidth="1"/>
    <col min="46" max="46" width="18" style="1" customWidth="1"/>
    <col min="47" max="47" width="12.140625" style="1" customWidth="1"/>
    <col min="48" max="48" width="14.140625" style="7" customWidth="1"/>
    <col min="49" max="49" width="17.140625" style="1" customWidth="1"/>
    <col min="50" max="50" width="12.5703125" style="1" customWidth="1"/>
    <col min="51" max="51" width="11.28515625" style="1" customWidth="1"/>
    <col min="52" max="52" width="14.28515625" style="1" customWidth="1"/>
    <col min="53" max="53" width="23" style="1" bestFit="1" customWidth="1"/>
    <col min="54" max="54" width="12.85546875" style="1" bestFit="1" customWidth="1"/>
    <col min="55" max="55" width="13" style="1" customWidth="1"/>
    <col min="56" max="56" width="39.7109375" style="1" customWidth="1"/>
    <col min="57" max="57" width="14.85546875" style="1" bestFit="1" customWidth="1"/>
    <col min="58" max="58" width="18" style="1" customWidth="1"/>
    <col min="59" max="59" width="12.140625" style="1" customWidth="1"/>
    <col min="60" max="60" width="14.140625" style="7" customWidth="1"/>
    <col min="61" max="61" width="14.85546875" style="1" customWidth="1"/>
    <col min="62" max="62" width="12.5703125" style="1" customWidth="1"/>
    <col min="63" max="63" width="10.85546875" style="1" customWidth="1"/>
    <col min="64" max="64" width="14.28515625" style="1" customWidth="1"/>
    <col min="65" max="65" width="23" style="1" bestFit="1" customWidth="1"/>
    <col min="66" max="66" width="12.85546875" style="1" bestFit="1" customWidth="1"/>
    <col min="67" max="67" width="13" style="1" customWidth="1"/>
    <col min="68" max="68" width="39.7109375" style="1" customWidth="1"/>
    <col min="69" max="69" width="14.85546875" style="1" bestFit="1" customWidth="1"/>
    <col min="70" max="70" width="18" style="1" customWidth="1"/>
    <col min="71" max="71" width="12.140625" style="1" customWidth="1"/>
    <col min="72" max="72" width="14.140625" style="7" customWidth="1"/>
    <col min="73" max="16384" width="9.140625" style="1"/>
  </cols>
  <sheetData>
    <row r="1" spans="1:72" s="2" customFormat="1" ht="45" x14ac:dyDescent="0.25">
      <c r="A1" s="3" t="s">
        <v>40</v>
      </c>
      <c r="C1" s="4" t="s">
        <v>6</v>
      </c>
      <c r="E1" s="4" t="s">
        <v>43</v>
      </c>
      <c r="G1" s="4" t="s">
        <v>54</v>
      </c>
      <c r="H1" s="2" t="s">
        <v>53</v>
      </c>
      <c r="J1" s="4" t="s">
        <v>7</v>
      </c>
      <c r="L1" s="6" t="s">
        <v>20</v>
      </c>
      <c r="M1" s="3" t="s">
        <v>40</v>
      </c>
      <c r="O1" s="4" t="s">
        <v>6</v>
      </c>
      <c r="Q1" s="4" t="s">
        <v>43</v>
      </c>
      <c r="S1" s="4" t="s">
        <v>54</v>
      </c>
      <c r="T1" s="2" t="s">
        <v>53</v>
      </c>
      <c r="V1" s="4" t="s">
        <v>7</v>
      </c>
      <c r="X1" s="6" t="s">
        <v>20</v>
      </c>
      <c r="Y1" s="3" t="s">
        <v>40</v>
      </c>
      <c r="AA1" s="4" t="s">
        <v>6</v>
      </c>
      <c r="AC1" s="4" t="s">
        <v>43</v>
      </c>
      <c r="AE1" s="4" t="s">
        <v>54</v>
      </c>
      <c r="AF1" s="2" t="s">
        <v>53</v>
      </c>
      <c r="AH1" s="4" t="s">
        <v>7</v>
      </c>
      <c r="AJ1" s="6" t="s">
        <v>20</v>
      </c>
      <c r="AK1" s="3" t="s">
        <v>40</v>
      </c>
      <c r="AM1" s="4" t="s">
        <v>6</v>
      </c>
      <c r="AO1" s="4" t="s">
        <v>43</v>
      </c>
      <c r="AQ1" s="4" t="s">
        <v>54</v>
      </c>
      <c r="AR1" s="2" t="s">
        <v>53</v>
      </c>
      <c r="AT1" s="4" t="s">
        <v>7</v>
      </c>
      <c r="AV1" s="6" t="s">
        <v>20</v>
      </c>
      <c r="AW1" s="3" t="s">
        <v>40</v>
      </c>
      <c r="AY1" s="4" t="s">
        <v>6</v>
      </c>
      <c r="BA1" s="4" t="s">
        <v>43</v>
      </c>
      <c r="BC1" s="4" t="s">
        <v>54</v>
      </c>
      <c r="BD1" s="2" t="s">
        <v>53</v>
      </c>
      <c r="BF1" s="4" t="s">
        <v>7</v>
      </c>
      <c r="BH1" s="6" t="s">
        <v>20</v>
      </c>
      <c r="BI1" s="3" t="s">
        <v>40</v>
      </c>
      <c r="BK1" s="4" t="s">
        <v>6</v>
      </c>
      <c r="BM1" s="4" t="s">
        <v>43</v>
      </c>
      <c r="BO1" s="4" t="s">
        <v>54</v>
      </c>
      <c r="BP1" s="2" t="s">
        <v>53</v>
      </c>
      <c r="BR1" s="4" t="s">
        <v>7</v>
      </c>
      <c r="BT1" s="6" t="s">
        <v>20</v>
      </c>
    </row>
    <row r="2" spans="1:72"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21</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21</v>
      </c>
      <c r="U2" s="4" t="s">
        <v>9</v>
      </c>
      <c r="V2" s="4" t="s">
        <v>10</v>
      </c>
      <c r="X2" s="20" t="e">
        <f>IF(U5="","",AVERAGEIFS(U5:U115,U5:U115,"&lt;&gt;0",U5:U115,"&lt;&gt;"))</f>
        <v>#N/A</v>
      </c>
      <c r="Y2" s="4" t="s">
        <v>2</v>
      </c>
      <c r="AA2" s="4" t="s">
        <v>127</v>
      </c>
      <c r="AC2" s="4" t="s">
        <v>1</v>
      </c>
      <c r="AD2" s="2" cm="1">
        <f t="array" ref="AD2">_xlfn.SWITCH(AF1,
    "CCELL3.0", AD3^2/(AB2+0.78),
    "EVOMAX", AD3^2/(AB2),
    "EVO", AD3^2/(AB2),
    "SE", AD3^2/AB2,
    "T51", AD3^2/(0.25+AB2),
    "Competitor", AD3^2/AB2,
    "Error: Unknown device type")</f>
        <v>0</v>
      </c>
      <c r="AE2" s="4" t="s">
        <v>8</v>
      </c>
      <c r="AF2" s="2" t="s">
        <v>21</v>
      </c>
      <c r="AG2" s="4" t="s">
        <v>9</v>
      </c>
      <c r="AH2" s="4" t="s">
        <v>10</v>
      </c>
      <c r="AJ2" s="20" t="e">
        <f>IF(AG5="","",AVERAGEIFS(AG5:AG115,AG5:AG115,"&lt;&gt;0",AG5:AG115,"&lt;&gt;"))</f>
        <v>#N/A</v>
      </c>
      <c r="AK2" s="4" t="s">
        <v>2</v>
      </c>
      <c r="AM2" s="4" t="s">
        <v>127</v>
      </c>
      <c r="AO2" s="4" t="s">
        <v>1</v>
      </c>
      <c r="AP2" s="2" cm="1">
        <f t="array" ref="AP2">_xlfn.SWITCH(AR1,
    "CCELL3.0", AP3^2/(AN2+0.78),
    "EVOMAX", AP3^2/(AN2),
    "EVO", AP3^2/(AN2),
    "SE", AP3^2/AN2,
    "T51", AP3^2/(0.25+AN2),
    "Competitor", AP3^2/AN2,
    "Error: Unknown device type")</f>
        <v>0</v>
      </c>
      <c r="AQ2" s="4" t="s">
        <v>8</v>
      </c>
      <c r="AR2" s="2" t="s">
        <v>21</v>
      </c>
      <c r="AS2" s="4" t="s">
        <v>9</v>
      </c>
      <c r="AT2" s="4" t="s">
        <v>10</v>
      </c>
      <c r="AV2" s="20" t="e">
        <f>IF(AS5="","",AVERAGEIFS(AS5:AS115,AS5:AS115,"&lt;&gt;0",AS5:AS115,"&lt;&gt;"))</f>
        <v>#N/A</v>
      </c>
      <c r="AW2" s="4" t="s">
        <v>2</v>
      </c>
      <c r="AY2" s="4" t="s">
        <v>127</v>
      </c>
      <c r="BA2" s="4" t="s">
        <v>1</v>
      </c>
      <c r="BB2" s="2" cm="1">
        <f t="array" ref="BB2">_xlfn.SWITCH(BD1,
    "CCELL3.0", BB3^2/(AZ2+0.78),
    "EVOMAX", BB3^2/(AZ2),
    "EVO", BB3^2/(AZ2),
    "SE", BB3^2/AZ2,
    "T51", BB3^2/(0.25+AZ2),
    "Competitor", BB3^2/AZ2,
    "Error: Unknown device type")</f>
        <v>0</v>
      </c>
      <c r="BC2" s="4" t="s">
        <v>8</v>
      </c>
      <c r="BD2" s="2" t="s">
        <v>21</v>
      </c>
      <c r="BE2" s="4" t="s">
        <v>9</v>
      </c>
      <c r="BF2" s="4" t="s">
        <v>10</v>
      </c>
      <c r="BH2" s="20" t="e">
        <f>IF(BE5="","",AVERAGEIFS(BE5:BE115,BE5:BE115,"&lt;&gt;0",BE5:BE115,"&lt;&gt;"))</f>
        <v>#N/A</v>
      </c>
      <c r="BI2" s="4" t="s">
        <v>2</v>
      </c>
      <c r="BK2" s="4" t="s">
        <v>127</v>
      </c>
      <c r="BM2" s="4" t="s">
        <v>1</v>
      </c>
      <c r="BN2" s="2" cm="1">
        <f t="array" ref="BN2">_xlfn.SWITCH(BP1,
    "CCELL3.0", BN3^2/(BL2+0.78),
    "EVOMAX", BN3^2/(BL2),
    "EVO", BN3^2/(BL2),
    "SE", BN3^2/BL2,
    "T51", BN3^2/(0.25+BL2),
    "Competitor", BN3^2/BL2,
    "Error: Unknown device type")</f>
        <v>0</v>
      </c>
      <c r="BO2" s="4" t="s">
        <v>8</v>
      </c>
      <c r="BP2" s="2" t="s">
        <v>21</v>
      </c>
      <c r="BQ2" s="4" t="s">
        <v>9</v>
      </c>
      <c r="BR2" s="4" t="s">
        <v>10</v>
      </c>
      <c r="BT2" s="20" t="e">
        <f>IF(BQ5="","",AVERAGEIFS(BQ5:BQ115,BQ5:BQ115,"&lt;&gt;0",BQ5:BQ115,"&lt;&gt;"))</f>
        <v>#N/A</v>
      </c>
    </row>
    <row r="3" spans="1:72" s="2" customFormat="1" ht="30" x14ac:dyDescent="0.25">
      <c r="A3" s="4" t="s">
        <v>11</v>
      </c>
      <c r="C3" s="4" t="s">
        <v>0</v>
      </c>
      <c r="E3" s="4" t="s">
        <v>3</v>
      </c>
      <c r="G3" s="4" t="s">
        <v>12</v>
      </c>
      <c r="H3" s="2">
        <v>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c r="Y3" s="4" t="s">
        <v>11</v>
      </c>
      <c r="AA3" s="4" t="s">
        <v>0</v>
      </c>
      <c r="AC3" s="4" t="s">
        <v>3</v>
      </c>
      <c r="AE3" s="4" t="s">
        <v>12</v>
      </c>
      <c r="AF3" s="2">
        <v>2</v>
      </c>
      <c r="AG3" s="21" t="str" cm="1">
        <f t="array" ref="AG3">IFERROR(((IF(AG5&lt;&gt;"", AG5*Y5, 0) + SUMPRODUCT(--(AG6:AG115&lt;&gt;""), AG6:AG115, (Y6:Y115-Y5:Y114)))/1000)/AF3, "")</f>
        <v/>
      </c>
      <c r="AH3" s="4" t="s">
        <v>13</v>
      </c>
      <c r="AJ3" s="20" t="e" cm="1">
        <f t="array" ref="AJ3">IF(AG5="","",_xlfn.STDEV.P(IF(ISNUMBER(AG5:AG115), IF(AG5:AG115&lt;&gt;0,AG5:AG115))))</f>
        <v>#N/A</v>
      </c>
      <c r="AK3" s="4" t="s">
        <v>11</v>
      </c>
      <c r="AM3" s="4" t="s">
        <v>0</v>
      </c>
      <c r="AO3" s="4" t="s">
        <v>3</v>
      </c>
      <c r="AQ3" s="4" t="s">
        <v>12</v>
      </c>
      <c r="AS3" s="21" t="str" cm="1">
        <f t="array" ref="AS3">IFERROR(((IF(AS5&lt;&gt;"", AS5*AK5, 0) + SUMPRODUCT(--(AS6:AS115&lt;&gt;""), AS6:AS115, (AK6:AK115-AK5:AK114)))/1000)/AR3, "")</f>
        <v/>
      </c>
      <c r="AT3" s="4" t="s">
        <v>13</v>
      </c>
      <c r="AV3" s="20" t="e" cm="1">
        <f t="array" ref="AV3">IF(AS5="","",_xlfn.STDEV.P(IF(ISNUMBER(AS5:AS115), IF(AS5:AS115&lt;&gt;0,AS5:AS115))))</f>
        <v>#N/A</v>
      </c>
      <c r="AW3" s="4" t="s">
        <v>11</v>
      </c>
      <c r="AY3" s="4" t="s">
        <v>0</v>
      </c>
      <c r="BA3" s="4" t="s">
        <v>3</v>
      </c>
      <c r="BC3" s="4" t="s">
        <v>12</v>
      </c>
      <c r="BD3" s="2">
        <v>2</v>
      </c>
      <c r="BE3" s="21" t="str" cm="1">
        <f t="array" ref="BE3">IFERROR(((IF(BE5&lt;&gt;"", BE5*AW5, 0) + SUMPRODUCT(--(BE6:BE115&lt;&gt;""), BE6:BE115, (AW6:AW115-AW5:AW114)))/1000)/BD3, "")</f>
        <v/>
      </c>
      <c r="BF3" s="4" t="s">
        <v>13</v>
      </c>
      <c r="BH3" s="20" t="e" cm="1">
        <f t="array" ref="BH3">IF(BE5="","",_xlfn.STDEV.P(IF(ISNUMBER(BE5:BE115), IF(BE5:BE115&lt;&gt;0,BE5:BE115))))</f>
        <v>#N/A</v>
      </c>
      <c r="BI3" s="4" t="s">
        <v>11</v>
      </c>
      <c r="BK3" s="4" t="s">
        <v>0</v>
      </c>
      <c r="BM3" s="4" t="s">
        <v>3</v>
      </c>
      <c r="BO3" s="4" t="s">
        <v>12</v>
      </c>
      <c r="BQ3" s="21" t="str" cm="1">
        <f t="array" ref="BQ3">IFERROR(((IF(BQ5&lt;&gt;"", BQ5*BI5, 0) + SUMPRODUCT(--(BQ6:BQ115&lt;&gt;""), BQ6:BQ115, (BI6:BI115-BI5:BI114)))/1000)/BP3, "")</f>
        <v/>
      </c>
      <c r="BR3" s="4" t="s">
        <v>13</v>
      </c>
      <c r="BT3" s="20" t="e" cm="1">
        <f t="array" ref="BT3">IF(BQ5="","",_xlfn.STDEV.P(IF(ISNUMBER(BQ5:BQ115), IF(BQ5:BQ115&lt;&gt;0,BQ5:BQ115))))</f>
        <v>#N/A</v>
      </c>
    </row>
    <row r="4" spans="1:72"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c r="Y4" s="2" t="s">
        <v>14</v>
      </c>
      <c r="Z4" s="2" t="s">
        <v>123</v>
      </c>
      <c r="AA4" s="2" t="s">
        <v>124</v>
      </c>
      <c r="AB4" s="2" t="s">
        <v>15</v>
      </c>
      <c r="AC4" s="2" t="s">
        <v>125</v>
      </c>
      <c r="AD4" s="2" t="s">
        <v>16</v>
      </c>
      <c r="AE4" s="2" t="s">
        <v>17</v>
      </c>
      <c r="AF4" s="2" t="s">
        <v>18</v>
      </c>
      <c r="AG4" s="2" t="s">
        <v>19</v>
      </c>
      <c r="AH4" s="2" t="s">
        <v>55</v>
      </c>
      <c r="AI4" s="2" t="s">
        <v>57</v>
      </c>
      <c r="AJ4" s="20" t="s">
        <v>126</v>
      </c>
      <c r="AK4" s="2" t="s">
        <v>14</v>
      </c>
      <c r="AL4" s="2" t="s">
        <v>123</v>
      </c>
      <c r="AM4" s="2" t="s">
        <v>124</v>
      </c>
      <c r="AN4" s="2" t="s">
        <v>15</v>
      </c>
      <c r="AO4" s="2" t="s">
        <v>125</v>
      </c>
      <c r="AP4" s="2" t="s">
        <v>16</v>
      </c>
      <c r="AQ4" s="2" t="s">
        <v>17</v>
      </c>
      <c r="AR4" s="2" t="s">
        <v>18</v>
      </c>
      <c r="AS4" s="2" t="s">
        <v>19</v>
      </c>
      <c r="AT4" s="2" t="s">
        <v>55</v>
      </c>
      <c r="AU4" s="2" t="s">
        <v>57</v>
      </c>
      <c r="AV4" s="20" t="s">
        <v>126</v>
      </c>
      <c r="AW4" s="2" t="s">
        <v>14</v>
      </c>
      <c r="AX4" s="2" t="s">
        <v>123</v>
      </c>
      <c r="AY4" s="2" t="s">
        <v>124</v>
      </c>
      <c r="AZ4" s="2" t="s">
        <v>15</v>
      </c>
      <c r="BA4" s="2" t="s">
        <v>125</v>
      </c>
      <c r="BB4" s="2" t="s">
        <v>16</v>
      </c>
      <c r="BC4" s="2" t="s">
        <v>17</v>
      </c>
      <c r="BD4" s="2" t="s">
        <v>18</v>
      </c>
      <c r="BE4" s="2" t="s">
        <v>19</v>
      </c>
      <c r="BF4" s="2" t="s">
        <v>55</v>
      </c>
      <c r="BG4" s="2" t="s">
        <v>57</v>
      </c>
      <c r="BH4" s="20" t="s">
        <v>126</v>
      </c>
      <c r="BI4" s="2" t="s">
        <v>14</v>
      </c>
      <c r="BJ4" s="2" t="s">
        <v>123</v>
      </c>
      <c r="BK4" s="2" t="s">
        <v>124</v>
      </c>
      <c r="BL4" s="2" t="s">
        <v>15</v>
      </c>
      <c r="BM4" s="2" t="s">
        <v>125</v>
      </c>
      <c r="BN4" s="2" t="s">
        <v>16</v>
      </c>
      <c r="BO4" s="2" t="s">
        <v>17</v>
      </c>
      <c r="BP4" s="2" t="s">
        <v>18</v>
      </c>
      <c r="BQ4" s="2" t="s">
        <v>19</v>
      </c>
      <c r="BR4" s="2" t="s">
        <v>55</v>
      </c>
      <c r="BS4" s="2" t="s">
        <v>57</v>
      </c>
      <c r="BT4" s="20" t="s">
        <v>126</v>
      </c>
    </row>
    <row r="5" spans="1:72" x14ac:dyDescent="0.25">
      <c r="A5" s="1">
        <v>5</v>
      </c>
      <c r="I5" s="1" t="e">
        <f>IF(C5="", NA(), (B5-C5)*1000/A5)</f>
        <v>#N/A</v>
      </c>
      <c r="J5" s="1" t="e">
        <f>IF(I5="","",I5/F$2/2.5)</f>
        <v>#N/A</v>
      </c>
      <c r="L5" s="8" t="e">
        <f>IF(I5="","", IFERROR(((IF(I$5&lt;&gt;"", I$5*A$5, 0))/1000)/H$3, ""))</f>
        <v>#N/A</v>
      </c>
      <c r="M5" s="1">
        <v>5</v>
      </c>
      <c r="U5" s="1" t="e">
        <f>IF(O5="", NA(), (N5-O5)*1000/M5)</f>
        <v>#N/A</v>
      </c>
      <c r="V5" s="1" t="e">
        <f>IF(U5="","",U5/R$2/2.5)</f>
        <v>#N/A</v>
      </c>
      <c r="X5" s="8" t="e">
        <f>IF(U5="","", IFERROR(((IF(U$5&lt;&gt;"", U$5*M$5, 0))/1000)/T$3, ""))</f>
        <v>#N/A</v>
      </c>
      <c r="Y5" s="1">
        <v>5</v>
      </c>
      <c r="AG5" s="1" t="e">
        <f>IF(AA5="", NA(), (Z5-AA5)*1000/Y5)</f>
        <v>#N/A</v>
      </c>
      <c r="AH5" s="1" t="e">
        <f>IF(AG5="","",AG5/AD$2/2.5)</f>
        <v>#N/A</v>
      </c>
      <c r="AJ5" s="8" t="e">
        <f>IF(AG5="","", IFERROR(((IF(AG$5&lt;&gt;"", AG$5*Y$5, 0))/1000)/AF$3, ""))</f>
        <v>#N/A</v>
      </c>
      <c r="AK5" s="1">
        <v>5</v>
      </c>
      <c r="AS5" s="1" t="e">
        <f>IF(AM5="", NA(), (AL5-AM5)*1000/AK5)</f>
        <v>#N/A</v>
      </c>
      <c r="AT5" s="1" t="e">
        <f>IF(AS5="","",AS5/AP$2/2.5)</f>
        <v>#N/A</v>
      </c>
      <c r="AV5" s="8" t="e">
        <f>IF(AS5="","", IFERROR(((IF(AS$5&lt;&gt;"", AS$5*AK$5, 0))/1000)/AR$3, ""))</f>
        <v>#N/A</v>
      </c>
      <c r="AW5" s="1">
        <v>5</v>
      </c>
      <c r="BE5" s="1" t="e">
        <f>IF(AY5="", NA(), (AX5-AY5)*1000/AW5)</f>
        <v>#N/A</v>
      </c>
      <c r="BF5" s="1" t="e">
        <f>IF(BE5="","",BE5/BB$2/2.5)</f>
        <v>#N/A</v>
      </c>
      <c r="BH5" s="8" t="e">
        <f>IF(BE5="","", IFERROR(((IF(BE$5&lt;&gt;"", BE$5*AW$5, 0))/1000)/BD$3, ""))</f>
        <v>#N/A</v>
      </c>
      <c r="BI5" s="1">
        <v>5</v>
      </c>
      <c r="BQ5" s="1" t="e">
        <f>IF(BK5="", NA(), (BJ5-BK5)*1000/BI5)</f>
        <v>#N/A</v>
      </c>
      <c r="BR5" s="1" t="e">
        <f>IF(BQ5="","",BQ5/BN$2/2.5)</f>
        <v>#N/A</v>
      </c>
      <c r="BT5" s="8" t="e">
        <f>IF(BQ5="","", IFERROR(((IF(BQ$5&lt;&gt;"", BQ$5*BI$5, 0))/1000)/BP$3, ""))</f>
        <v>#N/A</v>
      </c>
    </row>
    <row r="6" spans="1:72" x14ac:dyDescent="0.25">
      <c r="A6" s="1">
        <f>A5+5</f>
        <v>10</v>
      </c>
      <c r="B6" s="1">
        <f t="shared" ref="B6:B9" si="0">C5</f>
        <v>0</v>
      </c>
      <c r="I6" s="1" t="e">
        <f>IF(C6="", NA(), (B6-C6)*1000/(A6-A5))</f>
        <v>#N/A</v>
      </c>
      <c r="J6" s="1" t="e">
        <f t="shared" ref="J6:J9" si="1">IF(I6="","",I6/F$2/2.5)</f>
        <v>#N/A</v>
      </c>
      <c r="K6" s="1" t="e">
        <f>IF(I6="","", 100*_xlfn.STDEV.P(I5:I6)/AVERAGE(I5:I6))</f>
        <v>#N/A</v>
      </c>
      <c r="L6" s="8" t="e" cm="1">
        <f t="array" ref="L6">IF(I6="","", IFERROR(((IF(I$5&lt;&gt;"", I$5*A$5, 0) + SUMPRODUCT(--(I$6:I6&lt;&gt;""), I$6:I6, (A$6:A6-A$5:A5)))/1000)/H$3, ""))</f>
        <v>#N/A</v>
      </c>
      <c r="M6" s="1">
        <f>M5+5</f>
        <v>10</v>
      </c>
      <c r="N6" s="1">
        <f>O5</f>
        <v>0</v>
      </c>
      <c r="U6" s="1" t="e">
        <f>IF(O6="", NA(), (N6-O6)*1000/(M6-M5))</f>
        <v>#N/A</v>
      </c>
      <c r="V6" s="1" t="e">
        <f t="shared" ref="V6:V9" si="2">IF(U6="","",U6/R$2/2.5)</f>
        <v>#N/A</v>
      </c>
      <c r="W6" s="1" t="e">
        <f>IF(U6="","", 100*_xlfn.STDEV.P(U5:U6)/AVERAGE(U5:U6))</f>
        <v>#N/A</v>
      </c>
      <c r="X6" s="8" t="e" cm="1">
        <f t="array" ref="X6">IF(U6="","", IFERROR(((IF(U$5&lt;&gt;"", U$5*M$5, 0) + SUMPRODUCT(--(U$6:U6&lt;&gt;""), U$6:U6, (M$6:M6-M$5:M5)))/1000)/T$3, ""))</f>
        <v>#N/A</v>
      </c>
      <c r="Y6" s="1">
        <f>Y5+5</f>
        <v>10</v>
      </c>
      <c r="Z6" s="1">
        <f t="shared" ref="Z6:Z9" si="3">AA5</f>
        <v>0</v>
      </c>
      <c r="AG6" s="1" t="e">
        <f>IF(AA6="", NA(), (Z6-AA6)*1000/(Y6-Y5))</f>
        <v>#N/A</v>
      </c>
      <c r="AH6" s="1" t="e">
        <f t="shared" ref="AH6:AH9" si="4">IF(AG6="","",AG6/AD$2/2.5)</f>
        <v>#N/A</v>
      </c>
      <c r="AI6" s="1" t="e">
        <f>IF(AG6="","", 100*_xlfn.STDEV.P(AG5:AG6)/AVERAGE(AG5:AG6))</f>
        <v>#N/A</v>
      </c>
      <c r="AJ6" s="8" t="e" cm="1">
        <f t="array" ref="AJ6">IF(AG6="","", IFERROR(((IF(AG$5&lt;&gt;"", AG$5*Y$5, 0) + SUMPRODUCT(--(AG$6:AG6&lt;&gt;""), AG$6:AG6, (Y$6:Y6-Y$5:Y5)))/1000)/AF$3, ""))</f>
        <v>#N/A</v>
      </c>
      <c r="AK6" s="1">
        <f>AK5+5</f>
        <v>10</v>
      </c>
      <c r="AL6" s="1">
        <f>AM5</f>
        <v>0</v>
      </c>
      <c r="AS6" s="1" t="e">
        <f>IF(AM6="", NA(), (AL6-AM6)*1000/(AK6-AK5))</f>
        <v>#N/A</v>
      </c>
      <c r="AT6" s="1" t="e">
        <f t="shared" ref="AT6:AT9" si="5">IF(AS6="","",AS6/AP$2/2.5)</f>
        <v>#N/A</v>
      </c>
      <c r="AU6" s="1" t="e">
        <f>IF(AS6="","", 100*_xlfn.STDEV.P(AS5:AS6)/AVERAGE(AS5:AS6))</f>
        <v>#N/A</v>
      </c>
      <c r="AV6" s="8" t="e" cm="1">
        <f t="array" ref="AV6">IF(AS6="","", IFERROR(((IF(AS$5&lt;&gt;"", AS$5*AK$5, 0) + SUMPRODUCT(--(AS$6:AS6&lt;&gt;""), AS$6:AS6, (AK$6:AK6-AK$5:AK5)))/1000)/AR$3, ""))</f>
        <v>#N/A</v>
      </c>
      <c r="AW6" s="1">
        <f>AW5+5</f>
        <v>10</v>
      </c>
      <c r="AX6" s="1">
        <f t="shared" ref="AX6:AX9" si="6">AY5</f>
        <v>0</v>
      </c>
      <c r="BE6" s="1" t="e">
        <f>IF(AY6="", NA(), (AX6-AY6)*1000/(AW6-AW5))</f>
        <v>#N/A</v>
      </c>
      <c r="BF6" s="1" t="e">
        <f t="shared" ref="BF6:BF9" si="7">IF(BE6="","",BE6/BB$2/2.5)</f>
        <v>#N/A</v>
      </c>
      <c r="BG6" s="1" t="e">
        <f>IF(BE6="","", 100*_xlfn.STDEV.P(BE5:BE6)/AVERAGE(BE5:BE6))</f>
        <v>#N/A</v>
      </c>
      <c r="BH6" s="8" t="e" cm="1">
        <f t="array" ref="BH6">IF(BE6="","", IFERROR(((IF(BE$5&lt;&gt;"", BE$5*AW$5, 0) + SUMPRODUCT(--(BE$6:BE6&lt;&gt;""), BE$6:BE6, (AW$6:AW6-AW$5:AW5)))/1000)/BD$3, ""))</f>
        <v>#N/A</v>
      </c>
      <c r="BI6" s="1">
        <f>BI5+5</f>
        <v>10</v>
      </c>
      <c r="BJ6" s="1">
        <f>BK5</f>
        <v>0</v>
      </c>
      <c r="BQ6" s="1" t="e">
        <f>IF(BK6="", NA(), (BJ6-BK6)*1000/(BI6-BI5))</f>
        <v>#N/A</v>
      </c>
      <c r="BR6" s="1" t="e">
        <f t="shared" ref="BR6:BR9" si="8">IF(BQ6="","",BQ6/BN$2/2.5)</f>
        <v>#N/A</v>
      </c>
      <c r="BS6" s="1" t="e">
        <f>IF(BQ6="","", 100*_xlfn.STDEV.P(BQ5:BQ6)/AVERAGE(BQ5:BQ6))</f>
        <v>#N/A</v>
      </c>
      <c r="BT6" s="8" t="e" cm="1">
        <f t="array" ref="BT6">IF(BQ6="","", IFERROR(((IF(BQ$5&lt;&gt;"", BQ$5*BI$5, 0) + SUMPRODUCT(--(BQ$6:BQ6&lt;&gt;""), BQ$6:BQ6, (BI$6:BI6-BI$5:BI5)))/1000)/BP$3, ""))</f>
        <v>#N/A</v>
      </c>
    </row>
    <row r="7" spans="1:72" x14ac:dyDescent="0.25">
      <c r="A7" s="1">
        <f t="shared" ref="A7:A9" si="9">A6+5</f>
        <v>15</v>
      </c>
      <c r="B7" s="1">
        <f t="shared" si="0"/>
        <v>0</v>
      </c>
      <c r="I7" s="1" t="e">
        <f t="shared" ref="I7:I9" si="10">IF(C7="", NA(), (B7-C7)*1000/(A7-A6))</f>
        <v>#N/A</v>
      </c>
      <c r="J7" s="1" t="e">
        <f t="shared" si="1"/>
        <v>#N/A</v>
      </c>
      <c r="K7" s="1" t="e">
        <f t="shared" ref="K7:K9" si="11">IF(I7="","", 100*_xlfn.STDEV.P(I6:I7)/AVERAGE(I6:I7))</f>
        <v>#N/A</v>
      </c>
      <c r="L7" s="8" t="e" cm="1">
        <f t="array" ref="L7">IF(I7="","", IFERROR(((IF(I$5&lt;&gt;"", I$5*A$5, 0) + SUMPRODUCT(--(I$6:I7&lt;&gt;""), I$6:I7, (A$6:A7-A$5:A6)))/1000)/H$3, ""))</f>
        <v>#N/A</v>
      </c>
      <c r="M7" s="1">
        <f t="shared" ref="M7:M9" si="12">M6+5</f>
        <v>15</v>
      </c>
      <c r="N7" s="1">
        <f t="shared" ref="N7:N9" si="13">O6</f>
        <v>0</v>
      </c>
      <c r="U7" s="1" t="e">
        <f t="shared" ref="U7:U9" si="14">IF(O7="", NA(), (N7-O7)*1000/(M7-M6))</f>
        <v>#N/A</v>
      </c>
      <c r="V7" s="1" t="e">
        <f t="shared" si="2"/>
        <v>#N/A</v>
      </c>
      <c r="W7" s="1" t="e">
        <f t="shared" ref="W7:W9" si="15">IF(U7="","", 100*_xlfn.STDEV.P(U6:U7)/AVERAGE(U6:U7))</f>
        <v>#N/A</v>
      </c>
      <c r="X7" s="8" t="e" cm="1">
        <f t="array" ref="X7">IF(U7="","", IFERROR(((IF(U$5&lt;&gt;"", U$5*M$5, 0) + SUMPRODUCT(--(U$6:U7&lt;&gt;""), U$6:U7, (M$6:M7-M$5:M6)))/1000)/T$3, ""))</f>
        <v>#N/A</v>
      </c>
      <c r="Y7" s="1">
        <f t="shared" ref="Y7:Y9" si="16">Y6+5</f>
        <v>15</v>
      </c>
      <c r="Z7" s="1">
        <f t="shared" si="3"/>
        <v>0</v>
      </c>
      <c r="AG7" s="1" t="e">
        <f t="shared" ref="AG7:AG9" si="17">IF(AA7="", NA(), (Z7-AA7)*1000/(Y7-Y6))</f>
        <v>#N/A</v>
      </c>
      <c r="AH7" s="1" t="e">
        <f t="shared" si="4"/>
        <v>#N/A</v>
      </c>
      <c r="AI7" s="1" t="e">
        <f t="shared" ref="AI7:AI9" si="18">IF(AG7="","", 100*_xlfn.STDEV.P(AG6:AG7)/AVERAGE(AG6:AG7))</f>
        <v>#N/A</v>
      </c>
      <c r="AJ7" s="8" t="e" cm="1">
        <f t="array" ref="AJ7">IF(AG7="","", IFERROR(((IF(AG$5&lt;&gt;"", AG$5*Y$5, 0) + SUMPRODUCT(--(AG$6:AG7&lt;&gt;""), AG$6:AG7, (Y$6:Y7-Y$5:Y6)))/1000)/AF$3, ""))</f>
        <v>#N/A</v>
      </c>
      <c r="AK7" s="1">
        <f t="shared" ref="AK7:AK9" si="19">AK6+5</f>
        <v>15</v>
      </c>
      <c r="AL7" s="1">
        <f t="shared" ref="AL7:AL9" si="20">AM6</f>
        <v>0</v>
      </c>
      <c r="AS7" s="1" t="e">
        <f t="shared" ref="AS7:AS9" si="21">IF(AM7="", NA(), (AL7-AM7)*1000/(AK7-AK6))</f>
        <v>#N/A</v>
      </c>
      <c r="AT7" s="1" t="e">
        <f t="shared" si="5"/>
        <v>#N/A</v>
      </c>
      <c r="AU7" s="1" t="e">
        <f t="shared" ref="AU7:AU9" si="22">IF(AS7="","", 100*_xlfn.STDEV.P(AS6:AS7)/AVERAGE(AS6:AS7))</f>
        <v>#N/A</v>
      </c>
      <c r="AV7" s="8" t="e" cm="1">
        <f t="array" ref="AV7">IF(AS7="","", IFERROR(((IF(AS$5&lt;&gt;"", AS$5*AK$5, 0) + SUMPRODUCT(--(AS$6:AS7&lt;&gt;""), AS$6:AS7, (AK$6:AK7-AK$5:AK6)))/1000)/AR$3, ""))</f>
        <v>#N/A</v>
      </c>
      <c r="AW7" s="1">
        <f t="shared" ref="AW7:AW9" si="23">AW6+5</f>
        <v>15</v>
      </c>
      <c r="AX7" s="1">
        <f t="shared" si="6"/>
        <v>0</v>
      </c>
      <c r="BE7" s="1" t="e">
        <f t="shared" ref="BE7:BE9" si="24">IF(AY7="", NA(), (AX7-AY7)*1000/(AW7-AW6))</f>
        <v>#N/A</v>
      </c>
      <c r="BF7" s="1" t="e">
        <f t="shared" si="7"/>
        <v>#N/A</v>
      </c>
      <c r="BG7" s="1" t="e">
        <f t="shared" ref="BG7:BG9" si="25">IF(BE7="","", 100*_xlfn.STDEV.P(BE6:BE7)/AVERAGE(BE6:BE7))</f>
        <v>#N/A</v>
      </c>
      <c r="BH7" s="8" t="e" cm="1">
        <f t="array" ref="BH7">IF(BE7="","", IFERROR(((IF(BE$5&lt;&gt;"", BE$5*AW$5, 0) + SUMPRODUCT(--(BE$6:BE7&lt;&gt;""), BE$6:BE7, (AW$6:AW7-AW$5:AW6)))/1000)/BD$3, ""))</f>
        <v>#N/A</v>
      </c>
      <c r="BI7" s="1">
        <f t="shared" ref="BI7:BI9" si="26">BI6+5</f>
        <v>15</v>
      </c>
      <c r="BJ7" s="1">
        <f t="shared" ref="BJ7:BJ9" si="27">BK6</f>
        <v>0</v>
      </c>
      <c r="BQ7" s="1" t="e">
        <f t="shared" ref="BQ7:BQ9" si="28">IF(BK7="", NA(), (BJ7-BK7)*1000/(BI7-BI6))</f>
        <v>#N/A</v>
      </c>
      <c r="BR7" s="1" t="e">
        <f t="shared" si="8"/>
        <v>#N/A</v>
      </c>
      <c r="BS7" s="1" t="e">
        <f t="shared" ref="BS7:BS9" si="29">IF(BQ7="","", 100*_xlfn.STDEV.P(BQ6:BQ7)/AVERAGE(BQ6:BQ7))</f>
        <v>#N/A</v>
      </c>
      <c r="BT7" s="8" t="e" cm="1">
        <f t="array" ref="BT7">IF(BQ7="","", IFERROR(((IF(BQ$5&lt;&gt;"", BQ$5*BI$5, 0) + SUMPRODUCT(--(BQ$6:BQ7&lt;&gt;""), BQ$6:BQ7, (BI$6:BI7-BI$5:BI6)))/1000)/BP$3, ""))</f>
        <v>#N/A</v>
      </c>
    </row>
    <row r="8" spans="1:72" x14ac:dyDescent="0.25">
      <c r="A8" s="1">
        <f t="shared" si="9"/>
        <v>20</v>
      </c>
      <c r="B8" s="1">
        <f t="shared" si="0"/>
        <v>0</v>
      </c>
      <c r="I8" s="1" t="e">
        <f t="shared" si="10"/>
        <v>#N/A</v>
      </c>
      <c r="J8" s="1" t="e">
        <f t="shared" si="1"/>
        <v>#N/A</v>
      </c>
      <c r="K8" s="1" t="e">
        <f t="shared" si="11"/>
        <v>#N/A</v>
      </c>
      <c r="L8" s="8" t="e" cm="1">
        <f t="array" ref="L8">IF(I8="","", IFERROR(((IF(I$5&lt;&gt;"", I$5*A$5, 0) + SUMPRODUCT(--(I$6:I8&lt;&gt;""), I$6:I8, (A$6:A8-A$5:A7)))/1000)/H$3, ""))</f>
        <v>#N/A</v>
      </c>
      <c r="M8" s="1">
        <f t="shared" si="12"/>
        <v>20</v>
      </c>
      <c r="N8" s="1">
        <f t="shared" si="13"/>
        <v>0</v>
      </c>
      <c r="U8" s="1" t="e">
        <f t="shared" si="14"/>
        <v>#N/A</v>
      </c>
      <c r="V8" s="1" t="e">
        <f t="shared" si="2"/>
        <v>#N/A</v>
      </c>
      <c r="W8" s="1" t="e">
        <f t="shared" si="15"/>
        <v>#N/A</v>
      </c>
      <c r="X8" s="8" t="e" cm="1">
        <f t="array" ref="X8">IF(U8="","", IFERROR(((IF(U$5&lt;&gt;"", U$5*M$5, 0) + SUMPRODUCT(--(U$6:U8&lt;&gt;""), U$6:U8, (M$6:M8-M$5:M7)))/1000)/T$3, ""))</f>
        <v>#N/A</v>
      </c>
      <c r="Y8" s="1">
        <f t="shared" si="16"/>
        <v>20</v>
      </c>
      <c r="Z8" s="1">
        <f t="shared" si="3"/>
        <v>0</v>
      </c>
      <c r="AG8" s="1" t="e">
        <f t="shared" si="17"/>
        <v>#N/A</v>
      </c>
      <c r="AH8" s="1" t="e">
        <f t="shared" si="4"/>
        <v>#N/A</v>
      </c>
      <c r="AI8" s="1" t="e">
        <f t="shared" si="18"/>
        <v>#N/A</v>
      </c>
      <c r="AJ8" s="8" t="e" cm="1">
        <f t="array" ref="AJ8">IF(AG8="","", IFERROR(((IF(AG$5&lt;&gt;"", AG$5*Y$5, 0) + SUMPRODUCT(--(AG$6:AG8&lt;&gt;""), AG$6:AG8, (Y$6:Y8-Y$5:Y7)))/1000)/AF$3, ""))</f>
        <v>#N/A</v>
      </c>
      <c r="AK8" s="1">
        <f t="shared" si="19"/>
        <v>20</v>
      </c>
      <c r="AL8" s="1">
        <f t="shared" si="20"/>
        <v>0</v>
      </c>
      <c r="AS8" s="1" t="e">
        <f t="shared" si="21"/>
        <v>#N/A</v>
      </c>
      <c r="AT8" s="1" t="e">
        <f t="shared" si="5"/>
        <v>#N/A</v>
      </c>
      <c r="AU8" s="1" t="e">
        <f t="shared" si="22"/>
        <v>#N/A</v>
      </c>
      <c r="AV8" s="8" t="e" cm="1">
        <f t="array" ref="AV8">IF(AS8="","", IFERROR(((IF(AS$5&lt;&gt;"", AS$5*AK$5, 0) + SUMPRODUCT(--(AS$6:AS8&lt;&gt;""), AS$6:AS8, (AK$6:AK8-AK$5:AK7)))/1000)/AR$3, ""))</f>
        <v>#N/A</v>
      </c>
      <c r="AW8" s="1">
        <f t="shared" si="23"/>
        <v>20</v>
      </c>
      <c r="AX8" s="1">
        <f t="shared" si="6"/>
        <v>0</v>
      </c>
      <c r="BE8" s="1" t="e">
        <f t="shared" si="24"/>
        <v>#N/A</v>
      </c>
      <c r="BF8" s="1" t="e">
        <f t="shared" si="7"/>
        <v>#N/A</v>
      </c>
      <c r="BG8" s="1" t="e">
        <f t="shared" si="25"/>
        <v>#N/A</v>
      </c>
      <c r="BH8" s="8" t="e" cm="1">
        <f t="array" ref="BH8">IF(BE8="","", IFERROR(((IF(BE$5&lt;&gt;"", BE$5*AW$5, 0) + SUMPRODUCT(--(BE$6:BE8&lt;&gt;""), BE$6:BE8, (AW$6:AW8-AW$5:AW7)))/1000)/BD$3, ""))</f>
        <v>#N/A</v>
      </c>
      <c r="BI8" s="1">
        <f t="shared" si="26"/>
        <v>20</v>
      </c>
      <c r="BJ8" s="1">
        <f t="shared" si="27"/>
        <v>0</v>
      </c>
      <c r="BQ8" s="1" t="e">
        <f t="shared" si="28"/>
        <v>#N/A</v>
      </c>
      <c r="BR8" s="1" t="e">
        <f t="shared" si="8"/>
        <v>#N/A</v>
      </c>
      <c r="BS8" s="1" t="e">
        <f t="shared" si="29"/>
        <v>#N/A</v>
      </c>
      <c r="BT8" s="8" t="e" cm="1">
        <f t="array" ref="BT8">IF(BQ8="","", IFERROR(((IF(BQ$5&lt;&gt;"", BQ$5*BI$5, 0) + SUMPRODUCT(--(BQ$6:BQ8&lt;&gt;""), BQ$6:BQ8, (BI$6:BI8-BI$5:BI7)))/1000)/BP$3, ""))</f>
        <v>#N/A</v>
      </c>
    </row>
    <row r="9" spans="1:72" x14ac:dyDescent="0.25">
      <c r="A9" s="1">
        <f t="shared" si="9"/>
        <v>25</v>
      </c>
      <c r="B9" s="1">
        <f t="shared" si="0"/>
        <v>0</v>
      </c>
      <c r="I9" s="1" t="e">
        <f t="shared" si="10"/>
        <v>#N/A</v>
      </c>
      <c r="J9" s="1" t="e">
        <f t="shared" si="1"/>
        <v>#N/A</v>
      </c>
      <c r="K9" s="1" t="e">
        <f t="shared" si="11"/>
        <v>#N/A</v>
      </c>
      <c r="L9" s="8" t="e" cm="1">
        <f t="array" ref="L9">IF(I9="","", IFERROR(((IF(I$5&lt;&gt;"", I$5*A$5, 0) + SUMPRODUCT(--(I$6:I9&lt;&gt;""), I$6:I9, (A$6:A9-A$5:A8)))/1000)/H$3, ""))</f>
        <v>#N/A</v>
      </c>
      <c r="M9" s="1">
        <f t="shared" si="12"/>
        <v>25</v>
      </c>
      <c r="N9" s="1">
        <f t="shared" si="13"/>
        <v>0</v>
      </c>
      <c r="U9" s="1" t="e">
        <f t="shared" si="14"/>
        <v>#N/A</v>
      </c>
      <c r="V9" s="1" t="e">
        <f t="shared" si="2"/>
        <v>#N/A</v>
      </c>
      <c r="W9" s="1" t="e">
        <f t="shared" si="15"/>
        <v>#N/A</v>
      </c>
      <c r="X9" s="8" t="e" cm="1">
        <f t="array" ref="X9">IF(U9="","", IFERROR(((IF(U$5&lt;&gt;"", U$5*M$5, 0) + SUMPRODUCT(--(U$6:U9&lt;&gt;""), U$6:U9, (M$6:M9-M$5:M8)))/1000)/T$3, ""))</f>
        <v>#N/A</v>
      </c>
      <c r="Y9" s="1">
        <f t="shared" si="16"/>
        <v>25</v>
      </c>
      <c r="Z9" s="1">
        <f t="shared" si="3"/>
        <v>0</v>
      </c>
      <c r="AG9" s="1" t="e">
        <f t="shared" si="17"/>
        <v>#N/A</v>
      </c>
      <c r="AH9" s="1" t="e">
        <f t="shared" si="4"/>
        <v>#N/A</v>
      </c>
      <c r="AI9" s="1" t="e">
        <f t="shared" si="18"/>
        <v>#N/A</v>
      </c>
      <c r="AJ9" s="8" t="e" cm="1">
        <f t="array" ref="AJ9">IF(AG9="","", IFERROR(((IF(AG$5&lt;&gt;"", AG$5*Y$5, 0) + SUMPRODUCT(--(AG$6:AG9&lt;&gt;""), AG$6:AG9, (Y$6:Y9-Y$5:Y8)))/1000)/AF$3, ""))</f>
        <v>#N/A</v>
      </c>
      <c r="AK9" s="1">
        <f t="shared" si="19"/>
        <v>25</v>
      </c>
      <c r="AL9" s="1">
        <f t="shared" si="20"/>
        <v>0</v>
      </c>
      <c r="AS9" s="1" t="e">
        <f t="shared" si="21"/>
        <v>#N/A</v>
      </c>
      <c r="AT9" s="1" t="e">
        <f t="shared" si="5"/>
        <v>#N/A</v>
      </c>
      <c r="AU9" s="1" t="e">
        <f t="shared" si="22"/>
        <v>#N/A</v>
      </c>
      <c r="AV9" s="8" t="e" cm="1">
        <f t="array" ref="AV9">IF(AS9="","", IFERROR(((IF(AS$5&lt;&gt;"", AS$5*AK$5, 0) + SUMPRODUCT(--(AS$6:AS9&lt;&gt;""), AS$6:AS9, (AK$6:AK9-AK$5:AK8)))/1000)/AR$3, ""))</f>
        <v>#N/A</v>
      </c>
      <c r="AW9" s="1">
        <f t="shared" si="23"/>
        <v>25</v>
      </c>
      <c r="AX9" s="1">
        <f t="shared" si="6"/>
        <v>0</v>
      </c>
      <c r="BE9" s="1" t="e">
        <f t="shared" si="24"/>
        <v>#N/A</v>
      </c>
      <c r="BF9" s="1" t="e">
        <f t="shared" si="7"/>
        <v>#N/A</v>
      </c>
      <c r="BG9" s="1" t="e">
        <f t="shared" si="25"/>
        <v>#N/A</v>
      </c>
      <c r="BH9" s="8" t="e" cm="1">
        <f t="array" ref="BH9">IF(BE9="","", IFERROR(((IF(BE$5&lt;&gt;"", BE$5*AW$5, 0) + SUMPRODUCT(--(BE$6:BE9&lt;&gt;""), BE$6:BE9, (AW$6:AW9-AW$5:AW8)))/1000)/BD$3, ""))</f>
        <v>#N/A</v>
      </c>
      <c r="BI9" s="1">
        <f t="shared" si="26"/>
        <v>25</v>
      </c>
      <c r="BJ9" s="1">
        <f t="shared" si="27"/>
        <v>0</v>
      </c>
      <c r="BQ9" s="1" t="e">
        <f t="shared" si="28"/>
        <v>#N/A</v>
      </c>
      <c r="BR9" s="1" t="e">
        <f t="shared" si="8"/>
        <v>#N/A</v>
      </c>
      <c r="BS9" s="1" t="e">
        <f t="shared" si="29"/>
        <v>#N/A</v>
      </c>
      <c r="BT9" s="8" t="e" cm="1">
        <f t="array" ref="BT9">IF(BQ9="","", IFERROR(((IF(BQ$5&lt;&gt;"", BQ$5*BI$5, 0) + SUMPRODUCT(--(BQ$6:BQ9&lt;&gt;""), BQ$6:BQ9, (BI$6:BI9-BI$5:BI8)))/1000)/BP$3, ""))</f>
        <v>#N/A</v>
      </c>
    </row>
    <row r="10" spans="1:72" x14ac:dyDescent="0.25">
      <c r="L10" s="8"/>
      <c r="X10" s="8"/>
      <c r="AJ10" s="8"/>
      <c r="AV10" s="8"/>
      <c r="BH10" s="8"/>
      <c r="BT10" s="8"/>
    </row>
    <row r="11" spans="1:72" x14ac:dyDescent="0.25">
      <c r="L11" s="8"/>
      <c r="X11" s="8"/>
      <c r="AJ11" s="8"/>
      <c r="AV11" s="8"/>
      <c r="BH11" s="8"/>
      <c r="BT11" s="8"/>
    </row>
    <row r="12" spans="1:72" x14ac:dyDescent="0.25">
      <c r="L12" s="8"/>
      <c r="X12" s="8"/>
      <c r="AJ12" s="8"/>
      <c r="AV12" s="8"/>
      <c r="BH12" s="8"/>
      <c r="BT12" s="8"/>
    </row>
    <row r="13" spans="1:72" x14ac:dyDescent="0.25">
      <c r="L13" s="8"/>
      <c r="X13" s="8"/>
      <c r="AJ13" s="8"/>
      <c r="AV13" s="8"/>
      <c r="BH13" s="8"/>
      <c r="BT13" s="8"/>
    </row>
    <row r="14" spans="1:72" x14ac:dyDescent="0.25">
      <c r="L14" s="8"/>
      <c r="X14" s="8"/>
      <c r="AJ14" s="8"/>
      <c r="AV14" s="8"/>
      <c r="BH14" s="8"/>
      <c r="BT14" s="8"/>
    </row>
    <row r="15" spans="1:72" x14ac:dyDescent="0.25">
      <c r="L15" s="8"/>
      <c r="X15" s="8"/>
      <c r="AJ15" s="8"/>
      <c r="AV15" s="8"/>
      <c r="BH15" s="8"/>
      <c r="BT15" s="8"/>
    </row>
    <row r="16" spans="1:72" x14ac:dyDescent="0.25">
      <c r="L16" s="8"/>
      <c r="X16" s="8"/>
      <c r="AJ16" s="8"/>
      <c r="AV16" s="8"/>
      <c r="BH16" s="8"/>
      <c r="BT16" s="8"/>
    </row>
    <row r="17" spans="6:72" x14ac:dyDescent="0.25">
      <c r="L17" s="8"/>
      <c r="X17" s="8"/>
      <c r="AJ17" s="8"/>
      <c r="AV17" s="8"/>
      <c r="BH17" s="8"/>
      <c r="BT17" s="8"/>
    </row>
    <row r="18" spans="6:72" x14ac:dyDescent="0.25">
      <c r="L18" s="8"/>
      <c r="X18" s="8"/>
      <c r="AJ18" s="8"/>
      <c r="AV18" s="8"/>
      <c r="BH18" s="8"/>
      <c r="BT18" s="8"/>
    </row>
    <row r="19" spans="6:72" x14ac:dyDescent="0.25">
      <c r="L19" s="8"/>
      <c r="X19" s="8"/>
      <c r="AJ19" s="8"/>
      <c r="AV19" s="8"/>
      <c r="BH19" s="8"/>
      <c r="BT19" s="8"/>
    </row>
    <row r="20" spans="6:72" x14ac:dyDescent="0.25">
      <c r="L20" s="8"/>
      <c r="X20" s="8"/>
      <c r="AJ20" s="8"/>
      <c r="AV20" s="8"/>
      <c r="BH20" s="8"/>
      <c r="BT20" s="8"/>
    </row>
    <row r="21" spans="6:72" x14ac:dyDescent="0.25">
      <c r="L21" s="8"/>
      <c r="X21" s="8"/>
      <c r="AJ21" s="8"/>
      <c r="AV21" s="8"/>
      <c r="BH21" s="8"/>
      <c r="BT21" s="8"/>
    </row>
    <row r="22" spans="6:72" x14ac:dyDescent="0.25">
      <c r="L22" s="8"/>
      <c r="X22" s="8"/>
      <c r="AJ22" s="8"/>
      <c r="AV22" s="8"/>
      <c r="BH22" s="8"/>
      <c r="BT22" s="8"/>
    </row>
    <row r="23" spans="6:72" x14ac:dyDescent="0.25">
      <c r="L23" s="8"/>
      <c r="X23" s="8"/>
      <c r="AJ23" s="8"/>
      <c r="AV23" s="8"/>
      <c r="BH23" s="8"/>
      <c r="BT23" s="8"/>
    </row>
    <row r="24" spans="6:72" x14ac:dyDescent="0.25">
      <c r="L24" s="8"/>
      <c r="X24" s="8"/>
      <c r="AJ24" s="8"/>
      <c r="AV24" s="8"/>
      <c r="BH24" s="8"/>
      <c r="BT24" s="8"/>
    </row>
    <row r="25" spans="6:72" x14ac:dyDescent="0.25">
      <c r="L25" s="8"/>
      <c r="X25" s="8"/>
      <c r="AJ25" s="8"/>
      <c r="AV25" s="8"/>
      <c r="BH25" s="8"/>
      <c r="BT25" s="8"/>
    </row>
    <row r="26" spans="6:72" x14ac:dyDescent="0.25">
      <c r="L26" s="8"/>
      <c r="X26" s="8"/>
      <c r="AJ26" s="8"/>
      <c r="AV26" s="8"/>
      <c r="BH26" s="8"/>
      <c r="BT26" s="8"/>
    </row>
    <row r="27" spans="6:72" x14ac:dyDescent="0.25">
      <c r="L27" s="8"/>
      <c r="X27" s="8"/>
      <c r="AJ27" s="8"/>
      <c r="AV27" s="8"/>
      <c r="BH27" s="8"/>
      <c r="BT27" s="8"/>
    </row>
    <row r="28" spans="6:72" x14ac:dyDescent="0.25">
      <c r="L28" s="8"/>
      <c r="X28" s="8"/>
      <c r="AJ28" s="8"/>
      <c r="AV28" s="8"/>
      <c r="BH28" s="8"/>
      <c r="BT28" s="8"/>
    </row>
    <row r="29" spans="6:72" x14ac:dyDescent="0.25">
      <c r="F29" s="9"/>
      <c r="G29" s="9"/>
      <c r="H29" s="9"/>
      <c r="L29" s="8"/>
      <c r="R29" s="9"/>
      <c r="S29" s="9"/>
      <c r="T29" s="9"/>
      <c r="X29" s="8"/>
      <c r="AD29" s="9"/>
      <c r="AE29" s="9"/>
      <c r="AF29" s="9"/>
      <c r="AJ29" s="8"/>
      <c r="AP29" s="9"/>
      <c r="AQ29" s="9"/>
      <c r="AR29" s="9"/>
      <c r="AV29" s="8"/>
      <c r="BB29" s="9"/>
      <c r="BC29" s="9"/>
      <c r="BD29" s="9"/>
      <c r="BH29" s="8"/>
      <c r="BN29" s="9"/>
      <c r="BO29" s="9"/>
      <c r="BP29" s="9"/>
      <c r="BT29" s="8"/>
    </row>
    <row r="30" spans="6:72" x14ac:dyDescent="0.25">
      <c r="L30" s="8"/>
      <c r="X30" s="8"/>
      <c r="AJ30" s="8"/>
      <c r="AV30" s="8"/>
      <c r="BH30" s="8"/>
      <c r="BT30" s="8"/>
    </row>
    <row r="31" spans="6:72" x14ac:dyDescent="0.25">
      <c r="L31" s="8"/>
      <c r="X31" s="8"/>
      <c r="AJ31" s="8"/>
      <c r="AV31" s="8"/>
      <c r="BH31" s="8"/>
      <c r="BT31" s="8"/>
    </row>
    <row r="32" spans="6:72" x14ac:dyDescent="0.25">
      <c r="L32" s="8"/>
      <c r="X32" s="8"/>
      <c r="AJ32" s="8"/>
      <c r="AV32" s="8"/>
      <c r="BH32" s="8"/>
      <c r="BT32" s="8"/>
    </row>
    <row r="33" spans="12:72" x14ac:dyDescent="0.25">
      <c r="L33" s="8"/>
      <c r="X33" s="8"/>
      <c r="AJ33" s="8"/>
      <c r="AV33" s="8"/>
      <c r="BH33" s="8"/>
      <c r="BT33" s="8"/>
    </row>
    <row r="34" spans="12:72" x14ac:dyDescent="0.25">
      <c r="L34" s="8"/>
      <c r="X34" s="8"/>
      <c r="AJ34" s="8"/>
      <c r="AV34" s="8"/>
      <c r="BH34" s="8"/>
      <c r="BT34" s="8"/>
    </row>
    <row r="35" spans="12:72" x14ac:dyDescent="0.25">
      <c r="L35" s="8"/>
      <c r="X35" s="8"/>
      <c r="AJ35" s="8"/>
      <c r="AV35" s="8"/>
      <c r="BH35" s="8"/>
      <c r="BT35" s="8"/>
    </row>
    <row r="36" spans="12:72" x14ac:dyDescent="0.25">
      <c r="L36" s="8"/>
      <c r="X36" s="8"/>
      <c r="AJ36" s="8"/>
      <c r="AV36" s="8"/>
      <c r="BH36" s="8"/>
      <c r="BT36" s="8"/>
    </row>
    <row r="37" spans="12:72" x14ac:dyDescent="0.25">
      <c r="L37" s="8"/>
      <c r="X37" s="8"/>
      <c r="AJ37" s="8"/>
      <c r="AV37" s="8"/>
      <c r="BH37" s="8"/>
      <c r="BT37" s="8"/>
    </row>
    <row r="38" spans="12:72" x14ac:dyDescent="0.25">
      <c r="L38" s="8"/>
      <c r="X38" s="8"/>
      <c r="AJ38" s="8"/>
      <c r="AV38" s="8"/>
      <c r="BH38" s="8"/>
      <c r="BT38" s="8"/>
    </row>
    <row r="39" spans="12:72" x14ac:dyDescent="0.25">
      <c r="L39" s="8"/>
      <c r="X39" s="8"/>
      <c r="AJ39" s="8"/>
      <c r="AV39" s="8"/>
      <c r="BH39" s="8"/>
      <c r="BT39" s="8"/>
    </row>
    <row r="40" spans="12:72" x14ac:dyDescent="0.25">
      <c r="L40" s="8"/>
      <c r="X40" s="8"/>
      <c r="AJ40" s="8"/>
      <c r="AV40" s="8"/>
      <c r="BH40" s="8"/>
      <c r="BT40" s="8"/>
    </row>
    <row r="41" spans="12:72" x14ac:dyDescent="0.25">
      <c r="L41" s="8"/>
      <c r="X41" s="8"/>
      <c r="AJ41" s="8"/>
      <c r="AV41" s="8"/>
      <c r="BH41" s="8"/>
      <c r="BT41" s="8"/>
    </row>
    <row r="42" spans="12:72" x14ac:dyDescent="0.25">
      <c r="L42" s="8"/>
      <c r="X42" s="8"/>
      <c r="AJ42" s="8"/>
      <c r="AV42" s="8"/>
      <c r="BH42" s="8"/>
      <c r="BT42" s="8"/>
    </row>
    <row r="43" spans="12:72" x14ac:dyDescent="0.25">
      <c r="L43" s="8"/>
      <c r="X43" s="8"/>
      <c r="AJ43" s="8"/>
      <c r="AV43" s="8"/>
      <c r="BH43" s="8"/>
      <c r="BT43" s="8"/>
    </row>
    <row r="44" spans="12:72" x14ac:dyDescent="0.25">
      <c r="L44" s="8"/>
      <c r="X44" s="8"/>
      <c r="AJ44" s="8"/>
      <c r="AV44" s="8"/>
      <c r="BH44" s="8"/>
      <c r="BT44" s="8"/>
    </row>
    <row r="45" spans="12:72" x14ac:dyDescent="0.25">
      <c r="L45" s="8"/>
      <c r="X45" s="8"/>
      <c r="AJ45" s="8"/>
      <c r="AV45" s="8"/>
      <c r="BH45" s="8"/>
      <c r="BT45" s="8"/>
    </row>
    <row r="46" spans="12:72" x14ac:dyDescent="0.25">
      <c r="L46" s="8"/>
      <c r="X46" s="8"/>
      <c r="AJ46" s="8"/>
      <c r="AV46" s="8"/>
      <c r="BH46" s="8"/>
      <c r="BT46" s="8"/>
    </row>
    <row r="47" spans="12:72" x14ac:dyDescent="0.25">
      <c r="L47" s="8"/>
      <c r="X47" s="8"/>
      <c r="AJ47" s="8"/>
      <c r="AV47" s="8"/>
      <c r="BH47" s="8"/>
      <c r="BT47" s="8"/>
    </row>
    <row r="48" spans="12:72" x14ac:dyDescent="0.25">
      <c r="L48" s="8"/>
      <c r="X48" s="8"/>
      <c r="AJ48" s="8"/>
      <c r="AV48" s="8"/>
      <c r="BH48" s="8"/>
      <c r="BT48" s="8"/>
    </row>
    <row r="49" spans="12:72" x14ac:dyDescent="0.25">
      <c r="L49" s="8"/>
      <c r="X49" s="8"/>
      <c r="AJ49" s="8"/>
      <c r="AV49" s="8"/>
      <c r="BH49" s="8"/>
      <c r="BT49" s="8"/>
    </row>
    <row r="50" spans="12:72" x14ac:dyDescent="0.25">
      <c r="L50" s="8"/>
      <c r="X50" s="8"/>
      <c r="AJ50" s="8"/>
      <c r="AV50" s="8"/>
      <c r="BH50" s="8"/>
      <c r="BT50" s="8"/>
    </row>
    <row r="51" spans="12:72" x14ac:dyDescent="0.25">
      <c r="L51" s="8"/>
      <c r="X51" s="8"/>
      <c r="AJ51" s="8"/>
      <c r="AV51" s="8"/>
      <c r="BH51" s="8"/>
      <c r="BT51" s="8"/>
    </row>
    <row r="52" spans="12:72" x14ac:dyDescent="0.25">
      <c r="L52" s="8"/>
      <c r="X52" s="8"/>
      <c r="AJ52" s="8"/>
      <c r="AV52" s="8"/>
      <c r="BH52" s="8"/>
      <c r="BT52" s="8"/>
    </row>
    <row r="53" spans="12:72" x14ac:dyDescent="0.25">
      <c r="L53" s="8"/>
      <c r="X53" s="8"/>
      <c r="AJ53" s="8"/>
      <c r="AV53" s="8"/>
      <c r="BH53" s="8"/>
      <c r="BT53" s="8"/>
    </row>
    <row r="54" spans="12:72" x14ac:dyDescent="0.25">
      <c r="L54" s="8"/>
      <c r="X54" s="8"/>
      <c r="AJ54" s="8"/>
      <c r="AV54" s="8"/>
      <c r="BH54" s="8"/>
      <c r="BT54" s="8"/>
    </row>
    <row r="55" spans="12:72" x14ac:dyDescent="0.25">
      <c r="L55" s="8"/>
      <c r="X55" s="8"/>
      <c r="AJ55" s="8"/>
      <c r="AV55" s="8"/>
      <c r="BH55" s="8"/>
      <c r="BT55" s="8"/>
    </row>
    <row r="56" spans="12:72" x14ac:dyDescent="0.25">
      <c r="L56" s="8"/>
      <c r="X56" s="8"/>
      <c r="AJ56" s="8"/>
      <c r="AV56" s="8"/>
      <c r="BH56" s="8"/>
      <c r="BT56" s="8"/>
    </row>
    <row r="57" spans="12:72" x14ac:dyDescent="0.25">
      <c r="L57" s="8"/>
      <c r="X57" s="8"/>
      <c r="AJ57" s="8"/>
      <c r="AV57" s="8"/>
      <c r="BH57" s="8"/>
      <c r="BT57" s="8"/>
    </row>
    <row r="58" spans="12:72" x14ac:dyDescent="0.25">
      <c r="L58" s="8"/>
      <c r="X58" s="8"/>
      <c r="AJ58" s="8"/>
      <c r="AV58" s="8"/>
      <c r="BH58" s="8"/>
      <c r="BT58" s="8"/>
    </row>
    <row r="59" spans="12:72" x14ac:dyDescent="0.25">
      <c r="L59" s="8"/>
      <c r="X59" s="8"/>
      <c r="AJ59" s="8"/>
      <c r="AV59" s="8"/>
      <c r="BH59" s="8"/>
      <c r="BT59" s="8"/>
    </row>
    <row r="60" spans="12:72" x14ac:dyDescent="0.25">
      <c r="L60" s="8"/>
      <c r="X60" s="8"/>
      <c r="AJ60" s="8"/>
      <c r="AV60" s="8"/>
      <c r="BH60" s="8"/>
      <c r="BT60" s="8"/>
    </row>
    <row r="61" spans="12:72" x14ac:dyDescent="0.25">
      <c r="L61" s="8"/>
      <c r="X61" s="8"/>
      <c r="AJ61" s="8"/>
      <c r="AV61" s="8"/>
      <c r="BH61" s="8"/>
      <c r="BT61" s="8"/>
    </row>
    <row r="62" spans="12:72" x14ac:dyDescent="0.25">
      <c r="L62" s="8"/>
      <c r="X62" s="8"/>
      <c r="AJ62" s="8"/>
      <c r="AV62" s="8"/>
      <c r="BH62" s="8"/>
      <c r="BT62" s="8"/>
    </row>
    <row r="63" spans="12:72" x14ac:dyDescent="0.25">
      <c r="L63" s="8"/>
      <c r="X63" s="8"/>
      <c r="AJ63" s="8"/>
      <c r="AV63" s="8"/>
      <c r="BH63" s="8"/>
      <c r="BT63" s="8"/>
    </row>
    <row r="64" spans="12:72" x14ac:dyDescent="0.25">
      <c r="L64" s="8"/>
      <c r="X64" s="8"/>
      <c r="AJ64" s="8"/>
      <c r="AV64" s="8"/>
      <c r="BH64" s="8"/>
      <c r="BT64" s="8"/>
    </row>
    <row r="65" spans="12:72" x14ac:dyDescent="0.25">
      <c r="L65" s="8"/>
      <c r="X65" s="8"/>
      <c r="AJ65" s="8"/>
      <c r="AV65" s="8"/>
      <c r="BH65" s="8"/>
      <c r="BT65" s="8"/>
    </row>
    <row r="66" spans="12:72" x14ac:dyDescent="0.25">
      <c r="L66" s="8"/>
      <c r="X66" s="8"/>
      <c r="AJ66" s="8"/>
      <c r="AV66" s="8"/>
      <c r="BH66" s="8"/>
      <c r="BT66" s="8"/>
    </row>
    <row r="67" spans="12:72" x14ac:dyDescent="0.25">
      <c r="L67" s="8"/>
      <c r="X67" s="8"/>
      <c r="AJ67" s="8"/>
      <c r="AV67" s="8"/>
      <c r="BH67" s="8"/>
      <c r="BT67" s="8"/>
    </row>
    <row r="68" spans="12:72" x14ac:dyDescent="0.25">
      <c r="L68" s="8"/>
      <c r="X68" s="8"/>
      <c r="AJ68" s="8"/>
      <c r="AV68" s="8"/>
      <c r="BH68" s="8"/>
      <c r="BT68" s="8"/>
    </row>
    <row r="69" spans="12:72" x14ac:dyDescent="0.25">
      <c r="L69" s="8"/>
      <c r="X69" s="8"/>
      <c r="AJ69" s="8"/>
      <c r="AV69" s="8"/>
      <c r="BH69" s="8"/>
      <c r="BT69" s="8"/>
    </row>
    <row r="70" spans="12:72" x14ac:dyDescent="0.25">
      <c r="L70" s="8"/>
      <c r="X70" s="8"/>
      <c r="AJ70" s="8"/>
      <c r="AV70" s="8"/>
      <c r="BH70" s="8"/>
      <c r="BT70" s="8"/>
    </row>
    <row r="71" spans="12:72" x14ac:dyDescent="0.25">
      <c r="L71" s="8"/>
      <c r="X71" s="8"/>
      <c r="AJ71" s="8"/>
      <c r="AV71" s="8"/>
      <c r="BH71" s="8"/>
      <c r="BT71" s="8"/>
    </row>
    <row r="72" spans="12:72" x14ac:dyDescent="0.25">
      <c r="L72" s="8"/>
      <c r="X72" s="8"/>
      <c r="AJ72" s="8"/>
      <c r="AV72" s="8"/>
      <c r="BH72" s="8"/>
      <c r="BT72" s="8"/>
    </row>
    <row r="73" spans="12:72" x14ac:dyDescent="0.25">
      <c r="L73" s="8"/>
      <c r="X73" s="8"/>
      <c r="AJ73" s="8"/>
      <c r="AV73" s="8"/>
      <c r="BH73" s="8"/>
      <c r="BT73" s="8"/>
    </row>
    <row r="74" spans="12:72" x14ac:dyDescent="0.25">
      <c r="L74" s="8"/>
      <c r="X74" s="8"/>
      <c r="AJ74" s="8"/>
      <c r="AV74" s="8"/>
      <c r="BH74" s="8"/>
      <c r="BT74" s="8"/>
    </row>
    <row r="75" spans="12:72" x14ac:dyDescent="0.25">
      <c r="L75" s="8"/>
      <c r="X75" s="8"/>
      <c r="AJ75" s="8"/>
      <c r="AV75" s="8"/>
      <c r="BH75" s="8"/>
      <c r="BT75" s="8"/>
    </row>
    <row r="76" spans="12:72" x14ac:dyDescent="0.25">
      <c r="L76" s="8"/>
      <c r="X76" s="8"/>
      <c r="AJ76" s="8"/>
      <c r="AV76" s="8"/>
      <c r="BH76" s="8"/>
      <c r="BT76" s="8"/>
    </row>
    <row r="77" spans="12:72" x14ac:dyDescent="0.25">
      <c r="L77" s="8"/>
      <c r="X77" s="8"/>
      <c r="AJ77" s="8"/>
      <c r="AV77" s="8"/>
      <c r="BH77" s="8"/>
      <c r="BT77" s="8"/>
    </row>
    <row r="78" spans="12:72" x14ac:dyDescent="0.25">
      <c r="L78" s="8"/>
      <c r="X78" s="8"/>
      <c r="AJ78" s="8"/>
      <c r="AV78" s="8"/>
      <c r="BH78" s="8"/>
      <c r="BT78" s="8"/>
    </row>
    <row r="79" spans="12:72" x14ac:dyDescent="0.25">
      <c r="L79" s="8"/>
      <c r="X79" s="8"/>
      <c r="AJ79" s="8"/>
      <c r="AV79" s="8"/>
      <c r="BH79" s="8"/>
      <c r="BT79" s="8"/>
    </row>
    <row r="80" spans="12:72" x14ac:dyDescent="0.25">
      <c r="L80" s="8"/>
      <c r="X80" s="8"/>
      <c r="AJ80" s="8"/>
      <c r="AV80" s="8"/>
      <c r="BH80" s="8"/>
      <c r="BT80" s="8"/>
    </row>
    <row r="81" spans="12:72" x14ac:dyDescent="0.25">
      <c r="L81" s="8"/>
      <c r="X81" s="8"/>
      <c r="AJ81" s="8"/>
      <c r="AV81" s="8"/>
      <c r="BH81" s="8"/>
      <c r="BT81" s="8"/>
    </row>
    <row r="82" spans="12:72" x14ac:dyDescent="0.25">
      <c r="L82" s="8"/>
      <c r="X82" s="8"/>
      <c r="AJ82" s="8"/>
      <c r="AV82" s="8"/>
      <c r="BH82" s="8"/>
      <c r="BT82" s="8"/>
    </row>
    <row r="83" spans="12:72" x14ac:dyDescent="0.25">
      <c r="L83" s="8"/>
      <c r="X83" s="8"/>
      <c r="AJ83" s="8"/>
      <c r="AV83" s="8"/>
      <c r="BH83" s="8"/>
      <c r="BT83" s="8"/>
    </row>
    <row r="84" spans="12:72" x14ac:dyDescent="0.25">
      <c r="L84" s="8"/>
      <c r="X84" s="8"/>
      <c r="AJ84" s="8"/>
      <c r="AV84" s="8"/>
      <c r="BH84" s="8"/>
      <c r="BT84" s="8"/>
    </row>
    <row r="85" spans="12:72" x14ac:dyDescent="0.25">
      <c r="L85" s="8"/>
      <c r="X85" s="8"/>
      <c r="AJ85" s="8"/>
      <c r="AV85" s="8"/>
      <c r="BH85" s="8"/>
      <c r="BT85" s="8"/>
    </row>
    <row r="86" spans="12:72" x14ac:dyDescent="0.25">
      <c r="L86" s="8"/>
      <c r="X86" s="8"/>
      <c r="AJ86" s="8"/>
      <c r="AV86" s="8"/>
      <c r="BH86" s="8"/>
      <c r="BT86" s="8"/>
    </row>
    <row r="87" spans="12:72" x14ac:dyDescent="0.25">
      <c r="L87" s="8"/>
      <c r="X87" s="8"/>
      <c r="AJ87" s="8"/>
      <c r="AV87" s="8"/>
      <c r="BH87" s="8"/>
      <c r="BT87" s="8"/>
    </row>
    <row r="88" spans="12:72" x14ac:dyDescent="0.25">
      <c r="L88" s="8"/>
      <c r="X88" s="8"/>
      <c r="AJ88" s="8"/>
      <c r="AV88" s="8"/>
      <c r="BH88" s="8"/>
      <c r="BT88" s="8"/>
    </row>
    <row r="89" spans="12:72" x14ac:dyDescent="0.25">
      <c r="L89" s="8"/>
      <c r="X89" s="8"/>
      <c r="AJ89" s="8"/>
      <c r="AV89" s="8"/>
      <c r="BH89" s="8"/>
      <c r="BT89" s="8"/>
    </row>
    <row r="90" spans="12:72" x14ac:dyDescent="0.25">
      <c r="L90" s="8"/>
      <c r="X90" s="8"/>
      <c r="AJ90" s="8"/>
      <c r="AV90" s="8"/>
      <c r="BH90" s="8"/>
      <c r="BT90" s="8"/>
    </row>
    <row r="91" spans="12:72" x14ac:dyDescent="0.25">
      <c r="L91" s="8"/>
      <c r="X91" s="8"/>
      <c r="AJ91" s="8"/>
      <c r="AV91" s="8"/>
      <c r="BH91" s="8"/>
      <c r="BT91" s="8"/>
    </row>
    <row r="92" spans="12:72" x14ac:dyDescent="0.25">
      <c r="L92" s="8"/>
      <c r="X92" s="8"/>
      <c r="AJ92" s="8"/>
      <c r="AV92" s="8"/>
      <c r="BH92" s="8"/>
      <c r="BT92" s="8"/>
    </row>
    <row r="93" spans="12:72" x14ac:dyDescent="0.25">
      <c r="L93" s="8"/>
      <c r="X93" s="8"/>
      <c r="AJ93" s="8"/>
      <c r="AV93" s="8"/>
      <c r="BH93" s="8"/>
      <c r="BT93" s="8"/>
    </row>
    <row r="94" spans="12:72" x14ac:dyDescent="0.25">
      <c r="L94" s="8"/>
      <c r="X94" s="8"/>
      <c r="AJ94" s="8"/>
      <c r="AV94" s="8"/>
      <c r="BH94" s="8"/>
      <c r="BT94" s="8"/>
    </row>
    <row r="95" spans="12:72" x14ac:dyDescent="0.25">
      <c r="L95" s="8"/>
      <c r="X95" s="8"/>
      <c r="AJ95" s="8"/>
      <c r="AV95" s="8"/>
      <c r="BH95" s="8"/>
      <c r="BT95" s="8"/>
    </row>
    <row r="96" spans="12:72" x14ac:dyDescent="0.25">
      <c r="L96" s="8"/>
      <c r="X96" s="8"/>
      <c r="AJ96" s="8"/>
      <c r="AV96" s="8"/>
      <c r="BH96" s="8"/>
      <c r="BT96" s="8"/>
    </row>
    <row r="97" spans="12:72" x14ac:dyDescent="0.25">
      <c r="L97" s="8"/>
      <c r="X97" s="8"/>
      <c r="AJ97" s="8"/>
      <c r="AV97" s="8"/>
      <c r="BH97" s="8"/>
      <c r="BT97" s="8"/>
    </row>
    <row r="98" spans="12:72" x14ac:dyDescent="0.25">
      <c r="L98" s="8"/>
      <c r="X98" s="8"/>
      <c r="AJ98" s="8"/>
      <c r="AV98" s="8"/>
      <c r="BH98" s="8"/>
      <c r="BT98" s="8"/>
    </row>
    <row r="99" spans="12:72" x14ac:dyDescent="0.25">
      <c r="L99" s="8"/>
      <c r="X99" s="8"/>
      <c r="AJ99" s="8"/>
      <c r="AV99" s="8"/>
      <c r="BH99" s="8"/>
      <c r="BT99" s="8"/>
    </row>
    <row r="100" spans="12:72" x14ac:dyDescent="0.25">
      <c r="L100" s="8"/>
      <c r="X100" s="8"/>
      <c r="AJ100" s="8"/>
      <c r="AV100" s="8"/>
      <c r="BH100" s="8"/>
      <c r="BT100" s="8"/>
    </row>
    <row r="101" spans="12:72" x14ac:dyDescent="0.25">
      <c r="L101" s="8"/>
      <c r="X101" s="8"/>
      <c r="AJ101" s="8"/>
      <c r="AV101" s="8"/>
      <c r="BH101" s="8"/>
      <c r="BT101" s="8"/>
    </row>
    <row r="102" spans="12:72" x14ac:dyDescent="0.25">
      <c r="L102" s="8"/>
      <c r="X102" s="8"/>
      <c r="AJ102" s="8"/>
      <c r="AV102" s="8"/>
      <c r="BH102" s="8"/>
      <c r="BT102" s="8"/>
    </row>
    <row r="103" spans="12:72" x14ac:dyDescent="0.25">
      <c r="L103" s="8"/>
      <c r="X103" s="8"/>
      <c r="AJ103" s="8"/>
      <c r="AV103" s="8"/>
      <c r="BH103" s="8"/>
      <c r="BT103" s="8"/>
    </row>
    <row r="104" spans="12:72" x14ac:dyDescent="0.25">
      <c r="L104" s="8"/>
      <c r="X104" s="8"/>
      <c r="AJ104" s="8"/>
      <c r="AV104" s="8"/>
      <c r="BH104" s="8"/>
      <c r="BT104" s="8"/>
    </row>
    <row r="105" spans="12:72" x14ac:dyDescent="0.25">
      <c r="L105" s="8"/>
      <c r="X105" s="8"/>
      <c r="AJ105" s="8"/>
      <c r="AV105" s="8"/>
      <c r="BH105" s="8"/>
      <c r="BT105" s="8"/>
    </row>
    <row r="106" spans="12:72" x14ac:dyDescent="0.25">
      <c r="L106" s="8"/>
      <c r="X106" s="8"/>
      <c r="AJ106" s="8"/>
      <c r="AV106" s="8"/>
      <c r="BH106" s="8"/>
      <c r="BT106" s="8"/>
    </row>
    <row r="107" spans="12:72" x14ac:dyDescent="0.25">
      <c r="L107" s="8"/>
      <c r="X107" s="8"/>
      <c r="AJ107" s="8"/>
      <c r="AV107" s="8"/>
      <c r="BH107" s="8"/>
      <c r="BT107" s="8"/>
    </row>
    <row r="108" spans="12:72" x14ac:dyDescent="0.25">
      <c r="L108" s="8"/>
      <c r="X108" s="8"/>
      <c r="AJ108" s="8"/>
      <c r="AV108" s="8"/>
      <c r="BH108" s="8"/>
      <c r="BT108" s="8"/>
    </row>
    <row r="109" spans="12:72" x14ac:dyDescent="0.25">
      <c r="L109" s="8"/>
      <c r="X109" s="8"/>
      <c r="AJ109" s="8"/>
      <c r="AV109" s="8"/>
      <c r="BH109" s="8"/>
      <c r="BT109" s="8"/>
    </row>
    <row r="110" spans="12:72" x14ac:dyDescent="0.25">
      <c r="L110" s="8"/>
      <c r="X110" s="8"/>
      <c r="AJ110" s="8"/>
      <c r="AV110" s="8"/>
      <c r="BH110" s="8"/>
      <c r="BT110" s="8"/>
    </row>
    <row r="111" spans="12:72" x14ac:dyDescent="0.25">
      <c r="L111" s="8"/>
      <c r="X111" s="8"/>
      <c r="AJ111" s="8"/>
      <c r="AV111" s="8"/>
      <c r="BH111" s="8"/>
      <c r="BT111" s="8"/>
    </row>
    <row r="112" spans="12:72" x14ac:dyDescent="0.25">
      <c r="L112" s="8"/>
      <c r="X112" s="8"/>
      <c r="AJ112" s="8"/>
      <c r="AV112" s="8"/>
      <c r="BH112" s="8"/>
      <c r="BT112" s="8"/>
    </row>
    <row r="113" spans="12:72" x14ac:dyDescent="0.25">
      <c r="L113" s="8"/>
      <c r="X113" s="8"/>
      <c r="AJ113" s="8"/>
      <c r="AV113" s="8"/>
      <c r="BH113" s="8"/>
      <c r="BT113" s="8"/>
    </row>
    <row r="114" spans="12:72" x14ac:dyDescent="0.25">
      <c r="L114" s="8"/>
      <c r="X114" s="8"/>
      <c r="AJ114" s="8"/>
      <c r="AV114" s="8"/>
      <c r="BH114" s="8"/>
      <c r="BT114" s="8"/>
    </row>
    <row r="115" spans="12:72" x14ac:dyDescent="0.25">
      <c r="L115" s="8"/>
      <c r="X115" s="8"/>
      <c r="AJ115" s="8"/>
      <c r="AV115" s="8"/>
      <c r="BH115" s="8"/>
      <c r="BT115" s="8"/>
    </row>
  </sheetData>
  <conditionalFormatting sqref="I5:K9 I10:J115">
    <cfRule type="containsErrors" dxfId="107" priority="35">
      <formula>ISERROR(I5)</formula>
    </cfRule>
  </conditionalFormatting>
  <conditionalFormatting sqref="K6:K9">
    <cfRule type="cellIs" dxfId="106" priority="41" operator="between">
      <formula>25</formula>
      <formula>1000</formula>
    </cfRule>
    <cfRule type="cellIs" dxfId="105" priority="40" operator="between">
      <formula>15</formula>
      <formula>25</formula>
    </cfRule>
    <cfRule type="cellIs" dxfId="104" priority="39" operator="between">
      <formula>0</formula>
      <formula>15</formula>
    </cfRule>
  </conditionalFormatting>
  <conditionalFormatting sqref="L2:L3 X2:X3 U5:W9 U10:V115">
    <cfRule type="containsErrors" dxfId="103" priority="33">
      <formula>ISERROR(L2)</formula>
    </cfRule>
  </conditionalFormatting>
  <conditionalFormatting sqref="L5:L115">
    <cfRule type="containsErrors" dxfId="102" priority="11">
      <formula>ISERROR(L5)</formula>
    </cfRule>
  </conditionalFormatting>
  <conditionalFormatting sqref="W5:W9">
    <cfRule type="containsErrors" dxfId="101" priority="42">
      <formula>ISERROR(W5)</formula>
    </cfRule>
  </conditionalFormatting>
  <conditionalFormatting sqref="W6:W9">
    <cfRule type="cellIs" dxfId="100" priority="38" operator="between">
      <formula>25</formula>
      <formula>1000</formula>
    </cfRule>
    <cfRule type="cellIs" dxfId="99" priority="37" operator="between">
      <formula>15</formula>
      <formula>25</formula>
    </cfRule>
    <cfRule type="cellIs" dxfId="98" priority="36" operator="between">
      <formula>0</formula>
      <formula>15</formula>
    </cfRule>
  </conditionalFormatting>
  <conditionalFormatting sqref="X5:X115">
    <cfRule type="containsErrors" dxfId="97" priority="9">
      <formula>ISERROR(X5)</formula>
    </cfRule>
  </conditionalFormatting>
  <conditionalFormatting sqref="AG5:AI9 AG10:AH115">
    <cfRule type="containsErrors" dxfId="96" priority="25">
      <formula>ISERROR(AG5)</formula>
    </cfRule>
  </conditionalFormatting>
  <conditionalFormatting sqref="AI6:AI9">
    <cfRule type="cellIs" dxfId="95" priority="29" operator="between">
      <formula>0</formula>
      <formula>15</formula>
    </cfRule>
    <cfRule type="cellIs" dxfId="94" priority="30" operator="between">
      <formula>15</formula>
      <formula>25</formula>
    </cfRule>
    <cfRule type="cellIs" dxfId="93" priority="31" operator="between">
      <formula>25</formula>
      <formula>1000</formula>
    </cfRule>
  </conditionalFormatting>
  <conditionalFormatting sqref="AJ2:AJ3 AV2:AV3 AS5:AU9 AS10:AT115">
    <cfRule type="containsErrors" dxfId="92" priority="23">
      <formula>ISERROR(AJ2)</formula>
    </cfRule>
  </conditionalFormatting>
  <conditionalFormatting sqref="AJ5:AJ115">
    <cfRule type="containsErrors" dxfId="91" priority="7">
      <formula>ISERROR(AJ5)</formula>
    </cfRule>
  </conditionalFormatting>
  <conditionalFormatting sqref="AU5:AU9">
    <cfRule type="containsErrors" dxfId="90" priority="32">
      <formula>ISERROR(AU5)</formula>
    </cfRule>
  </conditionalFormatting>
  <conditionalFormatting sqref="AU6:AU9">
    <cfRule type="cellIs" dxfId="89" priority="26" operator="between">
      <formula>0</formula>
      <formula>15</formula>
    </cfRule>
    <cfRule type="cellIs" dxfId="88" priority="27" operator="between">
      <formula>15</formula>
      <formula>25</formula>
    </cfRule>
    <cfRule type="cellIs" dxfId="87" priority="28" operator="between">
      <formula>25</formula>
      <formula>1000</formula>
    </cfRule>
  </conditionalFormatting>
  <conditionalFormatting sqref="AV5:AV115">
    <cfRule type="containsErrors" dxfId="86" priority="5">
      <formula>ISERROR(AV5)</formula>
    </cfRule>
  </conditionalFormatting>
  <conditionalFormatting sqref="BE5:BG9 BE10:BF115">
    <cfRule type="containsErrors" dxfId="85" priority="15">
      <formula>ISERROR(BE5)</formula>
    </cfRule>
  </conditionalFormatting>
  <conditionalFormatting sqref="BG6:BG9">
    <cfRule type="cellIs" dxfId="84" priority="21" operator="between">
      <formula>25</formula>
      <formula>1000</formula>
    </cfRule>
    <cfRule type="cellIs" dxfId="83" priority="20" operator="between">
      <formula>15</formula>
      <formula>25</formula>
    </cfRule>
    <cfRule type="cellIs" dxfId="82" priority="19" operator="between">
      <formula>0</formula>
      <formula>15</formula>
    </cfRule>
  </conditionalFormatting>
  <conditionalFormatting sqref="BH2:BH3 BT2:BT3 BQ5:BS9 BQ10:BR115">
    <cfRule type="containsErrors" dxfId="81" priority="13">
      <formula>ISERROR(BH2)</formula>
    </cfRule>
  </conditionalFormatting>
  <conditionalFormatting sqref="BH5:BH115">
    <cfRule type="containsErrors" dxfId="80" priority="3">
      <formula>ISERROR(BH5)</formula>
    </cfRule>
  </conditionalFormatting>
  <conditionalFormatting sqref="BS5:BS9">
    <cfRule type="containsErrors" dxfId="79" priority="22">
      <formula>ISERROR(BS5)</formula>
    </cfRule>
  </conditionalFormatting>
  <conditionalFormatting sqref="BS6:BS9">
    <cfRule type="cellIs" dxfId="78" priority="18" operator="between">
      <formula>25</formula>
      <formula>1000</formula>
    </cfRule>
    <cfRule type="cellIs" dxfId="77" priority="17" operator="between">
      <formula>15</formula>
      <formula>25</formula>
    </cfRule>
    <cfRule type="cellIs" dxfId="76" priority="16" operator="between">
      <formula>0</formula>
      <formula>15</formula>
    </cfRule>
  </conditionalFormatting>
  <conditionalFormatting sqref="BT5:BT115">
    <cfRule type="containsErrors" dxfId="75" priority="1">
      <formula>ISERROR(BT5)</formula>
    </cfRule>
  </conditionalFormatting>
  <pageMargins left="0.7" right="0.7" top="0.75" bottom="0.75" header="0.3" footer="0.3"/>
  <ignoredErrors>
    <ignoredError sqref="J5:K9 V5:W9 L2:L3 X2:X3 AH5:AI9 AJ2:AJ3 AV2:AV3 AT5:AU9 BF5:BG9 BH2:BH3 BR5:BS9 BT2:BT3 L5:L9 BT5:BT10 BH5:BH13 AV5:AV9 AJ5:AJ9 X5:X9" evalError="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E6FDB-30E4-4345-B37E-4EEE3CD599C5}">
  <dimension ref="A1:X115"/>
  <sheetViews>
    <sheetView zoomScale="85" zoomScaleNormal="85" workbookViewId="0">
      <selection sqref="A1:XFD4"/>
    </sheetView>
  </sheetViews>
  <sheetFormatPr defaultRowHeight="15" x14ac:dyDescent="0.25"/>
  <cols>
    <col min="1" max="1" width="11.710937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1.71093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16384" width="9.140625" style="1"/>
  </cols>
  <sheetData>
    <row r="1" spans="1:24" s="2" customFormat="1" ht="45" x14ac:dyDescent="0.25">
      <c r="A1" s="3" t="s">
        <v>61</v>
      </c>
      <c r="C1" s="4" t="s">
        <v>6</v>
      </c>
      <c r="E1" s="4" t="s">
        <v>43</v>
      </c>
      <c r="G1" s="4" t="s">
        <v>54</v>
      </c>
      <c r="H1" s="2" t="s">
        <v>53</v>
      </c>
      <c r="J1" s="4" t="s">
        <v>7</v>
      </c>
      <c r="L1" s="6" t="s">
        <v>20</v>
      </c>
      <c r="M1" s="3" t="s">
        <v>61</v>
      </c>
      <c r="O1" s="4" t="s">
        <v>6</v>
      </c>
      <c r="Q1" s="4" t="s">
        <v>43</v>
      </c>
      <c r="S1" s="4" t="s">
        <v>54</v>
      </c>
      <c r="T1" s="2" t="s">
        <v>53</v>
      </c>
      <c r="V1" s="4" t="s">
        <v>7</v>
      </c>
      <c r="X1" s="6" t="s">
        <v>20</v>
      </c>
    </row>
    <row r="2" spans="1:24"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21</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21</v>
      </c>
      <c r="U2" s="4" t="s">
        <v>9</v>
      </c>
      <c r="V2" s="4" t="s">
        <v>10</v>
      </c>
      <c r="X2" s="20" t="e">
        <f>IF(U5="","",AVERAGEIFS(U5:U115,U5:U115,"&lt;&gt;0",U5:U115,"&lt;&gt;"))</f>
        <v>#N/A</v>
      </c>
    </row>
    <row r="3" spans="1:24"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row>
    <row r="4" spans="1:24"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row>
    <row r="5" spans="1:24" x14ac:dyDescent="0.25">
      <c r="A5" s="1">
        <v>10</v>
      </c>
      <c r="B5" s="1">
        <v>0</v>
      </c>
      <c r="I5" s="1" t="e">
        <f>IF(C5="", NA(), (B5-C5)*1000/A5)</f>
        <v>#N/A</v>
      </c>
      <c r="J5" s="1" t="e">
        <f>IF(I5="","",I5/F$2/2.5)</f>
        <v>#N/A</v>
      </c>
      <c r="L5" s="8" t="e">
        <f>IF(I5="","", IFERROR(((IF(I$5&lt;&gt;"", I$5*A$5, 0))/1000)/H$3, ""))</f>
        <v>#N/A</v>
      </c>
      <c r="M5" s="1">
        <v>10</v>
      </c>
      <c r="U5" s="1" t="e">
        <f>IF(O5="", NA(), (N5-O5)*1000/M5)</f>
        <v>#N/A</v>
      </c>
      <c r="V5" s="1" t="e">
        <f>IF(U5="","",U5/R$2/2.5)</f>
        <v>#N/A</v>
      </c>
      <c r="X5" s="8" t="e">
        <f>IF(U5="","", IFERROR(((IF(U$5&lt;&gt;"", U$5*M$5, 0))/1000)/T$3, ""))</f>
        <v>#N/A</v>
      </c>
    </row>
    <row r="6" spans="1:24" x14ac:dyDescent="0.25">
      <c r="A6" s="1">
        <f>A5+10</f>
        <v>20</v>
      </c>
      <c r="B6" s="1">
        <f>C5</f>
        <v>0</v>
      </c>
      <c r="I6" s="1" t="e">
        <f>IF(C6="", NA(), (B6-C6)*1000/(A6-A5))</f>
        <v>#N/A</v>
      </c>
      <c r="J6" s="1" t="e">
        <f t="shared" ref="J6:J69" si="0">IF(I6="","",I6/F$2/2.5)</f>
        <v>#N/A</v>
      </c>
      <c r="K6" s="1" t="e">
        <f>IF(I6="","", 100*_xlfn.STDEV.P(I5:I6)/AVERAGE(I5:I6))</f>
        <v>#N/A</v>
      </c>
      <c r="L6" s="8" t="e" cm="1">
        <f t="array" ref="L6">IF(I6="","", IFERROR(((IF(I$5&lt;&gt;"", I$5*A$5, 0) + SUMPRODUCT(--(I$6:I6&lt;&gt;""), I$6:I6, (A$6:A6-A$5:A5)))/1000)/H$3, ""))</f>
        <v>#N/A</v>
      </c>
      <c r="M6" s="1">
        <f>M5+10</f>
        <v>20</v>
      </c>
      <c r="N6" s="1">
        <f>O5</f>
        <v>0</v>
      </c>
      <c r="U6" s="1" t="e">
        <f>IF(O6="", NA(), (N6-O6)*1000/(M6-M5))</f>
        <v>#N/A</v>
      </c>
      <c r="V6" s="1" t="e">
        <f t="shared" ref="V6:V69" si="1">IF(U6="","",U6/R$2/2.5)</f>
        <v>#N/A</v>
      </c>
      <c r="W6" s="1" t="e">
        <f>IF(U6="","", 100*_xlfn.STDEV.P(U5:U6)/AVERAGE(U5:U6))</f>
        <v>#N/A</v>
      </c>
      <c r="X6" s="8" t="e" cm="1">
        <f t="array" ref="X6">IF(U6="","", IFERROR(((IF(U$5&lt;&gt;"", U$5*M$5, 0) + SUMPRODUCT(--(U$6:U6&lt;&gt;""), U$6:U6, (M$6:M6-M$5:M5)))/1000)/T$3, ""))</f>
        <v>#N/A</v>
      </c>
    </row>
    <row r="7" spans="1:24" x14ac:dyDescent="0.25">
      <c r="A7" s="1">
        <f t="shared" ref="A7:A70" si="2">A6+10</f>
        <v>30</v>
      </c>
      <c r="B7" s="1">
        <f t="shared" ref="B7:B70" si="3">C6</f>
        <v>0</v>
      </c>
      <c r="I7" s="1" t="e">
        <f t="shared" ref="I7:I70" si="4">IF(C7="", NA(), (B7-C7)*1000/(A7-A6))</f>
        <v>#N/A</v>
      </c>
      <c r="J7" s="1" t="e">
        <f t="shared" si="0"/>
        <v>#N/A</v>
      </c>
      <c r="K7" s="1" t="e">
        <f t="shared" ref="K7:K70" si="5">IF(I7="","", 100*_xlfn.STDEV.P(I6:I7)/AVERAGE(I6:I7))</f>
        <v>#N/A</v>
      </c>
      <c r="L7" s="8" t="e" cm="1">
        <f t="array" ref="L7">IF(I7="","", IFERROR(((IF(I$5&lt;&gt;"", I$5*A$5, 0) + SUMPRODUCT(--(I$6:I7&lt;&gt;""), I$6:I7, (A$6:A7-A$5:A6)))/1000)/H$3, ""))</f>
        <v>#N/A</v>
      </c>
      <c r="M7" s="1">
        <f t="shared" ref="M7:M70" si="6">M6+10</f>
        <v>30</v>
      </c>
      <c r="N7" s="1">
        <f t="shared" ref="N7:N70" si="7">O6</f>
        <v>0</v>
      </c>
      <c r="U7" s="1" t="e">
        <f t="shared" ref="U7:U70" si="8">IF(O7="", NA(), (N7-O7)*1000/(M7-M6))</f>
        <v>#N/A</v>
      </c>
      <c r="V7" s="1" t="e">
        <f t="shared" si="1"/>
        <v>#N/A</v>
      </c>
      <c r="W7" s="1" t="e">
        <f t="shared" ref="W7:W70" si="9">IF(U7="","", 100*_xlfn.STDEV.P(U6:U7)/AVERAGE(U6:U7))</f>
        <v>#N/A</v>
      </c>
      <c r="X7" s="8" t="e" cm="1">
        <f t="array" ref="X7">IF(U7="","", IFERROR(((IF(U$5&lt;&gt;"", U$5*M$5, 0) + SUMPRODUCT(--(U$6:U7&lt;&gt;""), U$6:U7, (M$6:M7-M$5:M6)))/1000)/T$3, ""))</f>
        <v>#N/A</v>
      </c>
    </row>
    <row r="8" spans="1:24" x14ac:dyDescent="0.25">
      <c r="A8" s="1">
        <f t="shared" si="2"/>
        <v>40</v>
      </c>
      <c r="B8" s="1">
        <f t="shared" si="3"/>
        <v>0</v>
      </c>
      <c r="I8" s="1" t="e">
        <f t="shared" si="4"/>
        <v>#N/A</v>
      </c>
      <c r="J8" s="1" t="e">
        <f t="shared" si="0"/>
        <v>#N/A</v>
      </c>
      <c r="K8" s="1" t="e">
        <f t="shared" si="5"/>
        <v>#N/A</v>
      </c>
      <c r="L8" s="8" t="e" cm="1">
        <f t="array" ref="L8">IF(I8="","", IFERROR(((IF(I$5&lt;&gt;"", I$5*A$5, 0) + SUMPRODUCT(--(I$6:I8&lt;&gt;""), I$6:I8, (A$6:A8-A$5:A7)))/1000)/H$3, ""))</f>
        <v>#N/A</v>
      </c>
      <c r="M8" s="1">
        <f t="shared" si="6"/>
        <v>40</v>
      </c>
      <c r="N8" s="1">
        <f t="shared" si="7"/>
        <v>0</v>
      </c>
      <c r="U8" s="1" t="e">
        <f t="shared" si="8"/>
        <v>#N/A</v>
      </c>
      <c r="V8" s="1" t="e">
        <f t="shared" si="1"/>
        <v>#N/A</v>
      </c>
      <c r="W8" s="1" t="e">
        <f t="shared" si="9"/>
        <v>#N/A</v>
      </c>
      <c r="X8" s="8" t="e" cm="1">
        <f t="array" ref="X8">IF(U8="","", IFERROR(((IF(U$5&lt;&gt;"", U$5*M$5, 0) + SUMPRODUCT(--(U$6:U8&lt;&gt;""), U$6:U8, (M$6:M8-M$5:M7)))/1000)/T$3, ""))</f>
        <v>#N/A</v>
      </c>
    </row>
    <row r="9" spans="1:24" x14ac:dyDescent="0.25">
      <c r="A9" s="1">
        <f t="shared" si="2"/>
        <v>50</v>
      </c>
      <c r="B9" s="1">
        <f t="shared" si="3"/>
        <v>0</v>
      </c>
      <c r="I9" s="1" t="e">
        <f t="shared" si="4"/>
        <v>#N/A</v>
      </c>
      <c r="J9" s="1" t="e">
        <f t="shared" si="0"/>
        <v>#N/A</v>
      </c>
      <c r="K9" s="1" t="e">
        <f t="shared" si="5"/>
        <v>#N/A</v>
      </c>
      <c r="L9" s="8" t="e" cm="1">
        <f t="array" ref="L9">IF(I9="","", IFERROR(((IF(I$5&lt;&gt;"", I$5*A$5, 0) + SUMPRODUCT(--(I$6:I9&lt;&gt;""), I$6:I9, (A$6:A9-A$5:A8)))/1000)/H$3, ""))</f>
        <v>#N/A</v>
      </c>
      <c r="M9" s="1">
        <f t="shared" si="6"/>
        <v>50</v>
      </c>
      <c r="N9" s="1">
        <f t="shared" si="7"/>
        <v>0</v>
      </c>
      <c r="U9" s="1" t="e">
        <f t="shared" si="8"/>
        <v>#N/A</v>
      </c>
      <c r="V9" s="1" t="e">
        <f t="shared" si="1"/>
        <v>#N/A</v>
      </c>
      <c r="W9" s="1" t="e">
        <f t="shared" si="9"/>
        <v>#N/A</v>
      </c>
      <c r="X9" s="8" t="e" cm="1">
        <f t="array" ref="X9">IF(U9="","", IFERROR(((IF(U$5&lt;&gt;"", U$5*M$5, 0) + SUMPRODUCT(--(U$6:U9&lt;&gt;""), U$6:U9, (M$6:M9-M$5:M8)))/1000)/T$3, ""))</f>
        <v>#N/A</v>
      </c>
    </row>
    <row r="10" spans="1:24" x14ac:dyDescent="0.25">
      <c r="A10" s="1">
        <f t="shared" si="2"/>
        <v>60</v>
      </c>
      <c r="B10" s="1">
        <f t="shared" si="3"/>
        <v>0</v>
      </c>
      <c r="I10" s="1" t="e">
        <f t="shared" si="4"/>
        <v>#N/A</v>
      </c>
      <c r="J10" s="1" t="e">
        <f t="shared" si="0"/>
        <v>#N/A</v>
      </c>
      <c r="K10" s="1" t="e">
        <f t="shared" si="5"/>
        <v>#N/A</v>
      </c>
      <c r="L10" s="8" t="e" cm="1">
        <f t="array" ref="L10">IF(I10="","", IFERROR(((IF(I$5&lt;&gt;"", I$5*A$5, 0) + SUMPRODUCT(--(I$6:I10&lt;&gt;""), I$6:I10, (A$6:A10-A$5:A9)))/1000)/H$3, ""))</f>
        <v>#N/A</v>
      </c>
      <c r="M10" s="1">
        <f t="shared" si="6"/>
        <v>60</v>
      </c>
      <c r="N10" s="1">
        <f t="shared" si="7"/>
        <v>0</v>
      </c>
      <c r="U10" s="1" t="e">
        <f t="shared" si="8"/>
        <v>#N/A</v>
      </c>
      <c r="V10" s="1" t="e">
        <f t="shared" si="1"/>
        <v>#N/A</v>
      </c>
      <c r="W10" s="1" t="e">
        <f t="shared" si="9"/>
        <v>#N/A</v>
      </c>
      <c r="X10" s="8" t="e" cm="1">
        <f t="array" ref="X10">IF(U10="","", IFERROR(((IF(U$5&lt;&gt;"", U$5*M$5, 0) + SUMPRODUCT(--(U$6:U10&lt;&gt;""), U$6:U10, (M$6:M10-M$5:M9)))/1000)/T$3, ""))</f>
        <v>#N/A</v>
      </c>
    </row>
    <row r="11" spans="1:24" x14ac:dyDescent="0.25">
      <c r="A11" s="1">
        <f t="shared" si="2"/>
        <v>70</v>
      </c>
      <c r="B11" s="1">
        <f t="shared" si="3"/>
        <v>0</v>
      </c>
      <c r="I11" s="1" t="e">
        <f t="shared" si="4"/>
        <v>#N/A</v>
      </c>
      <c r="J11" s="1" t="e">
        <f t="shared" si="0"/>
        <v>#N/A</v>
      </c>
      <c r="K11" s="1" t="e">
        <f t="shared" si="5"/>
        <v>#N/A</v>
      </c>
      <c r="L11" s="8" t="e" cm="1">
        <f t="array" ref="L11">IF(I11="","", IFERROR(((IF(I$5&lt;&gt;"", I$5*A$5, 0) + SUMPRODUCT(--(I$6:I11&lt;&gt;""), I$6:I11, (A$6:A11-A$5:A10)))/1000)/H$3, ""))</f>
        <v>#N/A</v>
      </c>
      <c r="M11" s="1">
        <f t="shared" si="6"/>
        <v>70</v>
      </c>
      <c r="N11" s="1">
        <f t="shared" si="7"/>
        <v>0</v>
      </c>
      <c r="U11" s="1" t="e">
        <f t="shared" si="8"/>
        <v>#N/A</v>
      </c>
      <c r="V11" s="1" t="e">
        <f t="shared" si="1"/>
        <v>#N/A</v>
      </c>
      <c r="W11" s="1" t="e">
        <f t="shared" si="9"/>
        <v>#N/A</v>
      </c>
      <c r="X11" s="8" t="e" cm="1">
        <f t="array" ref="X11">IF(U11="","", IFERROR(((IF(U$5&lt;&gt;"", U$5*M$5, 0) + SUMPRODUCT(--(U$6:U11&lt;&gt;""), U$6:U11, (M$6:M11-M$5:M10)))/1000)/T$3, ""))</f>
        <v>#N/A</v>
      </c>
    </row>
    <row r="12" spans="1:24" x14ac:dyDescent="0.25">
      <c r="A12" s="1">
        <f t="shared" si="2"/>
        <v>80</v>
      </c>
      <c r="B12" s="1">
        <f t="shared" si="3"/>
        <v>0</v>
      </c>
      <c r="I12" s="1" t="e">
        <f t="shared" si="4"/>
        <v>#N/A</v>
      </c>
      <c r="J12" s="1" t="e">
        <f t="shared" si="0"/>
        <v>#N/A</v>
      </c>
      <c r="K12" s="1" t="e">
        <f t="shared" si="5"/>
        <v>#N/A</v>
      </c>
      <c r="L12" s="8" t="e" cm="1">
        <f t="array" ref="L12">IF(I12="","", IFERROR(((IF(I$5&lt;&gt;"", I$5*A$5, 0) + SUMPRODUCT(--(I$6:I12&lt;&gt;""), I$6:I12, (A$6:A12-A$5:A11)))/1000)/H$3, ""))</f>
        <v>#N/A</v>
      </c>
      <c r="M12" s="1">
        <f t="shared" si="6"/>
        <v>80</v>
      </c>
      <c r="N12" s="1">
        <f t="shared" si="7"/>
        <v>0</v>
      </c>
      <c r="U12" s="1" t="e">
        <f t="shared" si="8"/>
        <v>#N/A</v>
      </c>
      <c r="V12" s="1" t="e">
        <f t="shared" si="1"/>
        <v>#N/A</v>
      </c>
      <c r="W12" s="1" t="e">
        <f t="shared" si="9"/>
        <v>#N/A</v>
      </c>
      <c r="X12" s="8" t="e" cm="1">
        <f t="array" ref="X12">IF(U12="","", IFERROR(((IF(U$5&lt;&gt;"", U$5*M$5, 0) + SUMPRODUCT(--(U$6:U12&lt;&gt;""), U$6:U12, (M$6:M12-M$5:M11)))/1000)/T$3, ""))</f>
        <v>#N/A</v>
      </c>
    </row>
    <row r="13" spans="1:24" x14ac:dyDescent="0.25">
      <c r="A13" s="1">
        <f t="shared" si="2"/>
        <v>90</v>
      </c>
      <c r="B13" s="1">
        <f t="shared" si="3"/>
        <v>0</v>
      </c>
      <c r="I13" s="1" t="e">
        <f t="shared" si="4"/>
        <v>#N/A</v>
      </c>
      <c r="J13" s="1" t="e">
        <f t="shared" si="0"/>
        <v>#N/A</v>
      </c>
      <c r="K13" s="1" t="e">
        <f t="shared" si="5"/>
        <v>#N/A</v>
      </c>
      <c r="L13" s="8" t="e" cm="1">
        <f t="array" ref="L13">IF(I13="","", IFERROR(((IF(I$5&lt;&gt;"", I$5*A$5, 0) + SUMPRODUCT(--(I$6:I13&lt;&gt;""), I$6:I13, (A$6:A13-A$5:A12)))/1000)/H$3, ""))</f>
        <v>#N/A</v>
      </c>
      <c r="M13" s="1">
        <f t="shared" si="6"/>
        <v>90</v>
      </c>
      <c r="N13" s="1">
        <f t="shared" si="7"/>
        <v>0</v>
      </c>
      <c r="U13" s="1" t="e">
        <f t="shared" si="8"/>
        <v>#N/A</v>
      </c>
      <c r="V13" s="1" t="e">
        <f t="shared" si="1"/>
        <v>#N/A</v>
      </c>
      <c r="W13" s="1" t="e">
        <f t="shared" si="9"/>
        <v>#N/A</v>
      </c>
      <c r="X13" s="8" t="e" cm="1">
        <f t="array" ref="X13">IF(U13="","", IFERROR(((IF(U$5&lt;&gt;"", U$5*M$5, 0) + SUMPRODUCT(--(U$6:U13&lt;&gt;""), U$6:U13, (M$6:M13-M$5:M12)))/1000)/T$3, ""))</f>
        <v>#N/A</v>
      </c>
    </row>
    <row r="14" spans="1:24" x14ac:dyDescent="0.25">
      <c r="A14" s="1">
        <f t="shared" si="2"/>
        <v>100</v>
      </c>
      <c r="B14" s="1">
        <f t="shared" si="3"/>
        <v>0</v>
      </c>
      <c r="I14" s="1" t="e">
        <f t="shared" si="4"/>
        <v>#N/A</v>
      </c>
      <c r="J14" s="1" t="e">
        <f t="shared" si="0"/>
        <v>#N/A</v>
      </c>
      <c r="K14" s="1" t="e">
        <f t="shared" si="5"/>
        <v>#N/A</v>
      </c>
      <c r="L14" s="8" t="e" cm="1">
        <f t="array" ref="L14">IF(I14="","", IFERROR(((IF(I$5&lt;&gt;"", I$5*A$5, 0) + SUMPRODUCT(--(I$6:I14&lt;&gt;""), I$6:I14, (A$6:A14-A$5:A13)))/1000)/H$3, ""))</f>
        <v>#N/A</v>
      </c>
      <c r="M14" s="1">
        <f t="shared" si="6"/>
        <v>100</v>
      </c>
      <c r="N14" s="1">
        <f t="shared" si="7"/>
        <v>0</v>
      </c>
      <c r="U14" s="1" t="e">
        <f t="shared" si="8"/>
        <v>#N/A</v>
      </c>
      <c r="V14" s="1" t="e">
        <f t="shared" si="1"/>
        <v>#N/A</v>
      </c>
      <c r="W14" s="1" t="e">
        <f t="shared" si="9"/>
        <v>#N/A</v>
      </c>
      <c r="X14" s="8" t="e" cm="1">
        <f t="array" ref="X14">IF(U14="","", IFERROR(((IF(U$5&lt;&gt;"", U$5*M$5, 0) + SUMPRODUCT(--(U$6:U14&lt;&gt;""), U$6:U14, (M$6:M14-M$5:M13)))/1000)/T$3, ""))</f>
        <v>#N/A</v>
      </c>
    </row>
    <row r="15" spans="1:24" x14ac:dyDescent="0.25">
      <c r="A15" s="1">
        <f t="shared" si="2"/>
        <v>110</v>
      </c>
      <c r="B15" s="1">
        <f t="shared" si="3"/>
        <v>0</v>
      </c>
      <c r="I15" s="1" t="e">
        <f t="shared" si="4"/>
        <v>#N/A</v>
      </c>
      <c r="J15" s="1" t="e">
        <f t="shared" si="0"/>
        <v>#N/A</v>
      </c>
      <c r="K15" s="1" t="e">
        <f t="shared" si="5"/>
        <v>#N/A</v>
      </c>
      <c r="L15" s="8" t="e" cm="1">
        <f t="array" ref="L15">IF(I15="","", IFERROR(((IF(I$5&lt;&gt;"", I$5*A$5, 0) + SUMPRODUCT(--(I$6:I15&lt;&gt;""), I$6:I15, (A$6:A15-A$5:A14)))/1000)/H$3, ""))</f>
        <v>#N/A</v>
      </c>
      <c r="M15" s="1">
        <f t="shared" si="6"/>
        <v>110</v>
      </c>
      <c r="N15" s="1">
        <f t="shared" si="7"/>
        <v>0</v>
      </c>
      <c r="U15" s="1" t="e">
        <f t="shared" si="8"/>
        <v>#N/A</v>
      </c>
      <c r="V15" s="1" t="e">
        <f t="shared" si="1"/>
        <v>#N/A</v>
      </c>
      <c r="W15" s="1" t="e">
        <f t="shared" si="9"/>
        <v>#N/A</v>
      </c>
      <c r="X15" s="8" t="e" cm="1">
        <f t="array" ref="X15">IF(U15="","", IFERROR(((IF(U$5&lt;&gt;"", U$5*M$5, 0) + SUMPRODUCT(--(U$6:U15&lt;&gt;""), U$6:U15, (M$6:M15-M$5:M14)))/1000)/T$3, ""))</f>
        <v>#N/A</v>
      </c>
    </row>
    <row r="16" spans="1:24" x14ac:dyDescent="0.25">
      <c r="A16" s="1">
        <f t="shared" si="2"/>
        <v>120</v>
      </c>
      <c r="B16" s="1">
        <f t="shared" si="3"/>
        <v>0</v>
      </c>
      <c r="I16" s="1" t="e">
        <f t="shared" si="4"/>
        <v>#N/A</v>
      </c>
      <c r="J16" s="1" t="e">
        <f t="shared" si="0"/>
        <v>#N/A</v>
      </c>
      <c r="K16" s="1" t="e">
        <f t="shared" si="5"/>
        <v>#N/A</v>
      </c>
      <c r="L16" s="8" t="e" cm="1">
        <f t="array" ref="L16">IF(I16="","", IFERROR(((IF(I$5&lt;&gt;"", I$5*A$5, 0) + SUMPRODUCT(--(I$6:I16&lt;&gt;""), I$6:I16, (A$6:A16-A$5:A15)))/1000)/H$3, ""))</f>
        <v>#N/A</v>
      </c>
      <c r="M16" s="1">
        <f t="shared" si="6"/>
        <v>120</v>
      </c>
      <c r="N16" s="1">
        <f t="shared" si="7"/>
        <v>0</v>
      </c>
      <c r="U16" s="1" t="e">
        <f t="shared" si="8"/>
        <v>#N/A</v>
      </c>
      <c r="V16" s="1" t="e">
        <f t="shared" si="1"/>
        <v>#N/A</v>
      </c>
      <c r="W16" s="1" t="e">
        <f t="shared" si="9"/>
        <v>#N/A</v>
      </c>
      <c r="X16" s="8" t="e" cm="1">
        <f t="array" ref="X16">IF(U16="","", IFERROR(((IF(U$5&lt;&gt;"", U$5*M$5, 0) + SUMPRODUCT(--(U$6:U16&lt;&gt;""), U$6:U16, (M$6:M16-M$5:M15)))/1000)/T$3, ""))</f>
        <v>#N/A</v>
      </c>
    </row>
    <row r="17" spans="1:24" x14ac:dyDescent="0.25">
      <c r="A17" s="1">
        <f t="shared" si="2"/>
        <v>130</v>
      </c>
      <c r="B17" s="1">
        <f t="shared" si="3"/>
        <v>0</v>
      </c>
      <c r="I17" s="1" t="e">
        <f t="shared" si="4"/>
        <v>#N/A</v>
      </c>
      <c r="J17" s="1" t="e">
        <f t="shared" si="0"/>
        <v>#N/A</v>
      </c>
      <c r="K17" s="1" t="e">
        <f t="shared" si="5"/>
        <v>#N/A</v>
      </c>
      <c r="L17" s="8" t="e" cm="1">
        <f t="array" ref="L17">IF(I17="","", IFERROR(((IF(I$5&lt;&gt;"", I$5*A$5, 0) + SUMPRODUCT(--(I$6:I17&lt;&gt;""), I$6:I17, (A$6:A17-A$5:A16)))/1000)/H$3, ""))</f>
        <v>#N/A</v>
      </c>
      <c r="M17" s="1">
        <f t="shared" si="6"/>
        <v>130</v>
      </c>
      <c r="N17" s="1">
        <f t="shared" si="7"/>
        <v>0</v>
      </c>
      <c r="U17" s="1" t="e">
        <f t="shared" si="8"/>
        <v>#N/A</v>
      </c>
      <c r="V17" s="1" t="e">
        <f t="shared" si="1"/>
        <v>#N/A</v>
      </c>
      <c r="W17" s="1" t="e">
        <f t="shared" si="9"/>
        <v>#N/A</v>
      </c>
      <c r="X17" s="8" t="e" cm="1">
        <f t="array" ref="X17">IF(U17="","", IFERROR(((IF(U$5&lt;&gt;"", U$5*M$5, 0) + SUMPRODUCT(--(U$6:U17&lt;&gt;""), U$6:U17, (M$6:M17-M$5:M16)))/1000)/T$3, ""))</f>
        <v>#N/A</v>
      </c>
    </row>
    <row r="18" spans="1:24" x14ac:dyDescent="0.25">
      <c r="A18" s="1">
        <f t="shared" si="2"/>
        <v>140</v>
      </c>
      <c r="B18" s="1">
        <f t="shared" si="3"/>
        <v>0</v>
      </c>
      <c r="I18" s="1" t="e">
        <f t="shared" si="4"/>
        <v>#N/A</v>
      </c>
      <c r="J18" s="1" t="e">
        <f t="shared" si="0"/>
        <v>#N/A</v>
      </c>
      <c r="K18" s="1" t="e">
        <f t="shared" si="5"/>
        <v>#N/A</v>
      </c>
      <c r="L18" s="8" t="e" cm="1">
        <f t="array" ref="L18">IF(I18="","", IFERROR(((IF(I$5&lt;&gt;"", I$5*A$5, 0) + SUMPRODUCT(--(I$6:I18&lt;&gt;""), I$6:I18, (A$6:A18-A$5:A17)))/1000)/H$3, ""))</f>
        <v>#N/A</v>
      </c>
      <c r="M18" s="1">
        <f t="shared" si="6"/>
        <v>140</v>
      </c>
      <c r="N18" s="1">
        <f t="shared" si="7"/>
        <v>0</v>
      </c>
      <c r="U18" s="1" t="e">
        <f t="shared" si="8"/>
        <v>#N/A</v>
      </c>
      <c r="V18" s="1" t="e">
        <f t="shared" si="1"/>
        <v>#N/A</v>
      </c>
      <c r="W18" s="1" t="e">
        <f t="shared" si="9"/>
        <v>#N/A</v>
      </c>
      <c r="X18" s="8" t="e" cm="1">
        <f t="array" ref="X18">IF(U18="","", IFERROR(((IF(U$5&lt;&gt;"", U$5*M$5, 0) + SUMPRODUCT(--(U$6:U18&lt;&gt;""), U$6:U18, (M$6:M18-M$5:M17)))/1000)/T$3, ""))</f>
        <v>#N/A</v>
      </c>
    </row>
    <row r="19" spans="1:24" x14ac:dyDescent="0.25">
      <c r="A19" s="1">
        <f t="shared" si="2"/>
        <v>150</v>
      </c>
      <c r="B19" s="1">
        <f t="shared" si="3"/>
        <v>0</v>
      </c>
      <c r="I19" s="1" t="e">
        <f t="shared" si="4"/>
        <v>#N/A</v>
      </c>
      <c r="J19" s="1" t="e">
        <f t="shared" si="0"/>
        <v>#N/A</v>
      </c>
      <c r="K19" s="1" t="e">
        <f t="shared" si="5"/>
        <v>#N/A</v>
      </c>
      <c r="L19" s="8" t="e" cm="1">
        <f t="array" ref="L19">IF(I19="","", IFERROR(((IF(I$5&lt;&gt;"", I$5*A$5, 0) + SUMPRODUCT(--(I$6:I19&lt;&gt;""), I$6:I19, (A$6:A19-A$5:A18)))/1000)/H$3, ""))</f>
        <v>#N/A</v>
      </c>
      <c r="M19" s="1">
        <f t="shared" si="6"/>
        <v>150</v>
      </c>
      <c r="N19" s="1">
        <f t="shared" si="7"/>
        <v>0</v>
      </c>
      <c r="U19" s="1" t="e">
        <f t="shared" si="8"/>
        <v>#N/A</v>
      </c>
      <c r="V19" s="1" t="e">
        <f t="shared" si="1"/>
        <v>#N/A</v>
      </c>
      <c r="W19" s="1" t="e">
        <f t="shared" si="9"/>
        <v>#N/A</v>
      </c>
      <c r="X19" s="8" t="e" cm="1">
        <f t="array" ref="X19">IF(U19="","", IFERROR(((IF(U$5&lt;&gt;"", U$5*M$5, 0) + SUMPRODUCT(--(U$6:U19&lt;&gt;""), U$6:U19, (M$6:M19-M$5:M18)))/1000)/T$3, ""))</f>
        <v>#N/A</v>
      </c>
    </row>
    <row r="20" spans="1:24" x14ac:dyDescent="0.25">
      <c r="A20" s="1">
        <f t="shared" si="2"/>
        <v>160</v>
      </c>
      <c r="B20" s="1">
        <f t="shared" si="3"/>
        <v>0</v>
      </c>
      <c r="I20" s="1" t="e">
        <f t="shared" si="4"/>
        <v>#N/A</v>
      </c>
      <c r="J20" s="1" t="e">
        <f t="shared" si="0"/>
        <v>#N/A</v>
      </c>
      <c r="K20" s="1" t="e">
        <f t="shared" si="5"/>
        <v>#N/A</v>
      </c>
      <c r="L20" s="8" t="e" cm="1">
        <f t="array" ref="L20">IF(I20="","", IFERROR(((IF(I$5&lt;&gt;"", I$5*A$5, 0) + SUMPRODUCT(--(I$6:I20&lt;&gt;""), I$6:I20, (A$6:A20-A$5:A19)))/1000)/H$3, ""))</f>
        <v>#N/A</v>
      </c>
      <c r="M20" s="1">
        <f t="shared" si="6"/>
        <v>160</v>
      </c>
      <c r="N20" s="1">
        <f t="shared" si="7"/>
        <v>0</v>
      </c>
      <c r="U20" s="1" t="e">
        <f t="shared" si="8"/>
        <v>#N/A</v>
      </c>
      <c r="V20" s="1" t="e">
        <f t="shared" si="1"/>
        <v>#N/A</v>
      </c>
      <c r="W20" s="1" t="e">
        <f t="shared" si="9"/>
        <v>#N/A</v>
      </c>
      <c r="X20" s="8" t="e" cm="1">
        <f t="array" ref="X20">IF(U20="","", IFERROR(((IF(U$5&lt;&gt;"", U$5*M$5, 0) + SUMPRODUCT(--(U$6:U20&lt;&gt;""), U$6:U20, (M$6:M20-M$5:M19)))/1000)/T$3, ""))</f>
        <v>#N/A</v>
      </c>
    </row>
    <row r="21" spans="1:24" x14ac:dyDescent="0.25">
      <c r="A21" s="1">
        <f t="shared" si="2"/>
        <v>170</v>
      </c>
      <c r="B21" s="1">
        <f t="shared" si="3"/>
        <v>0</v>
      </c>
      <c r="I21" s="1" t="e">
        <f t="shared" si="4"/>
        <v>#N/A</v>
      </c>
      <c r="J21" s="1" t="e">
        <f t="shared" si="0"/>
        <v>#N/A</v>
      </c>
      <c r="K21" s="1" t="e">
        <f t="shared" si="5"/>
        <v>#N/A</v>
      </c>
      <c r="L21" s="8" t="e" cm="1">
        <f t="array" ref="L21">IF(I21="","", IFERROR(((IF(I$5&lt;&gt;"", I$5*A$5, 0) + SUMPRODUCT(--(I$6:I21&lt;&gt;""), I$6:I21, (A$6:A21-A$5:A20)))/1000)/H$3, ""))</f>
        <v>#N/A</v>
      </c>
      <c r="M21" s="1">
        <f t="shared" si="6"/>
        <v>170</v>
      </c>
      <c r="N21" s="1">
        <f t="shared" si="7"/>
        <v>0</v>
      </c>
      <c r="U21" s="1" t="e">
        <f t="shared" si="8"/>
        <v>#N/A</v>
      </c>
      <c r="V21" s="1" t="e">
        <f t="shared" si="1"/>
        <v>#N/A</v>
      </c>
      <c r="W21" s="1" t="e">
        <f t="shared" si="9"/>
        <v>#N/A</v>
      </c>
      <c r="X21" s="8" t="e" cm="1">
        <f t="array" ref="X21">IF(U21="","", IFERROR(((IF(U$5&lt;&gt;"", U$5*M$5, 0) + SUMPRODUCT(--(U$6:U21&lt;&gt;""), U$6:U21, (M$6:M21-M$5:M20)))/1000)/T$3, ""))</f>
        <v>#N/A</v>
      </c>
    </row>
    <row r="22" spans="1:24" x14ac:dyDescent="0.25">
      <c r="A22" s="1">
        <f t="shared" si="2"/>
        <v>180</v>
      </c>
      <c r="B22" s="1">
        <f t="shared" si="3"/>
        <v>0</v>
      </c>
      <c r="I22" s="1" t="e">
        <f t="shared" si="4"/>
        <v>#N/A</v>
      </c>
      <c r="J22" s="1" t="e">
        <f t="shared" si="0"/>
        <v>#N/A</v>
      </c>
      <c r="K22" s="1" t="e">
        <f t="shared" si="5"/>
        <v>#N/A</v>
      </c>
      <c r="L22" s="8" t="e" cm="1">
        <f t="array" ref="L22">IF(I22="","", IFERROR(((IF(I$5&lt;&gt;"", I$5*A$5, 0) + SUMPRODUCT(--(I$6:I22&lt;&gt;""), I$6:I22, (A$6:A22-A$5:A21)))/1000)/H$3, ""))</f>
        <v>#N/A</v>
      </c>
      <c r="M22" s="1">
        <f t="shared" si="6"/>
        <v>180</v>
      </c>
      <c r="N22" s="1">
        <f t="shared" si="7"/>
        <v>0</v>
      </c>
      <c r="U22" s="1" t="e">
        <f t="shared" si="8"/>
        <v>#N/A</v>
      </c>
      <c r="V22" s="1" t="e">
        <f t="shared" si="1"/>
        <v>#N/A</v>
      </c>
      <c r="W22" s="1" t="e">
        <f t="shared" si="9"/>
        <v>#N/A</v>
      </c>
      <c r="X22" s="8" t="e" cm="1">
        <f t="array" ref="X22">IF(U22="","", IFERROR(((IF(U$5&lt;&gt;"", U$5*M$5, 0) + SUMPRODUCT(--(U$6:U22&lt;&gt;""), U$6:U22, (M$6:M22-M$5:M21)))/1000)/T$3, ""))</f>
        <v>#N/A</v>
      </c>
    </row>
    <row r="23" spans="1:24" x14ac:dyDescent="0.25">
      <c r="A23" s="1">
        <f t="shared" si="2"/>
        <v>190</v>
      </c>
      <c r="B23" s="1">
        <f t="shared" si="3"/>
        <v>0</v>
      </c>
      <c r="I23" s="1" t="e">
        <f t="shared" si="4"/>
        <v>#N/A</v>
      </c>
      <c r="J23" s="1" t="e">
        <f t="shared" si="0"/>
        <v>#N/A</v>
      </c>
      <c r="K23" s="1" t="e">
        <f t="shared" si="5"/>
        <v>#N/A</v>
      </c>
      <c r="L23" s="8" t="e" cm="1">
        <f t="array" ref="L23">IF(I23="","", IFERROR(((IF(I$5&lt;&gt;"", I$5*A$5, 0) + SUMPRODUCT(--(I$6:I23&lt;&gt;""), I$6:I23, (A$6:A23-A$5:A22)))/1000)/H$3, ""))</f>
        <v>#N/A</v>
      </c>
      <c r="M23" s="1">
        <f t="shared" si="6"/>
        <v>190</v>
      </c>
      <c r="N23" s="1">
        <f t="shared" si="7"/>
        <v>0</v>
      </c>
      <c r="U23" s="1" t="e">
        <f t="shared" si="8"/>
        <v>#N/A</v>
      </c>
      <c r="V23" s="1" t="e">
        <f t="shared" si="1"/>
        <v>#N/A</v>
      </c>
      <c r="W23" s="1" t="e">
        <f t="shared" si="9"/>
        <v>#N/A</v>
      </c>
      <c r="X23" s="8" t="e" cm="1">
        <f t="array" ref="X23">IF(U23="","", IFERROR(((IF(U$5&lt;&gt;"", U$5*M$5, 0) + SUMPRODUCT(--(U$6:U23&lt;&gt;""), U$6:U23, (M$6:M23-M$5:M22)))/1000)/T$3, ""))</f>
        <v>#N/A</v>
      </c>
    </row>
    <row r="24" spans="1:24" x14ac:dyDescent="0.25">
      <c r="A24" s="1">
        <f t="shared" si="2"/>
        <v>200</v>
      </c>
      <c r="B24" s="1">
        <f t="shared" si="3"/>
        <v>0</v>
      </c>
      <c r="I24" s="1" t="e">
        <f t="shared" si="4"/>
        <v>#N/A</v>
      </c>
      <c r="J24" s="1" t="e">
        <f t="shared" si="0"/>
        <v>#N/A</v>
      </c>
      <c r="K24" s="1" t="e">
        <f t="shared" si="5"/>
        <v>#N/A</v>
      </c>
      <c r="L24" s="8" t="e" cm="1">
        <f t="array" ref="L24">IF(I24="","", IFERROR(((IF(I$5&lt;&gt;"", I$5*A$5, 0) + SUMPRODUCT(--(I$6:I24&lt;&gt;""), I$6:I24, (A$6:A24-A$5:A23)))/1000)/H$3, ""))</f>
        <v>#N/A</v>
      </c>
      <c r="M24" s="1">
        <f t="shared" si="6"/>
        <v>200</v>
      </c>
      <c r="N24" s="1">
        <f t="shared" si="7"/>
        <v>0</v>
      </c>
      <c r="U24" s="1" t="e">
        <f t="shared" si="8"/>
        <v>#N/A</v>
      </c>
      <c r="V24" s="1" t="e">
        <f t="shared" si="1"/>
        <v>#N/A</v>
      </c>
      <c r="W24" s="1" t="e">
        <f t="shared" si="9"/>
        <v>#N/A</v>
      </c>
      <c r="X24" s="8" t="e" cm="1">
        <f t="array" ref="X24">IF(U24="","", IFERROR(((IF(U$5&lt;&gt;"", U$5*M$5, 0) + SUMPRODUCT(--(U$6:U24&lt;&gt;""), U$6:U24, (M$6:M24-M$5:M23)))/1000)/T$3, ""))</f>
        <v>#N/A</v>
      </c>
    </row>
    <row r="25" spans="1:24" x14ac:dyDescent="0.25">
      <c r="A25" s="1">
        <f t="shared" si="2"/>
        <v>210</v>
      </c>
      <c r="B25" s="1">
        <f t="shared" si="3"/>
        <v>0</v>
      </c>
      <c r="I25" s="1" t="e">
        <f t="shared" si="4"/>
        <v>#N/A</v>
      </c>
      <c r="J25" s="1" t="e">
        <f t="shared" si="0"/>
        <v>#N/A</v>
      </c>
      <c r="K25" s="1" t="e">
        <f t="shared" si="5"/>
        <v>#N/A</v>
      </c>
      <c r="L25" s="8" t="e" cm="1">
        <f t="array" ref="L25">IF(I25="","", IFERROR(((IF(I$5&lt;&gt;"", I$5*A$5, 0) + SUMPRODUCT(--(I$6:I25&lt;&gt;""), I$6:I25, (A$6:A25-A$5:A24)))/1000)/H$3, ""))</f>
        <v>#N/A</v>
      </c>
      <c r="M25" s="1">
        <f t="shared" si="6"/>
        <v>210</v>
      </c>
      <c r="N25" s="1">
        <f t="shared" si="7"/>
        <v>0</v>
      </c>
      <c r="U25" s="1" t="e">
        <f t="shared" si="8"/>
        <v>#N/A</v>
      </c>
      <c r="V25" s="1" t="e">
        <f t="shared" si="1"/>
        <v>#N/A</v>
      </c>
      <c r="W25" s="1" t="e">
        <f t="shared" si="9"/>
        <v>#N/A</v>
      </c>
      <c r="X25" s="8" t="e" cm="1">
        <f t="array" ref="X25">IF(U25="","", IFERROR(((IF(U$5&lt;&gt;"", U$5*M$5, 0) + SUMPRODUCT(--(U$6:U25&lt;&gt;""), U$6:U25, (M$6:M25-M$5:M24)))/1000)/T$3, ""))</f>
        <v>#N/A</v>
      </c>
    </row>
    <row r="26" spans="1:24" x14ac:dyDescent="0.25">
      <c r="A26" s="1">
        <f t="shared" si="2"/>
        <v>220</v>
      </c>
      <c r="B26" s="1">
        <f t="shared" si="3"/>
        <v>0</v>
      </c>
      <c r="I26" s="1" t="e">
        <f t="shared" si="4"/>
        <v>#N/A</v>
      </c>
      <c r="J26" s="1" t="e">
        <f t="shared" si="0"/>
        <v>#N/A</v>
      </c>
      <c r="K26" s="1" t="e">
        <f t="shared" si="5"/>
        <v>#N/A</v>
      </c>
      <c r="L26" s="8" t="e" cm="1">
        <f t="array" ref="L26">IF(I26="","", IFERROR(((IF(I$5&lt;&gt;"", I$5*A$5, 0) + SUMPRODUCT(--(I$6:I26&lt;&gt;""), I$6:I26, (A$6:A26-A$5:A25)))/1000)/H$3, ""))</f>
        <v>#N/A</v>
      </c>
      <c r="M26" s="1">
        <f t="shared" si="6"/>
        <v>220</v>
      </c>
      <c r="N26" s="1">
        <f t="shared" si="7"/>
        <v>0</v>
      </c>
      <c r="U26" s="1" t="e">
        <f t="shared" si="8"/>
        <v>#N/A</v>
      </c>
      <c r="V26" s="1" t="e">
        <f t="shared" si="1"/>
        <v>#N/A</v>
      </c>
      <c r="W26" s="1" t="e">
        <f t="shared" si="9"/>
        <v>#N/A</v>
      </c>
      <c r="X26" s="8" t="e" cm="1">
        <f t="array" ref="X26">IF(U26="","", IFERROR(((IF(U$5&lt;&gt;"", U$5*M$5, 0) + SUMPRODUCT(--(U$6:U26&lt;&gt;""), U$6:U26, (M$6:M26-M$5:M25)))/1000)/T$3, ""))</f>
        <v>#N/A</v>
      </c>
    </row>
    <row r="27" spans="1:24" x14ac:dyDescent="0.25">
      <c r="A27" s="1">
        <f t="shared" si="2"/>
        <v>230</v>
      </c>
      <c r="B27" s="1">
        <f t="shared" si="3"/>
        <v>0</v>
      </c>
      <c r="I27" s="1" t="e">
        <f t="shared" si="4"/>
        <v>#N/A</v>
      </c>
      <c r="J27" s="1" t="e">
        <f t="shared" si="0"/>
        <v>#N/A</v>
      </c>
      <c r="K27" s="1" t="e">
        <f t="shared" si="5"/>
        <v>#N/A</v>
      </c>
      <c r="L27" s="8" t="e" cm="1">
        <f t="array" ref="L27">IF(I27="","", IFERROR(((IF(I$5&lt;&gt;"", I$5*A$5, 0) + SUMPRODUCT(--(I$6:I27&lt;&gt;""), I$6:I27, (A$6:A27-A$5:A26)))/1000)/H$3, ""))</f>
        <v>#N/A</v>
      </c>
      <c r="M27" s="1">
        <f t="shared" si="6"/>
        <v>230</v>
      </c>
      <c r="N27" s="1">
        <f t="shared" si="7"/>
        <v>0</v>
      </c>
      <c r="U27" s="1" t="e">
        <f t="shared" si="8"/>
        <v>#N/A</v>
      </c>
      <c r="V27" s="1" t="e">
        <f t="shared" si="1"/>
        <v>#N/A</v>
      </c>
      <c r="W27" s="1" t="e">
        <f t="shared" si="9"/>
        <v>#N/A</v>
      </c>
      <c r="X27" s="8" t="e" cm="1">
        <f t="array" ref="X27">IF(U27="","", IFERROR(((IF(U$5&lt;&gt;"", U$5*M$5, 0) + SUMPRODUCT(--(U$6:U27&lt;&gt;""), U$6:U27, (M$6:M27-M$5:M26)))/1000)/T$3, ""))</f>
        <v>#N/A</v>
      </c>
    </row>
    <row r="28" spans="1:24" x14ac:dyDescent="0.25">
      <c r="A28" s="1">
        <f t="shared" si="2"/>
        <v>240</v>
      </c>
      <c r="B28" s="1">
        <f t="shared" si="3"/>
        <v>0</v>
      </c>
      <c r="I28" s="1" t="e">
        <f t="shared" si="4"/>
        <v>#N/A</v>
      </c>
      <c r="J28" s="1" t="e">
        <f t="shared" si="0"/>
        <v>#N/A</v>
      </c>
      <c r="K28" s="1" t="e">
        <f t="shared" si="5"/>
        <v>#N/A</v>
      </c>
      <c r="L28" s="8" t="e" cm="1">
        <f t="array" ref="L28">IF(I28="","", IFERROR(((IF(I$5&lt;&gt;"", I$5*A$5, 0) + SUMPRODUCT(--(I$6:I28&lt;&gt;""), I$6:I28, (A$6:A28-A$5:A27)))/1000)/H$3, ""))</f>
        <v>#N/A</v>
      </c>
      <c r="M28" s="1">
        <f t="shared" si="6"/>
        <v>240</v>
      </c>
      <c r="N28" s="1">
        <f t="shared" si="7"/>
        <v>0</v>
      </c>
      <c r="U28" s="1" t="e">
        <f t="shared" si="8"/>
        <v>#N/A</v>
      </c>
      <c r="V28" s="1" t="e">
        <f t="shared" si="1"/>
        <v>#N/A</v>
      </c>
      <c r="W28" s="1" t="e">
        <f t="shared" si="9"/>
        <v>#N/A</v>
      </c>
      <c r="X28" s="8" t="e" cm="1">
        <f t="array" ref="X28">IF(U28="","", IFERROR(((IF(U$5&lt;&gt;"", U$5*M$5, 0) + SUMPRODUCT(--(U$6:U28&lt;&gt;""), U$6:U28, (M$6:M28-M$5:M27)))/1000)/T$3, ""))</f>
        <v>#N/A</v>
      </c>
    </row>
    <row r="29" spans="1:24" x14ac:dyDescent="0.25">
      <c r="A29" s="1">
        <f t="shared" si="2"/>
        <v>250</v>
      </c>
      <c r="B29" s="1">
        <f t="shared" si="3"/>
        <v>0</v>
      </c>
      <c r="F29" s="9"/>
      <c r="G29" s="9"/>
      <c r="H29" s="9"/>
      <c r="I29" s="1" t="e">
        <f t="shared" si="4"/>
        <v>#N/A</v>
      </c>
      <c r="J29" s="1" t="e">
        <f t="shared" si="0"/>
        <v>#N/A</v>
      </c>
      <c r="K29" s="1" t="e">
        <f t="shared" si="5"/>
        <v>#N/A</v>
      </c>
      <c r="L29" s="8" t="e" cm="1">
        <f t="array" ref="L29">IF(I29="","", IFERROR(((IF(I$5&lt;&gt;"", I$5*A$5, 0) + SUMPRODUCT(--(I$6:I29&lt;&gt;""), I$6:I29, (A$6:A29-A$5:A28)))/1000)/H$3, ""))</f>
        <v>#N/A</v>
      </c>
      <c r="M29" s="1">
        <f t="shared" si="6"/>
        <v>250</v>
      </c>
      <c r="N29" s="1">
        <f t="shared" si="7"/>
        <v>0</v>
      </c>
      <c r="R29" s="9"/>
      <c r="S29" s="9"/>
      <c r="T29" s="9"/>
      <c r="U29" s="1" t="e">
        <f t="shared" si="8"/>
        <v>#N/A</v>
      </c>
      <c r="V29" s="1" t="e">
        <f t="shared" si="1"/>
        <v>#N/A</v>
      </c>
      <c r="W29" s="1" t="e">
        <f t="shared" si="9"/>
        <v>#N/A</v>
      </c>
      <c r="X29" s="8" t="e" cm="1">
        <f t="array" ref="X29">IF(U29="","", IFERROR(((IF(U$5&lt;&gt;"", U$5*M$5, 0) + SUMPRODUCT(--(U$6:U29&lt;&gt;""), U$6:U29, (M$6:M29-M$5:M28)))/1000)/T$3, ""))</f>
        <v>#N/A</v>
      </c>
    </row>
    <row r="30" spans="1:24" x14ac:dyDescent="0.25">
      <c r="A30" s="1">
        <f t="shared" si="2"/>
        <v>260</v>
      </c>
      <c r="B30" s="1">
        <f t="shared" si="3"/>
        <v>0</v>
      </c>
      <c r="I30" s="1" t="e">
        <f t="shared" si="4"/>
        <v>#N/A</v>
      </c>
      <c r="J30" s="1" t="e">
        <f t="shared" si="0"/>
        <v>#N/A</v>
      </c>
      <c r="K30" s="1" t="e">
        <f t="shared" si="5"/>
        <v>#N/A</v>
      </c>
      <c r="L30" s="8" t="e" cm="1">
        <f t="array" ref="L30">IF(I30="","", IFERROR(((IF(I$5&lt;&gt;"", I$5*A$5, 0) + SUMPRODUCT(--(I$6:I30&lt;&gt;""), I$6:I30, (A$6:A30-A$5:A29)))/1000)/H$3, ""))</f>
        <v>#N/A</v>
      </c>
      <c r="M30" s="1">
        <f t="shared" si="6"/>
        <v>260</v>
      </c>
      <c r="N30" s="1">
        <f t="shared" si="7"/>
        <v>0</v>
      </c>
      <c r="U30" s="1" t="e">
        <f t="shared" si="8"/>
        <v>#N/A</v>
      </c>
      <c r="V30" s="1" t="e">
        <f t="shared" si="1"/>
        <v>#N/A</v>
      </c>
      <c r="W30" s="1" t="e">
        <f t="shared" si="9"/>
        <v>#N/A</v>
      </c>
      <c r="X30" s="8" t="e" cm="1">
        <f t="array" ref="X30">IF(U30="","", IFERROR(((IF(U$5&lt;&gt;"", U$5*M$5, 0) + SUMPRODUCT(--(U$6:U30&lt;&gt;""), U$6:U30, (M$6:M30-M$5:M29)))/1000)/T$3, ""))</f>
        <v>#N/A</v>
      </c>
    </row>
    <row r="31" spans="1:24" x14ac:dyDescent="0.25">
      <c r="A31" s="1">
        <f t="shared" si="2"/>
        <v>270</v>
      </c>
      <c r="B31" s="1">
        <f t="shared" si="3"/>
        <v>0</v>
      </c>
      <c r="I31" s="1" t="e">
        <f t="shared" si="4"/>
        <v>#N/A</v>
      </c>
      <c r="J31" s="1" t="e">
        <f t="shared" si="0"/>
        <v>#N/A</v>
      </c>
      <c r="K31" s="1" t="e">
        <f t="shared" si="5"/>
        <v>#N/A</v>
      </c>
      <c r="L31" s="8" t="e" cm="1">
        <f t="array" ref="L31">IF(I31="","", IFERROR(((IF(I$5&lt;&gt;"", I$5*A$5, 0) + SUMPRODUCT(--(I$6:I31&lt;&gt;""), I$6:I31, (A$6:A31-A$5:A30)))/1000)/H$3, ""))</f>
        <v>#N/A</v>
      </c>
      <c r="M31" s="1">
        <f t="shared" si="6"/>
        <v>270</v>
      </c>
      <c r="N31" s="1">
        <f t="shared" si="7"/>
        <v>0</v>
      </c>
      <c r="U31" s="1" t="e">
        <f t="shared" si="8"/>
        <v>#N/A</v>
      </c>
      <c r="V31" s="1" t="e">
        <f t="shared" si="1"/>
        <v>#N/A</v>
      </c>
      <c r="W31" s="1" t="e">
        <f t="shared" si="9"/>
        <v>#N/A</v>
      </c>
      <c r="X31" s="8" t="e" cm="1">
        <f t="array" ref="X31">IF(U31="","", IFERROR(((IF(U$5&lt;&gt;"", U$5*M$5, 0) + SUMPRODUCT(--(U$6:U31&lt;&gt;""), U$6:U31, (M$6:M31-M$5:M30)))/1000)/T$3, ""))</f>
        <v>#N/A</v>
      </c>
    </row>
    <row r="32" spans="1:24" x14ac:dyDescent="0.25">
      <c r="A32" s="1">
        <f t="shared" si="2"/>
        <v>280</v>
      </c>
      <c r="B32" s="1">
        <f t="shared" si="3"/>
        <v>0</v>
      </c>
      <c r="I32" s="1" t="e">
        <f t="shared" si="4"/>
        <v>#N/A</v>
      </c>
      <c r="J32" s="1" t="e">
        <f t="shared" si="0"/>
        <v>#N/A</v>
      </c>
      <c r="K32" s="1" t="e">
        <f t="shared" si="5"/>
        <v>#N/A</v>
      </c>
      <c r="L32" s="8" t="e" cm="1">
        <f t="array" ref="L32">IF(I32="","", IFERROR(((IF(I$5&lt;&gt;"", I$5*A$5, 0) + SUMPRODUCT(--(I$6:I32&lt;&gt;""), I$6:I32, (A$6:A32-A$5:A31)))/1000)/H$3, ""))</f>
        <v>#N/A</v>
      </c>
      <c r="M32" s="1">
        <f t="shared" si="6"/>
        <v>280</v>
      </c>
      <c r="N32" s="1">
        <f t="shared" si="7"/>
        <v>0</v>
      </c>
      <c r="U32" s="1" t="e">
        <f t="shared" si="8"/>
        <v>#N/A</v>
      </c>
      <c r="V32" s="1" t="e">
        <f t="shared" si="1"/>
        <v>#N/A</v>
      </c>
      <c r="W32" s="1" t="e">
        <f t="shared" si="9"/>
        <v>#N/A</v>
      </c>
      <c r="X32" s="8" t="e" cm="1">
        <f t="array" ref="X32">IF(U32="","", IFERROR(((IF(U$5&lt;&gt;"", U$5*M$5, 0) + SUMPRODUCT(--(U$6:U32&lt;&gt;""), U$6:U32, (M$6:M32-M$5:M31)))/1000)/T$3, ""))</f>
        <v>#N/A</v>
      </c>
    </row>
    <row r="33" spans="1:24" x14ac:dyDescent="0.25">
      <c r="A33" s="1">
        <f t="shared" si="2"/>
        <v>290</v>
      </c>
      <c r="B33" s="1">
        <f t="shared" si="3"/>
        <v>0</v>
      </c>
      <c r="I33" s="1" t="e">
        <f t="shared" si="4"/>
        <v>#N/A</v>
      </c>
      <c r="J33" s="1" t="e">
        <f t="shared" si="0"/>
        <v>#N/A</v>
      </c>
      <c r="K33" s="1" t="e">
        <f t="shared" si="5"/>
        <v>#N/A</v>
      </c>
      <c r="L33" s="8" t="e" cm="1">
        <f t="array" ref="L33">IF(I33="","", IFERROR(((IF(I$5&lt;&gt;"", I$5*A$5, 0) + SUMPRODUCT(--(I$6:I33&lt;&gt;""), I$6:I33, (A$6:A33-A$5:A32)))/1000)/H$3, ""))</f>
        <v>#N/A</v>
      </c>
      <c r="M33" s="1">
        <f t="shared" si="6"/>
        <v>290</v>
      </c>
      <c r="N33" s="1">
        <f t="shared" si="7"/>
        <v>0</v>
      </c>
      <c r="U33" s="1" t="e">
        <f t="shared" si="8"/>
        <v>#N/A</v>
      </c>
      <c r="V33" s="1" t="e">
        <f t="shared" si="1"/>
        <v>#N/A</v>
      </c>
      <c r="W33" s="1" t="e">
        <f t="shared" si="9"/>
        <v>#N/A</v>
      </c>
      <c r="X33" s="8" t="e" cm="1">
        <f t="array" ref="X33">IF(U33="","", IFERROR(((IF(U$5&lt;&gt;"", U$5*M$5, 0) + SUMPRODUCT(--(U$6:U33&lt;&gt;""), U$6:U33, (M$6:M33-M$5:M32)))/1000)/T$3, ""))</f>
        <v>#N/A</v>
      </c>
    </row>
    <row r="34" spans="1:24" x14ac:dyDescent="0.25">
      <c r="A34" s="1">
        <f t="shared" si="2"/>
        <v>300</v>
      </c>
      <c r="B34" s="1">
        <f t="shared" si="3"/>
        <v>0</v>
      </c>
      <c r="I34" s="1" t="e">
        <f t="shared" si="4"/>
        <v>#N/A</v>
      </c>
      <c r="J34" s="1" t="e">
        <f t="shared" si="0"/>
        <v>#N/A</v>
      </c>
      <c r="K34" s="1" t="e">
        <f t="shared" si="5"/>
        <v>#N/A</v>
      </c>
      <c r="L34" s="8" t="e" cm="1">
        <f t="array" ref="L34">IF(I34="","", IFERROR(((IF(I$5&lt;&gt;"", I$5*A$5, 0) + SUMPRODUCT(--(I$6:I34&lt;&gt;""), I$6:I34, (A$6:A34-A$5:A33)))/1000)/H$3, ""))</f>
        <v>#N/A</v>
      </c>
      <c r="M34" s="1">
        <f t="shared" si="6"/>
        <v>300</v>
      </c>
      <c r="N34" s="1">
        <f t="shared" si="7"/>
        <v>0</v>
      </c>
      <c r="U34" s="1" t="e">
        <f t="shared" si="8"/>
        <v>#N/A</v>
      </c>
      <c r="V34" s="1" t="e">
        <f t="shared" si="1"/>
        <v>#N/A</v>
      </c>
      <c r="W34" s="1" t="e">
        <f t="shared" si="9"/>
        <v>#N/A</v>
      </c>
      <c r="X34" s="8" t="e" cm="1">
        <f t="array" ref="X34">IF(U34="","", IFERROR(((IF(U$5&lt;&gt;"", U$5*M$5, 0) + SUMPRODUCT(--(U$6:U34&lt;&gt;""), U$6:U34, (M$6:M34-M$5:M33)))/1000)/T$3, ""))</f>
        <v>#N/A</v>
      </c>
    </row>
    <row r="35" spans="1:24" x14ac:dyDescent="0.25">
      <c r="A35" s="1">
        <f t="shared" si="2"/>
        <v>310</v>
      </c>
      <c r="B35" s="1">
        <f t="shared" si="3"/>
        <v>0</v>
      </c>
      <c r="I35" s="1" t="e">
        <f t="shared" si="4"/>
        <v>#N/A</v>
      </c>
      <c r="J35" s="1" t="e">
        <f t="shared" si="0"/>
        <v>#N/A</v>
      </c>
      <c r="K35" s="1" t="e">
        <f t="shared" si="5"/>
        <v>#N/A</v>
      </c>
      <c r="L35" s="8" t="e" cm="1">
        <f t="array" ref="L35">IF(I35="","", IFERROR(((IF(I$5&lt;&gt;"", I$5*A$5, 0) + SUMPRODUCT(--(I$6:I35&lt;&gt;""), I$6:I35, (A$6:A35-A$5:A34)))/1000)/H$3, ""))</f>
        <v>#N/A</v>
      </c>
      <c r="M35" s="1">
        <f t="shared" si="6"/>
        <v>310</v>
      </c>
      <c r="N35" s="1">
        <f t="shared" si="7"/>
        <v>0</v>
      </c>
      <c r="U35" s="1" t="e">
        <f t="shared" si="8"/>
        <v>#N/A</v>
      </c>
      <c r="V35" s="1" t="e">
        <f t="shared" si="1"/>
        <v>#N/A</v>
      </c>
      <c r="W35" s="1" t="e">
        <f t="shared" si="9"/>
        <v>#N/A</v>
      </c>
      <c r="X35" s="8" t="e" cm="1">
        <f t="array" ref="X35">IF(U35="","", IFERROR(((IF(U$5&lt;&gt;"", U$5*M$5, 0) + SUMPRODUCT(--(U$6:U35&lt;&gt;""), U$6:U35, (M$6:M35-M$5:M34)))/1000)/T$3, ""))</f>
        <v>#N/A</v>
      </c>
    </row>
    <row r="36" spans="1:24" x14ac:dyDescent="0.25">
      <c r="A36" s="1">
        <f t="shared" si="2"/>
        <v>320</v>
      </c>
      <c r="B36" s="1">
        <f t="shared" si="3"/>
        <v>0</v>
      </c>
      <c r="I36" s="1" t="e">
        <f t="shared" si="4"/>
        <v>#N/A</v>
      </c>
      <c r="J36" s="1" t="e">
        <f t="shared" si="0"/>
        <v>#N/A</v>
      </c>
      <c r="K36" s="1" t="e">
        <f t="shared" si="5"/>
        <v>#N/A</v>
      </c>
      <c r="L36" s="8" t="e" cm="1">
        <f t="array" ref="L36">IF(I36="","", IFERROR(((IF(I$5&lt;&gt;"", I$5*A$5, 0) + SUMPRODUCT(--(I$6:I36&lt;&gt;""), I$6:I36, (A$6:A36-A$5:A35)))/1000)/H$3, ""))</f>
        <v>#N/A</v>
      </c>
      <c r="M36" s="1">
        <f t="shared" si="6"/>
        <v>320</v>
      </c>
      <c r="N36" s="1">
        <f t="shared" si="7"/>
        <v>0</v>
      </c>
      <c r="U36" s="1" t="e">
        <f t="shared" si="8"/>
        <v>#N/A</v>
      </c>
      <c r="V36" s="1" t="e">
        <f t="shared" si="1"/>
        <v>#N/A</v>
      </c>
      <c r="W36" s="1" t="e">
        <f t="shared" si="9"/>
        <v>#N/A</v>
      </c>
      <c r="X36" s="8" t="e" cm="1">
        <f t="array" ref="X36">IF(U36="","", IFERROR(((IF(U$5&lt;&gt;"", U$5*M$5, 0) + SUMPRODUCT(--(U$6:U36&lt;&gt;""), U$6:U36, (M$6:M36-M$5:M35)))/1000)/T$3, ""))</f>
        <v>#N/A</v>
      </c>
    </row>
    <row r="37" spans="1:24" x14ac:dyDescent="0.25">
      <c r="A37" s="1">
        <f t="shared" si="2"/>
        <v>330</v>
      </c>
      <c r="B37" s="1">
        <f t="shared" si="3"/>
        <v>0</v>
      </c>
      <c r="I37" s="1" t="e">
        <f t="shared" si="4"/>
        <v>#N/A</v>
      </c>
      <c r="J37" s="1" t="e">
        <f t="shared" si="0"/>
        <v>#N/A</v>
      </c>
      <c r="K37" s="1" t="e">
        <f t="shared" si="5"/>
        <v>#N/A</v>
      </c>
      <c r="L37" s="8" t="e" cm="1">
        <f t="array" ref="L37">IF(I37="","", IFERROR(((IF(I$5&lt;&gt;"", I$5*A$5, 0) + SUMPRODUCT(--(I$6:I37&lt;&gt;""), I$6:I37, (A$6:A37-A$5:A36)))/1000)/H$3, ""))</f>
        <v>#N/A</v>
      </c>
      <c r="M37" s="1">
        <f t="shared" si="6"/>
        <v>330</v>
      </c>
      <c r="N37" s="1">
        <f t="shared" si="7"/>
        <v>0</v>
      </c>
      <c r="U37" s="1" t="e">
        <f t="shared" si="8"/>
        <v>#N/A</v>
      </c>
      <c r="V37" s="1" t="e">
        <f t="shared" si="1"/>
        <v>#N/A</v>
      </c>
      <c r="W37" s="1" t="e">
        <f t="shared" si="9"/>
        <v>#N/A</v>
      </c>
      <c r="X37" s="8" t="e" cm="1">
        <f t="array" ref="X37">IF(U37="","", IFERROR(((IF(U$5&lt;&gt;"", U$5*M$5, 0) + SUMPRODUCT(--(U$6:U37&lt;&gt;""), U$6:U37, (M$6:M37-M$5:M36)))/1000)/T$3, ""))</f>
        <v>#N/A</v>
      </c>
    </row>
    <row r="38" spans="1:24" x14ac:dyDescent="0.25">
      <c r="A38" s="1">
        <f t="shared" si="2"/>
        <v>340</v>
      </c>
      <c r="B38" s="1">
        <f t="shared" si="3"/>
        <v>0</v>
      </c>
      <c r="I38" s="1" t="e">
        <f t="shared" si="4"/>
        <v>#N/A</v>
      </c>
      <c r="J38" s="1" t="e">
        <f t="shared" si="0"/>
        <v>#N/A</v>
      </c>
      <c r="K38" s="1" t="e">
        <f t="shared" si="5"/>
        <v>#N/A</v>
      </c>
      <c r="L38" s="8" t="e" cm="1">
        <f t="array" ref="L38">IF(I38="","", IFERROR(((IF(I$5&lt;&gt;"", I$5*A$5, 0) + SUMPRODUCT(--(I$6:I38&lt;&gt;""), I$6:I38, (A$6:A38-A$5:A37)))/1000)/H$3, ""))</f>
        <v>#N/A</v>
      </c>
      <c r="M38" s="1">
        <f t="shared" si="6"/>
        <v>340</v>
      </c>
      <c r="N38" s="1">
        <f t="shared" si="7"/>
        <v>0</v>
      </c>
      <c r="U38" s="1" t="e">
        <f t="shared" si="8"/>
        <v>#N/A</v>
      </c>
      <c r="V38" s="1" t="e">
        <f t="shared" si="1"/>
        <v>#N/A</v>
      </c>
      <c r="W38" s="1" t="e">
        <f t="shared" si="9"/>
        <v>#N/A</v>
      </c>
      <c r="X38" s="8" t="e" cm="1">
        <f t="array" ref="X38">IF(U38="","", IFERROR(((IF(U$5&lt;&gt;"", U$5*M$5, 0) + SUMPRODUCT(--(U$6:U38&lt;&gt;""), U$6:U38, (M$6:M38-M$5:M37)))/1000)/T$3, ""))</f>
        <v>#N/A</v>
      </c>
    </row>
    <row r="39" spans="1:24" x14ac:dyDescent="0.25">
      <c r="A39" s="1">
        <f t="shared" si="2"/>
        <v>350</v>
      </c>
      <c r="B39" s="1">
        <f t="shared" si="3"/>
        <v>0</v>
      </c>
      <c r="I39" s="1" t="e">
        <f t="shared" si="4"/>
        <v>#N/A</v>
      </c>
      <c r="J39" s="1" t="e">
        <f t="shared" si="0"/>
        <v>#N/A</v>
      </c>
      <c r="K39" s="1" t="e">
        <f t="shared" si="5"/>
        <v>#N/A</v>
      </c>
      <c r="L39" s="8" t="e" cm="1">
        <f t="array" ref="L39">IF(I39="","", IFERROR(((IF(I$5&lt;&gt;"", I$5*A$5, 0) + SUMPRODUCT(--(I$6:I39&lt;&gt;""), I$6:I39, (A$6:A39-A$5:A38)))/1000)/H$3, ""))</f>
        <v>#N/A</v>
      </c>
      <c r="M39" s="1">
        <f t="shared" si="6"/>
        <v>350</v>
      </c>
      <c r="N39" s="1">
        <f t="shared" si="7"/>
        <v>0</v>
      </c>
      <c r="U39" s="1" t="e">
        <f t="shared" si="8"/>
        <v>#N/A</v>
      </c>
      <c r="V39" s="1" t="e">
        <f t="shared" si="1"/>
        <v>#N/A</v>
      </c>
      <c r="W39" s="1" t="e">
        <f t="shared" si="9"/>
        <v>#N/A</v>
      </c>
      <c r="X39" s="8" t="e" cm="1">
        <f t="array" ref="X39">IF(U39="","", IFERROR(((IF(U$5&lt;&gt;"", U$5*M$5, 0) + SUMPRODUCT(--(U$6:U39&lt;&gt;""), U$6:U39, (M$6:M39-M$5:M38)))/1000)/T$3, ""))</f>
        <v>#N/A</v>
      </c>
    </row>
    <row r="40" spans="1:24" x14ac:dyDescent="0.25">
      <c r="A40" s="1">
        <f t="shared" si="2"/>
        <v>360</v>
      </c>
      <c r="B40" s="1">
        <f t="shared" si="3"/>
        <v>0</v>
      </c>
      <c r="I40" s="1" t="e">
        <f t="shared" si="4"/>
        <v>#N/A</v>
      </c>
      <c r="J40" s="1" t="e">
        <f t="shared" si="0"/>
        <v>#N/A</v>
      </c>
      <c r="K40" s="1" t="e">
        <f t="shared" si="5"/>
        <v>#N/A</v>
      </c>
      <c r="L40" s="8" t="e" cm="1">
        <f t="array" ref="L40">IF(I40="","", IFERROR(((IF(I$5&lt;&gt;"", I$5*A$5, 0) + SUMPRODUCT(--(I$6:I40&lt;&gt;""), I$6:I40, (A$6:A40-A$5:A39)))/1000)/H$3, ""))</f>
        <v>#N/A</v>
      </c>
      <c r="M40" s="1">
        <f t="shared" si="6"/>
        <v>360</v>
      </c>
      <c r="N40" s="1">
        <f t="shared" si="7"/>
        <v>0</v>
      </c>
      <c r="U40" s="1" t="e">
        <f t="shared" si="8"/>
        <v>#N/A</v>
      </c>
      <c r="V40" s="1" t="e">
        <f t="shared" si="1"/>
        <v>#N/A</v>
      </c>
      <c r="W40" s="1" t="e">
        <f t="shared" si="9"/>
        <v>#N/A</v>
      </c>
      <c r="X40" s="8" t="e" cm="1">
        <f t="array" ref="X40">IF(U40="","", IFERROR(((IF(U$5&lt;&gt;"", U$5*M$5, 0) + SUMPRODUCT(--(U$6:U40&lt;&gt;""), U$6:U40, (M$6:M40-M$5:M39)))/1000)/T$3, ""))</f>
        <v>#N/A</v>
      </c>
    </row>
    <row r="41" spans="1:24" x14ac:dyDescent="0.25">
      <c r="A41" s="1">
        <f t="shared" si="2"/>
        <v>370</v>
      </c>
      <c r="B41" s="1">
        <f t="shared" si="3"/>
        <v>0</v>
      </c>
      <c r="I41" s="1" t="e">
        <f t="shared" si="4"/>
        <v>#N/A</v>
      </c>
      <c r="J41" s="1" t="e">
        <f t="shared" si="0"/>
        <v>#N/A</v>
      </c>
      <c r="K41" s="1" t="e">
        <f t="shared" si="5"/>
        <v>#N/A</v>
      </c>
      <c r="L41" s="8" t="e" cm="1">
        <f t="array" ref="L41">IF(I41="","", IFERROR(((IF(I$5&lt;&gt;"", I$5*A$5, 0) + SUMPRODUCT(--(I$6:I41&lt;&gt;""), I$6:I41, (A$6:A41-A$5:A40)))/1000)/H$3, ""))</f>
        <v>#N/A</v>
      </c>
      <c r="M41" s="1">
        <f t="shared" si="6"/>
        <v>370</v>
      </c>
      <c r="N41" s="1">
        <f t="shared" si="7"/>
        <v>0</v>
      </c>
      <c r="U41" s="1" t="e">
        <f t="shared" si="8"/>
        <v>#N/A</v>
      </c>
      <c r="V41" s="1" t="e">
        <f t="shared" si="1"/>
        <v>#N/A</v>
      </c>
      <c r="W41" s="1" t="e">
        <f t="shared" si="9"/>
        <v>#N/A</v>
      </c>
      <c r="X41" s="8" t="e" cm="1">
        <f t="array" ref="X41">IF(U41="","", IFERROR(((IF(U$5&lt;&gt;"", U$5*M$5, 0) + SUMPRODUCT(--(U$6:U41&lt;&gt;""), U$6:U41, (M$6:M41-M$5:M40)))/1000)/T$3, ""))</f>
        <v>#N/A</v>
      </c>
    </row>
    <row r="42" spans="1:24" x14ac:dyDescent="0.25">
      <c r="A42" s="1">
        <f t="shared" si="2"/>
        <v>380</v>
      </c>
      <c r="B42" s="1">
        <f t="shared" si="3"/>
        <v>0</v>
      </c>
      <c r="I42" s="1" t="e">
        <f t="shared" si="4"/>
        <v>#N/A</v>
      </c>
      <c r="J42" s="1" t="e">
        <f t="shared" si="0"/>
        <v>#N/A</v>
      </c>
      <c r="K42" s="1" t="e">
        <f t="shared" si="5"/>
        <v>#N/A</v>
      </c>
      <c r="L42" s="8" t="e" cm="1">
        <f t="array" ref="L42">IF(I42="","", IFERROR(((IF(I$5&lt;&gt;"", I$5*A$5, 0) + SUMPRODUCT(--(I$6:I42&lt;&gt;""), I$6:I42, (A$6:A42-A$5:A41)))/1000)/H$3, ""))</f>
        <v>#N/A</v>
      </c>
      <c r="M42" s="1">
        <f t="shared" si="6"/>
        <v>380</v>
      </c>
      <c r="N42" s="1">
        <f t="shared" si="7"/>
        <v>0</v>
      </c>
      <c r="U42" s="1" t="e">
        <f t="shared" si="8"/>
        <v>#N/A</v>
      </c>
      <c r="V42" s="1" t="e">
        <f t="shared" si="1"/>
        <v>#N/A</v>
      </c>
      <c r="W42" s="1" t="e">
        <f t="shared" si="9"/>
        <v>#N/A</v>
      </c>
      <c r="X42" s="8" t="e" cm="1">
        <f t="array" ref="X42">IF(U42="","", IFERROR(((IF(U$5&lt;&gt;"", U$5*M$5, 0) + SUMPRODUCT(--(U$6:U42&lt;&gt;""), U$6:U42, (M$6:M42-M$5:M41)))/1000)/T$3, ""))</f>
        <v>#N/A</v>
      </c>
    </row>
    <row r="43" spans="1:24" x14ac:dyDescent="0.25">
      <c r="A43" s="1">
        <f t="shared" si="2"/>
        <v>390</v>
      </c>
      <c r="B43" s="1">
        <f t="shared" si="3"/>
        <v>0</v>
      </c>
      <c r="I43" s="1" t="e">
        <f t="shared" si="4"/>
        <v>#N/A</v>
      </c>
      <c r="J43" s="1" t="e">
        <f t="shared" si="0"/>
        <v>#N/A</v>
      </c>
      <c r="K43" s="1" t="e">
        <f t="shared" si="5"/>
        <v>#N/A</v>
      </c>
      <c r="L43" s="8" t="e" cm="1">
        <f t="array" ref="L43">IF(I43="","", IFERROR(((IF(I$5&lt;&gt;"", I$5*A$5, 0) + SUMPRODUCT(--(I$6:I43&lt;&gt;""), I$6:I43, (A$6:A43-A$5:A42)))/1000)/H$3, ""))</f>
        <v>#N/A</v>
      </c>
      <c r="M43" s="1">
        <f t="shared" si="6"/>
        <v>390</v>
      </c>
      <c r="N43" s="1">
        <f t="shared" si="7"/>
        <v>0</v>
      </c>
      <c r="U43" s="1" t="e">
        <f t="shared" si="8"/>
        <v>#N/A</v>
      </c>
      <c r="V43" s="1" t="e">
        <f t="shared" si="1"/>
        <v>#N/A</v>
      </c>
      <c r="W43" s="1" t="e">
        <f t="shared" si="9"/>
        <v>#N/A</v>
      </c>
      <c r="X43" s="8" t="e" cm="1">
        <f t="array" ref="X43">IF(U43="","", IFERROR(((IF(U$5&lt;&gt;"", U$5*M$5, 0) + SUMPRODUCT(--(U$6:U43&lt;&gt;""), U$6:U43, (M$6:M43-M$5:M42)))/1000)/T$3, ""))</f>
        <v>#N/A</v>
      </c>
    </row>
    <row r="44" spans="1:24" x14ac:dyDescent="0.25">
      <c r="A44" s="1">
        <f t="shared" si="2"/>
        <v>400</v>
      </c>
      <c r="B44" s="1">
        <f t="shared" si="3"/>
        <v>0</v>
      </c>
      <c r="I44" s="1" t="e">
        <f t="shared" si="4"/>
        <v>#N/A</v>
      </c>
      <c r="J44" s="1" t="e">
        <f t="shared" si="0"/>
        <v>#N/A</v>
      </c>
      <c r="K44" s="1" t="e">
        <f t="shared" si="5"/>
        <v>#N/A</v>
      </c>
      <c r="L44" s="8" t="e" cm="1">
        <f t="array" ref="L44">IF(I44="","", IFERROR(((IF(I$5&lt;&gt;"", I$5*A$5, 0) + SUMPRODUCT(--(I$6:I44&lt;&gt;""), I$6:I44, (A$6:A44-A$5:A43)))/1000)/H$3, ""))</f>
        <v>#N/A</v>
      </c>
      <c r="M44" s="1">
        <f t="shared" si="6"/>
        <v>400</v>
      </c>
      <c r="N44" s="1">
        <f t="shared" si="7"/>
        <v>0</v>
      </c>
      <c r="U44" s="1" t="e">
        <f t="shared" si="8"/>
        <v>#N/A</v>
      </c>
      <c r="V44" s="1" t="e">
        <f t="shared" si="1"/>
        <v>#N/A</v>
      </c>
      <c r="W44" s="1" t="e">
        <f t="shared" si="9"/>
        <v>#N/A</v>
      </c>
      <c r="X44" s="8" t="e" cm="1">
        <f t="array" ref="X44">IF(U44="","", IFERROR(((IF(U$5&lt;&gt;"", U$5*M$5, 0) + SUMPRODUCT(--(U$6:U44&lt;&gt;""), U$6:U44, (M$6:M44-M$5:M43)))/1000)/T$3, ""))</f>
        <v>#N/A</v>
      </c>
    </row>
    <row r="45" spans="1:24" x14ac:dyDescent="0.25">
      <c r="A45" s="1">
        <f t="shared" si="2"/>
        <v>410</v>
      </c>
      <c r="B45" s="1">
        <f t="shared" si="3"/>
        <v>0</v>
      </c>
      <c r="I45" s="1" t="e">
        <f t="shared" si="4"/>
        <v>#N/A</v>
      </c>
      <c r="J45" s="1" t="e">
        <f t="shared" si="0"/>
        <v>#N/A</v>
      </c>
      <c r="K45" s="1" t="e">
        <f t="shared" si="5"/>
        <v>#N/A</v>
      </c>
      <c r="L45" s="8" t="e" cm="1">
        <f t="array" ref="L45">IF(I45="","", IFERROR(((IF(I$5&lt;&gt;"", I$5*A$5, 0) + SUMPRODUCT(--(I$6:I45&lt;&gt;""), I$6:I45, (A$6:A45-A$5:A44)))/1000)/H$3, ""))</f>
        <v>#N/A</v>
      </c>
      <c r="M45" s="1">
        <f t="shared" si="6"/>
        <v>410</v>
      </c>
      <c r="N45" s="1">
        <f t="shared" si="7"/>
        <v>0</v>
      </c>
      <c r="U45" s="1" t="e">
        <f t="shared" si="8"/>
        <v>#N/A</v>
      </c>
      <c r="V45" s="1" t="e">
        <f t="shared" si="1"/>
        <v>#N/A</v>
      </c>
      <c r="W45" s="1" t="e">
        <f t="shared" si="9"/>
        <v>#N/A</v>
      </c>
      <c r="X45" s="8" t="e" cm="1">
        <f t="array" ref="X45">IF(U45="","", IFERROR(((IF(U$5&lt;&gt;"", U$5*M$5, 0) + SUMPRODUCT(--(U$6:U45&lt;&gt;""), U$6:U45, (M$6:M45-M$5:M44)))/1000)/T$3, ""))</f>
        <v>#N/A</v>
      </c>
    </row>
    <row r="46" spans="1:24" x14ac:dyDescent="0.25">
      <c r="A46" s="1">
        <f t="shared" si="2"/>
        <v>420</v>
      </c>
      <c r="B46" s="1">
        <f t="shared" si="3"/>
        <v>0</v>
      </c>
      <c r="I46" s="1" t="e">
        <f t="shared" si="4"/>
        <v>#N/A</v>
      </c>
      <c r="J46" s="1" t="e">
        <f t="shared" si="0"/>
        <v>#N/A</v>
      </c>
      <c r="K46" s="1" t="e">
        <f t="shared" si="5"/>
        <v>#N/A</v>
      </c>
      <c r="L46" s="8" t="e" cm="1">
        <f t="array" ref="L46">IF(I46="","", IFERROR(((IF(I$5&lt;&gt;"", I$5*A$5, 0) + SUMPRODUCT(--(I$6:I46&lt;&gt;""), I$6:I46, (A$6:A46-A$5:A45)))/1000)/H$3, ""))</f>
        <v>#N/A</v>
      </c>
      <c r="M46" s="1">
        <f t="shared" si="6"/>
        <v>420</v>
      </c>
      <c r="N46" s="1">
        <f t="shared" si="7"/>
        <v>0</v>
      </c>
      <c r="U46" s="1" t="e">
        <f t="shared" si="8"/>
        <v>#N/A</v>
      </c>
      <c r="V46" s="1" t="e">
        <f t="shared" si="1"/>
        <v>#N/A</v>
      </c>
      <c r="W46" s="1" t="e">
        <f t="shared" si="9"/>
        <v>#N/A</v>
      </c>
      <c r="X46" s="8" t="e" cm="1">
        <f t="array" ref="X46">IF(U46="","", IFERROR(((IF(U$5&lt;&gt;"", U$5*M$5, 0) + SUMPRODUCT(--(U$6:U46&lt;&gt;""), U$6:U46, (M$6:M46-M$5:M45)))/1000)/T$3, ""))</f>
        <v>#N/A</v>
      </c>
    </row>
    <row r="47" spans="1:24" x14ac:dyDescent="0.25">
      <c r="A47" s="1">
        <f t="shared" si="2"/>
        <v>430</v>
      </c>
      <c r="B47" s="1">
        <f t="shared" si="3"/>
        <v>0</v>
      </c>
      <c r="I47" s="1" t="e">
        <f t="shared" si="4"/>
        <v>#N/A</v>
      </c>
      <c r="J47" s="1" t="e">
        <f t="shared" si="0"/>
        <v>#N/A</v>
      </c>
      <c r="K47" s="1" t="e">
        <f t="shared" si="5"/>
        <v>#N/A</v>
      </c>
      <c r="L47" s="8" t="e" cm="1">
        <f t="array" ref="L47">IF(I47="","", IFERROR(((IF(I$5&lt;&gt;"", I$5*A$5, 0) + SUMPRODUCT(--(I$6:I47&lt;&gt;""), I$6:I47, (A$6:A47-A$5:A46)))/1000)/H$3, ""))</f>
        <v>#N/A</v>
      </c>
      <c r="M47" s="1">
        <f t="shared" si="6"/>
        <v>430</v>
      </c>
      <c r="N47" s="1">
        <f t="shared" si="7"/>
        <v>0</v>
      </c>
      <c r="U47" s="1" t="e">
        <f t="shared" si="8"/>
        <v>#N/A</v>
      </c>
      <c r="V47" s="1" t="e">
        <f t="shared" si="1"/>
        <v>#N/A</v>
      </c>
      <c r="W47" s="1" t="e">
        <f t="shared" si="9"/>
        <v>#N/A</v>
      </c>
      <c r="X47" s="8" t="e" cm="1">
        <f t="array" ref="X47">IF(U47="","", IFERROR(((IF(U$5&lt;&gt;"", U$5*M$5, 0) + SUMPRODUCT(--(U$6:U47&lt;&gt;""), U$6:U47, (M$6:M47-M$5:M46)))/1000)/T$3, ""))</f>
        <v>#N/A</v>
      </c>
    </row>
    <row r="48" spans="1:24" x14ac:dyDescent="0.25">
      <c r="A48" s="1">
        <f t="shared" si="2"/>
        <v>440</v>
      </c>
      <c r="B48" s="1">
        <f t="shared" si="3"/>
        <v>0</v>
      </c>
      <c r="I48" s="1" t="e">
        <f t="shared" si="4"/>
        <v>#N/A</v>
      </c>
      <c r="J48" s="1" t="e">
        <f t="shared" si="0"/>
        <v>#N/A</v>
      </c>
      <c r="K48" s="1" t="e">
        <f t="shared" si="5"/>
        <v>#N/A</v>
      </c>
      <c r="L48" s="8" t="e" cm="1">
        <f t="array" ref="L48">IF(I48="","", IFERROR(((IF(I$5&lt;&gt;"", I$5*A$5, 0) + SUMPRODUCT(--(I$6:I48&lt;&gt;""), I$6:I48, (A$6:A48-A$5:A47)))/1000)/H$3, ""))</f>
        <v>#N/A</v>
      </c>
      <c r="M48" s="1">
        <f t="shared" si="6"/>
        <v>440</v>
      </c>
      <c r="N48" s="1">
        <f t="shared" si="7"/>
        <v>0</v>
      </c>
      <c r="U48" s="1" t="e">
        <f t="shared" si="8"/>
        <v>#N/A</v>
      </c>
      <c r="V48" s="1" t="e">
        <f t="shared" si="1"/>
        <v>#N/A</v>
      </c>
      <c r="W48" s="1" t="e">
        <f t="shared" si="9"/>
        <v>#N/A</v>
      </c>
      <c r="X48" s="8" t="e" cm="1">
        <f t="array" ref="X48">IF(U48="","", IFERROR(((IF(U$5&lt;&gt;"", U$5*M$5, 0) + SUMPRODUCT(--(U$6:U48&lt;&gt;""), U$6:U48, (M$6:M48-M$5:M47)))/1000)/T$3, ""))</f>
        <v>#N/A</v>
      </c>
    </row>
    <row r="49" spans="1:24" x14ac:dyDescent="0.25">
      <c r="A49" s="1">
        <f t="shared" si="2"/>
        <v>450</v>
      </c>
      <c r="B49" s="1">
        <f t="shared" si="3"/>
        <v>0</v>
      </c>
      <c r="I49" s="1" t="e">
        <f t="shared" si="4"/>
        <v>#N/A</v>
      </c>
      <c r="J49" s="1" t="e">
        <f t="shared" si="0"/>
        <v>#N/A</v>
      </c>
      <c r="K49" s="1" t="e">
        <f t="shared" si="5"/>
        <v>#N/A</v>
      </c>
      <c r="L49" s="8" t="e" cm="1">
        <f t="array" ref="L49">IF(I49="","", IFERROR(((IF(I$5&lt;&gt;"", I$5*A$5, 0) + SUMPRODUCT(--(I$6:I49&lt;&gt;""), I$6:I49, (A$6:A49-A$5:A48)))/1000)/H$3, ""))</f>
        <v>#N/A</v>
      </c>
      <c r="M49" s="1">
        <f t="shared" si="6"/>
        <v>450</v>
      </c>
      <c r="N49" s="1">
        <f t="shared" si="7"/>
        <v>0</v>
      </c>
      <c r="U49" s="1" t="e">
        <f t="shared" si="8"/>
        <v>#N/A</v>
      </c>
      <c r="V49" s="1" t="e">
        <f t="shared" si="1"/>
        <v>#N/A</v>
      </c>
      <c r="W49" s="1" t="e">
        <f t="shared" si="9"/>
        <v>#N/A</v>
      </c>
      <c r="X49" s="8" t="e" cm="1">
        <f t="array" ref="X49">IF(U49="","", IFERROR(((IF(U$5&lt;&gt;"", U$5*M$5, 0) + SUMPRODUCT(--(U$6:U49&lt;&gt;""), U$6:U49, (M$6:M49-M$5:M48)))/1000)/T$3, ""))</f>
        <v>#N/A</v>
      </c>
    </row>
    <row r="50" spans="1:24" x14ac:dyDescent="0.25">
      <c r="A50" s="1">
        <f t="shared" si="2"/>
        <v>460</v>
      </c>
      <c r="B50" s="1">
        <f t="shared" si="3"/>
        <v>0</v>
      </c>
      <c r="I50" s="1" t="e">
        <f t="shared" si="4"/>
        <v>#N/A</v>
      </c>
      <c r="J50" s="1" t="e">
        <f t="shared" si="0"/>
        <v>#N/A</v>
      </c>
      <c r="K50" s="1" t="e">
        <f t="shared" si="5"/>
        <v>#N/A</v>
      </c>
      <c r="L50" s="8" t="e" cm="1">
        <f t="array" ref="L50">IF(I50="","", IFERROR(((IF(I$5&lt;&gt;"", I$5*A$5, 0) + SUMPRODUCT(--(I$6:I50&lt;&gt;""), I$6:I50, (A$6:A50-A$5:A49)))/1000)/H$3, ""))</f>
        <v>#N/A</v>
      </c>
      <c r="M50" s="1">
        <f t="shared" si="6"/>
        <v>460</v>
      </c>
      <c r="N50" s="1">
        <f t="shared" si="7"/>
        <v>0</v>
      </c>
      <c r="U50" s="1" t="e">
        <f t="shared" si="8"/>
        <v>#N/A</v>
      </c>
      <c r="V50" s="1" t="e">
        <f t="shared" si="1"/>
        <v>#N/A</v>
      </c>
      <c r="W50" s="1" t="e">
        <f t="shared" si="9"/>
        <v>#N/A</v>
      </c>
      <c r="X50" s="8" t="e" cm="1">
        <f t="array" ref="X50">IF(U50="","", IFERROR(((IF(U$5&lt;&gt;"", U$5*M$5, 0) + SUMPRODUCT(--(U$6:U50&lt;&gt;""), U$6:U50, (M$6:M50-M$5:M49)))/1000)/T$3, ""))</f>
        <v>#N/A</v>
      </c>
    </row>
    <row r="51" spans="1:24" x14ac:dyDescent="0.25">
      <c r="A51" s="1">
        <f t="shared" si="2"/>
        <v>470</v>
      </c>
      <c r="B51" s="1">
        <f t="shared" si="3"/>
        <v>0</v>
      </c>
      <c r="I51" s="1" t="e">
        <f t="shared" si="4"/>
        <v>#N/A</v>
      </c>
      <c r="J51" s="1" t="e">
        <f t="shared" si="0"/>
        <v>#N/A</v>
      </c>
      <c r="K51" s="1" t="e">
        <f t="shared" si="5"/>
        <v>#N/A</v>
      </c>
      <c r="L51" s="8" t="e" cm="1">
        <f t="array" ref="L51">IF(I51="","", IFERROR(((IF(I$5&lt;&gt;"", I$5*A$5, 0) + SUMPRODUCT(--(I$6:I51&lt;&gt;""), I$6:I51, (A$6:A51-A$5:A50)))/1000)/H$3, ""))</f>
        <v>#N/A</v>
      </c>
      <c r="M51" s="1">
        <f t="shared" si="6"/>
        <v>470</v>
      </c>
      <c r="N51" s="1">
        <f t="shared" si="7"/>
        <v>0</v>
      </c>
      <c r="U51" s="1" t="e">
        <f t="shared" si="8"/>
        <v>#N/A</v>
      </c>
      <c r="V51" s="1" t="e">
        <f t="shared" si="1"/>
        <v>#N/A</v>
      </c>
      <c r="W51" s="1" t="e">
        <f t="shared" si="9"/>
        <v>#N/A</v>
      </c>
      <c r="X51" s="8" t="e" cm="1">
        <f t="array" ref="X51">IF(U51="","", IFERROR(((IF(U$5&lt;&gt;"", U$5*M$5, 0) + SUMPRODUCT(--(U$6:U51&lt;&gt;""), U$6:U51, (M$6:M51-M$5:M50)))/1000)/T$3, ""))</f>
        <v>#N/A</v>
      </c>
    </row>
    <row r="52" spans="1:24" x14ac:dyDescent="0.25">
      <c r="A52" s="1">
        <f t="shared" si="2"/>
        <v>480</v>
      </c>
      <c r="B52" s="1">
        <f t="shared" si="3"/>
        <v>0</v>
      </c>
      <c r="I52" s="1" t="e">
        <f t="shared" si="4"/>
        <v>#N/A</v>
      </c>
      <c r="J52" s="1" t="e">
        <f t="shared" si="0"/>
        <v>#N/A</v>
      </c>
      <c r="K52" s="1" t="e">
        <f t="shared" si="5"/>
        <v>#N/A</v>
      </c>
      <c r="L52" s="8" t="e" cm="1">
        <f t="array" ref="L52">IF(I52="","", IFERROR(((IF(I$5&lt;&gt;"", I$5*A$5, 0) + SUMPRODUCT(--(I$6:I52&lt;&gt;""), I$6:I52, (A$6:A52-A$5:A51)))/1000)/H$3, ""))</f>
        <v>#N/A</v>
      </c>
      <c r="M52" s="1">
        <f t="shared" si="6"/>
        <v>480</v>
      </c>
      <c r="N52" s="1">
        <f t="shared" si="7"/>
        <v>0</v>
      </c>
      <c r="U52" s="1" t="e">
        <f t="shared" si="8"/>
        <v>#N/A</v>
      </c>
      <c r="V52" s="1" t="e">
        <f t="shared" si="1"/>
        <v>#N/A</v>
      </c>
      <c r="W52" s="1" t="e">
        <f t="shared" si="9"/>
        <v>#N/A</v>
      </c>
      <c r="X52" s="8" t="e" cm="1">
        <f t="array" ref="X52">IF(U52="","", IFERROR(((IF(U$5&lt;&gt;"", U$5*M$5, 0) + SUMPRODUCT(--(U$6:U52&lt;&gt;""), U$6:U52, (M$6:M52-M$5:M51)))/1000)/T$3, ""))</f>
        <v>#N/A</v>
      </c>
    </row>
    <row r="53" spans="1:24" x14ac:dyDescent="0.25">
      <c r="A53" s="1">
        <f t="shared" si="2"/>
        <v>490</v>
      </c>
      <c r="B53" s="1">
        <f t="shared" si="3"/>
        <v>0</v>
      </c>
      <c r="I53" s="1" t="e">
        <f t="shared" si="4"/>
        <v>#N/A</v>
      </c>
      <c r="J53" s="1" t="e">
        <f t="shared" si="0"/>
        <v>#N/A</v>
      </c>
      <c r="K53" s="1" t="e">
        <f t="shared" si="5"/>
        <v>#N/A</v>
      </c>
      <c r="L53" s="8" t="e" cm="1">
        <f t="array" ref="L53">IF(I53="","", IFERROR(((IF(I$5&lt;&gt;"", I$5*A$5, 0) + SUMPRODUCT(--(I$6:I53&lt;&gt;""), I$6:I53, (A$6:A53-A$5:A52)))/1000)/H$3, ""))</f>
        <v>#N/A</v>
      </c>
      <c r="M53" s="1">
        <f t="shared" si="6"/>
        <v>490</v>
      </c>
      <c r="N53" s="1">
        <f t="shared" si="7"/>
        <v>0</v>
      </c>
      <c r="U53" s="1" t="e">
        <f t="shared" si="8"/>
        <v>#N/A</v>
      </c>
      <c r="V53" s="1" t="e">
        <f t="shared" si="1"/>
        <v>#N/A</v>
      </c>
      <c r="W53" s="1" t="e">
        <f t="shared" si="9"/>
        <v>#N/A</v>
      </c>
      <c r="X53" s="8" t="e" cm="1">
        <f t="array" ref="X53">IF(U53="","", IFERROR(((IF(U$5&lt;&gt;"", U$5*M$5, 0) + SUMPRODUCT(--(U$6:U53&lt;&gt;""), U$6:U53, (M$6:M53-M$5:M52)))/1000)/T$3, ""))</f>
        <v>#N/A</v>
      </c>
    </row>
    <row r="54" spans="1:24" x14ac:dyDescent="0.25">
      <c r="A54" s="1">
        <f t="shared" si="2"/>
        <v>500</v>
      </c>
      <c r="B54" s="1">
        <f t="shared" si="3"/>
        <v>0</v>
      </c>
      <c r="I54" s="1" t="e">
        <f t="shared" si="4"/>
        <v>#N/A</v>
      </c>
      <c r="J54" s="1" t="e">
        <f t="shared" si="0"/>
        <v>#N/A</v>
      </c>
      <c r="K54" s="1" t="e">
        <f t="shared" si="5"/>
        <v>#N/A</v>
      </c>
      <c r="L54" s="8" t="e" cm="1">
        <f t="array" ref="L54">IF(I54="","", IFERROR(((IF(I$5&lt;&gt;"", I$5*A$5, 0) + SUMPRODUCT(--(I$6:I54&lt;&gt;""), I$6:I54, (A$6:A54-A$5:A53)))/1000)/H$3, ""))</f>
        <v>#N/A</v>
      </c>
      <c r="M54" s="1">
        <f t="shared" si="6"/>
        <v>500</v>
      </c>
      <c r="N54" s="1">
        <f t="shared" si="7"/>
        <v>0</v>
      </c>
      <c r="U54" s="1" t="e">
        <f t="shared" si="8"/>
        <v>#N/A</v>
      </c>
      <c r="V54" s="1" t="e">
        <f t="shared" si="1"/>
        <v>#N/A</v>
      </c>
      <c r="W54" s="1" t="e">
        <f t="shared" si="9"/>
        <v>#N/A</v>
      </c>
      <c r="X54" s="8" t="e" cm="1">
        <f t="array" ref="X54">IF(U54="","", IFERROR(((IF(U$5&lt;&gt;"", U$5*M$5, 0) + SUMPRODUCT(--(U$6:U54&lt;&gt;""), U$6:U54, (M$6:M54-M$5:M53)))/1000)/T$3, ""))</f>
        <v>#N/A</v>
      </c>
    </row>
    <row r="55" spans="1:24" x14ac:dyDescent="0.25">
      <c r="A55" s="1">
        <f t="shared" si="2"/>
        <v>510</v>
      </c>
      <c r="B55" s="1">
        <f t="shared" si="3"/>
        <v>0</v>
      </c>
      <c r="I55" s="1" t="e">
        <f t="shared" si="4"/>
        <v>#N/A</v>
      </c>
      <c r="J55" s="1" t="e">
        <f t="shared" si="0"/>
        <v>#N/A</v>
      </c>
      <c r="K55" s="1" t="e">
        <f t="shared" si="5"/>
        <v>#N/A</v>
      </c>
      <c r="L55" s="8" t="e" cm="1">
        <f t="array" ref="L55">IF(I55="","", IFERROR(((IF(I$5&lt;&gt;"", I$5*A$5, 0) + SUMPRODUCT(--(I$6:I55&lt;&gt;""), I$6:I55, (A$6:A55-A$5:A54)))/1000)/H$3, ""))</f>
        <v>#N/A</v>
      </c>
      <c r="M55" s="1">
        <f t="shared" si="6"/>
        <v>510</v>
      </c>
      <c r="N55" s="1">
        <f t="shared" si="7"/>
        <v>0</v>
      </c>
      <c r="U55" s="1" t="e">
        <f t="shared" si="8"/>
        <v>#N/A</v>
      </c>
      <c r="V55" s="1" t="e">
        <f t="shared" si="1"/>
        <v>#N/A</v>
      </c>
      <c r="W55" s="1" t="e">
        <f t="shared" si="9"/>
        <v>#N/A</v>
      </c>
      <c r="X55" s="8" t="e" cm="1">
        <f t="array" ref="X55">IF(U55="","", IFERROR(((IF(U$5&lt;&gt;"", U$5*M$5, 0) + SUMPRODUCT(--(U$6:U55&lt;&gt;""), U$6:U55, (M$6:M55-M$5:M54)))/1000)/T$3, ""))</f>
        <v>#N/A</v>
      </c>
    </row>
    <row r="56" spans="1:24" x14ac:dyDescent="0.25">
      <c r="A56" s="1">
        <f t="shared" si="2"/>
        <v>520</v>
      </c>
      <c r="B56" s="1">
        <f t="shared" si="3"/>
        <v>0</v>
      </c>
      <c r="I56" s="1" t="e">
        <f t="shared" si="4"/>
        <v>#N/A</v>
      </c>
      <c r="J56" s="1" t="e">
        <f t="shared" si="0"/>
        <v>#N/A</v>
      </c>
      <c r="K56" s="1" t="e">
        <f t="shared" si="5"/>
        <v>#N/A</v>
      </c>
      <c r="L56" s="8" t="e" cm="1">
        <f t="array" ref="L56">IF(I56="","", IFERROR(((IF(I$5&lt;&gt;"", I$5*A$5, 0) + SUMPRODUCT(--(I$6:I56&lt;&gt;""), I$6:I56, (A$6:A56-A$5:A55)))/1000)/H$3, ""))</f>
        <v>#N/A</v>
      </c>
      <c r="M56" s="1">
        <f t="shared" si="6"/>
        <v>520</v>
      </c>
      <c r="N56" s="1">
        <f t="shared" si="7"/>
        <v>0</v>
      </c>
      <c r="U56" s="1" t="e">
        <f t="shared" si="8"/>
        <v>#N/A</v>
      </c>
      <c r="V56" s="1" t="e">
        <f t="shared" si="1"/>
        <v>#N/A</v>
      </c>
      <c r="W56" s="1" t="e">
        <f t="shared" si="9"/>
        <v>#N/A</v>
      </c>
      <c r="X56" s="8" t="e" cm="1">
        <f t="array" ref="X56">IF(U56="","", IFERROR(((IF(U$5&lt;&gt;"", U$5*M$5, 0) + SUMPRODUCT(--(U$6:U56&lt;&gt;""), U$6:U56, (M$6:M56-M$5:M55)))/1000)/T$3, ""))</f>
        <v>#N/A</v>
      </c>
    </row>
    <row r="57" spans="1:24" x14ac:dyDescent="0.25">
      <c r="A57" s="1">
        <f t="shared" si="2"/>
        <v>530</v>
      </c>
      <c r="B57" s="1">
        <f t="shared" si="3"/>
        <v>0</v>
      </c>
      <c r="I57" s="1" t="e">
        <f t="shared" si="4"/>
        <v>#N/A</v>
      </c>
      <c r="J57" s="1" t="e">
        <f t="shared" si="0"/>
        <v>#N/A</v>
      </c>
      <c r="K57" s="1" t="e">
        <f t="shared" si="5"/>
        <v>#N/A</v>
      </c>
      <c r="L57" s="8" t="e" cm="1">
        <f t="array" ref="L57">IF(I57="","", IFERROR(((IF(I$5&lt;&gt;"", I$5*A$5, 0) + SUMPRODUCT(--(I$6:I57&lt;&gt;""), I$6:I57, (A$6:A57-A$5:A56)))/1000)/H$3, ""))</f>
        <v>#N/A</v>
      </c>
      <c r="M57" s="1">
        <f t="shared" si="6"/>
        <v>530</v>
      </c>
      <c r="N57" s="1">
        <f t="shared" si="7"/>
        <v>0</v>
      </c>
      <c r="U57" s="1" t="e">
        <f t="shared" si="8"/>
        <v>#N/A</v>
      </c>
      <c r="V57" s="1" t="e">
        <f t="shared" si="1"/>
        <v>#N/A</v>
      </c>
      <c r="W57" s="1" t="e">
        <f t="shared" si="9"/>
        <v>#N/A</v>
      </c>
      <c r="X57" s="8" t="e" cm="1">
        <f t="array" ref="X57">IF(U57="","", IFERROR(((IF(U$5&lt;&gt;"", U$5*M$5, 0) + SUMPRODUCT(--(U$6:U57&lt;&gt;""), U$6:U57, (M$6:M57-M$5:M56)))/1000)/T$3, ""))</f>
        <v>#N/A</v>
      </c>
    </row>
    <row r="58" spans="1:24" x14ac:dyDescent="0.25">
      <c r="A58" s="1">
        <f t="shared" si="2"/>
        <v>540</v>
      </c>
      <c r="B58" s="1">
        <f t="shared" si="3"/>
        <v>0</v>
      </c>
      <c r="I58" s="1" t="e">
        <f t="shared" si="4"/>
        <v>#N/A</v>
      </c>
      <c r="J58" s="1" t="e">
        <f t="shared" si="0"/>
        <v>#N/A</v>
      </c>
      <c r="K58" s="1" t="e">
        <f t="shared" si="5"/>
        <v>#N/A</v>
      </c>
      <c r="L58" s="8" t="e" cm="1">
        <f t="array" ref="L58">IF(I58="","", IFERROR(((IF(I$5&lt;&gt;"", I$5*A$5, 0) + SUMPRODUCT(--(I$6:I58&lt;&gt;""), I$6:I58, (A$6:A58-A$5:A57)))/1000)/H$3, ""))</f>
        <v>#N/A</v>
      </c>
      <c r="M58" s="1">
        <f t="shared" si="6"/>
        <v>540</v>
      </c>
      <c r="N58" s="1">
        <f t="shared" si="7"/>
        <v>0</v>
      </c>
      <c r="U58" s="1" t="e">
        <f t="shared" si="8"/>
        <v>#N/A</v>
      </c>
      <c r="V58" s="1" t="e">
        <f t="shared" si="1"/>
        <v>#N/A</v>
      </c>
      <c r="W58" s="1" t="e">
        <f t="shared" si="9"/>
        <v>#N/A</v>
      </c>
      <c r="X58" s="8" t="e" cm="1">
        <f t="array" ref="X58">IF(U58="","", IFERROR(((IF(U$5&lt;&gt;"", U$5*M$5, 0) + SUMPRODUCT(--(U$6:U58&lt;&gt;""), U$6:U58, (M$6:M58-M$5:M57)))/1000)/T$3, ""))</f>
        <v>#N/A</v>
      </c>
    </row>
    <row r="59" spans="1:24" x14ac:dyDescent="0.25">
      <c r="A59" s="1">
        <f t="shared" si="2"/>
        <v>550</v>
      </c>
      <c r="B59" s="1">
        <f t="shared" si="3"/>
        <v>0</v>
      </c>
      <c r="I59" s="1" t="e">
        <f t="shared" si="4"/>
        <v>#N/A</v>
      </c>
      <c r="J59" s="1" t="e">
        <f t="shared" si="0"/>
        <v>#N/A</v>
      </c>
      <c r="K59" s="1" t="e">
        <f t="shared" si="5"/>
        <v>#N/A</v>
      </c>
      <c r="L59" s="8" t="e" cm="1">
        <f t="array" ref="L59">IF(I59="","", IFERROR(((IF(I$5&lt;&gt;"", I$5*A$5, 0) + SUMPRODUCT(--(I$6:I59&lt;&gt;""), I$6:I59, (A$6:A59-A$5:A58)))/1000)/H$3, ""))</f>
        <v>#N/A</v>
      </c>
      <c r="M59" s="1">
        <f t="shared" si="6"/>
        <v>550</v>
      </c>
      <c r="N59" s="1">
        <f t="shared" si="7"/>
        <v>0</v>
      </c>
      <c r="U59" s="1" t="e">
        <f t="shared" si="8"/>
        <v>#N/A</v>
      </c>
      <c r="V59" s="1" t="e">
        <f t="shared" si="1"/>
        <v>#N/A</v>
      </c>
      <c r="W59" s="1" t="e">
        <f t="shared" si="9"/>
        <v>#N/A</v>
      </c>
      <c r="X59" s="8" t="e" cm="1">
        <f t="array" ref="X59">IF(U59="","", IFERROR(((IF(U$5&lt;&gt;"", U$5*M$5, 0) + SUMPRODUCT(--(U$6:U59&lt;&gt;""), U$6:U59, (M$6:M59-M$5:M58)))/1000)/T$3, ""))</f>
        <v>#N/A</v>
      </c>
    </row>
    <row r="60" spans="1:24" x14ac:dyDescent="0.25">
      <c r="A60" s="1">
        <f t="shared" si="2"/>
        <v>560</v>
      </c>
      <c r="B60" s="1">
        <f t="shared" si="3"/>
        <v>0</v>
      </c>
      <c r="I60" s="1" t="e">
        <f t="shared" si="4"/>
        <v>#N/A</v>
      </c>
      <c r="J60" s="1" t="e">
        <f t="shared" si="0"/>
        <v>#N/A</v>
      </c>
      <c r="K60" s="1" t="e">
        <f t="shared" si="5"/>
        <v>#N/A</v>
      </c>
      <c r="L60" s="8" t="e" cm="1">
        <f t="array" ref="L60">IF(I60="","", IFERROR(((IF(I$5&lt;&gt;"", I$5*A$5, 0) + SUMPRODUCT(--(I$6:I60&lt;&gt;""), I$6:I60, (A$6:A60-A$5:A59)))/1000)/H$3, ""))</f>
        <v>#N/A</v>
      </c>
      <c r="M60" s="1">
        <f t="shared" si="6"/>
        <v>560</v>
      </c>
      <c r="N60" s="1">
        <f t="shared" si="7"/>
        <v>0</v>
      </c>
      <c r="U60" s="1" t="e">
        <f t="shared" si="8"/>
        <v>#N/A</v>
      </c>
      <c r="V60" s="1" t="e">
        <f t="shared" si="1"/>
        <v>#N/A</v>
      </c>
      <c r="W60" s="1" t="e">
        <f t="shared" si="9"/>
        <v>#N/A</v>
      </c>
      <c r="X60" s="8" t="e" cm="1">
        <f t="array" ref="X60">IF(U60="","", IFERROR(((IF(U$5&lt;&gt;"", U$5*M$5, 0) + SUMPRODUCT(--(U$6:U60&lt;&gt;""), U$6:U60, (M$6:M60-M$5:M59)))/1000)/T$3, ""))</f>
        <v>#N/A</v>
      </c>
    </row>
    <row r="61" spans="1:24" x14ac:dyDescent="0.25">
      <c r="A61" s="1">
        <f t="shared" si="2"/>
        <v>570</v>
      </c>
      <c r="B61" s="1">
        <f t="shared" si="3"/>
        <v>0</v>
      </c>
      <c r="I61" s="1" t="e">
        <f t="shared" si="4"/>
        <v>#N/A</v>
      </c>
      <c r="J61" s="1" t="e">
        <f t="shared" si="0"/>
        <v>#N/A</v>
      </c>
      <c r="K61" s="1" t="e">
        <f t="shared" si="5"/>
        <v>#N/A</v>
      </c>
      <c r="L61" s="8" t="e" cm="1">
        <f t="array" ref="L61">IF(I61="","", IFERROR(((IF(I$5&lt;&gt;"", I$5*A$5, 0) + SUMPRODUCT(--(I$6:I61&lt;&gt;""), I$6:I61, (A$6:A61-A$5:A60)))/1000)/H$3, ""))</f>
        <v>#N/A</v>
      </c>
      <c r="M61" s="1">
        <f t="shared" si="6"/>
        <v>570</v>
      </c>
      <c r="N61" s="1">
        <f t="shared" si="7"/>
        <v>0</v>
      </c>
      <c r="U61" s="1" t="e">
        <f t="shared" si="8"/>
        <v>#N/A</v>
      </c>
      <c r="V61" s="1" t="e">
        <f t="shared" si="1"/>
        <v>#N/A</v>
      </c>
      <c r="W61" s="1" t="e">
        <f t="shared" si="9"/>
        <v>#N/A</v>
      </c>
      <c r="X61" s="8" t="e" cm="1">
        <f t="array" ref="X61">IF(U61="","", IFERROR(((IF(U$5&lt;&gt;"", U$5*M$5, 0) + SUMPRODUCT(--(U$6:U61&lt;&gt;""), U$6:U61, (M$6:M61-M$5:M60)))/1000)/T$3, ""))</f>
        <v>#N/A</v>
      </c>
    </row>
    <row r="62" spans="1:24" x14ac:dyDescent="0.25">
      <c r="A62" s="1">
        <f t="shared" si="2"/>
        <v>580</v>
      </c>
      <c r="B62" s="1">
        <f t="shared" si="3"/>
        <v>0</v>
      </c>
      <c r="I62" s="1" t="e">
        <f t="shared" si="4"/>
        <v>#N/A</v>
      </c>
      <c r="J62" s="1" t="e">
        <f t="shared" si="0"/>
        <v>#N/A</v>
      </c>
      <c r="K62" s="1" t="e">
        <f t="shared" si="5"/>
        <v>#N/A</v>
      </c>
      <c r="L62" s="8" t="e" cm="1">
        <f t="array" ref="L62">IF(I62="","", IFERROR(((IF(I$5&lt;&gt;"", I$5*A$5, 0) + SUMPRODUCT(--(I$6:I62&lt;&gt;""), I$6:I62, (A$6:A62-A$5:A61)))/1000)/H$3, ""))</f>
        <v>#N/A</v>
      </c>
      <c r="M62" s="1">
        <f t="shared" si="6"/>
        <v>580</v>
      </c>
      <c r="N62" s="1">
        <f t="shared" si="7"/>
        <v>0</v>
      </c>
      <c r="U62" s="1" t="e">
        <f t="shared" si="8"/>
        <v>#N/A</v>
      </c>
      <c r="V62" s="1" t="e">
        <f t="shared" si="1"/>
        <v>#N/A</v>
      </c>
      <c r="W62" s="1" t="e">
        <f t="shared" si="9"/>
        <v>#N/A</v>
      </c>
      <c r="X62" s="8" t="e" cm="1">
        <f t="array" ref="X62">IF(U62="","", IFERROR(((IF(U$5&lt;&gt;"", U$5*M$5, 0) + SUMPRODUCT(--(U$6:U62&lt;&gt;""), U$6:U62, (M$6:M62-M$5:M61)))/1000)/T$3, ""))</f>
        <v>#N/A</v>
      </c>
    </row>
    <row r="63" spans="1:24" x14ac:dyDescent="0.25">
      <c r="A63" s="1">
        <f t="shared" si="2"/>
        <v>590</v>
      </c>
      <c r="B63" s="1">
        <f t="shared" si="3"/>
        <v>0</v>
      </c>
      <c r="I63" s="1" t="e">
        <f t="shared" si="4"/>
        <v>#N/A</v>
      </c>
      <c r="J63" s="1" t="e">
        <f t="shared" si="0"/>
        <v>#N/A</v>
      </c>
      <c r="K63" s="1" t="e">
        <f t="shared" si="5"/>
        <v>#N/A</v>
      </c>
      <c r="L63" s="8" t="e" cm="1">
        <f t="array" ref="L63">IF(I63="","", IFERROR(((IF(I$5&lt;&gt;"", I$5*A$5, 0) + SUMPRODUCT(--(I$6:I63&lt;&gt;""), I$6:I63, (A$6:A63-A$5:A62)))/1000)/H$3, ""))</f>
        <v>#N/A</v>
      </c>
      <c r="M63" s="1">
        <f t="shared" si="6"/>
        <v>590</v>
      </c>
      <c r="N63" s="1">
        <f t="shared" si="7"/>
        <v>0</v>
      </c>
      <c r="U63" s="1" t="e">
        <f t="shared" si="8"/>
        <v>#N/A</v>
      </c>
      <c r="V63" s="1" t="e">
        <f t="shared" si="1"/>
        <v>#N/A</v>
      </c>
      <c r="W63" s="1" t="e">
        <f t="shared" si="9"/>
        <v>#N/A</v>
      </c>
      <c r="X63" s="8" t="e" cm="1">
        <f t="array" ref="X63">IF(U63="","", IFERROR(((IF(U$5&lt;&gt;"", U$5*M$5, 0) + SUMPRODUCT(--(U$6:U63&lt;&gt;""), U$6:U63, (M$6:M63-M$5:M62)))/1000)/T$3, ""))</f>
        <v>#N/A</v>
      </c>
    </row>
    <row r="64" spans="1:24" x14ac:dyDescent="0.25">
      <c r="A64" s="1">
        <f t="shared" si="2"/>
        <v>600</v>
      </c>
      <c r="B64" s="1">
        <f t="shared" si="3"/>
        <v>0</v>
      </c>
      <c r="I64" s="1" t="e">
        <f t="shared" si="4"/>
        <v>#N/A</v>
      </c>
      <c r="J64" s="1" t="e">
        <f t="shared" si="0"/>
        <v>#N/A</v>
      </c>
      <c r="K64" s="1" t="e">
        <f t="shared" si="5"/>
        <v>#N/A</v>
      </c>
      <c r="L64" s="8" t="e" cm="1">
        <f t="array" ref="L64">IF(I64="","", IFERROR(((IF(I$5&lt;&gt;"", I$5*A$5, 0) + SUMPRODUCT(--(I$6:I64&lt;&gt;""), I$6:I64, (A$6:A64-A$5:A63)))/1000)/H$3, ""))</f>
        <v>#N/A</v>
      </c>
      <c r="M64" s="1">
        <f t="shared" si="6"/>
        <v>600</v>
      </c>
      <c r="N64" s="1">
        <f t="shared" si="7"/>
        <v>0</v>
      </c>
      <c r="U64" s="1" t="e">
        <f t="shared" si="8"/>
        <v>#N/A</v>
      </c>
      <c r="V64" s="1" t="e">
        <f t="shared" si="1"/>
        <v>#N/A</v>
      </c>
      <c r="W64" s="1" t="e">
        <f t="shared" si="9"/>
        <v>#N/A</v>
      </c>
      <c r="X64" s="8" t="e" cm="1">
        <f t="array" ref="X64">IF(U64="","", IFERROR(((IF(U$5&lt;&gt;"", U$5*M$5, 0) + SUMPRODUCT(--(U$6:U64&lt;&gt;""), U$6:U64, (M$6:M64-M$5:M63)))/1000)/T$3, ""))</f>
        <v>#N/A</v>
      </c>
    </row>
    <row r="65" spans="1:24" x14ac:dyDescent="0.25">
      <c r="A65" s="1">
        <f t="shared" si="2"/>
        <v>610</v>
      </c>
      <c r="B65" s="1">
        <f t="shared" si="3"/>
        <v>0</v>
      </c>
      <c r="I65" s="1" t="e">
        <f t="shared" si="4"/>
        <v>#N/A</v>
      </c>
      <c r="J65" s="1" t="e">
        <f t="shared" si="0"/>
        <v>#N/A</v>
      </c>
      <c r="K65" s="1" t="e">
        <f t="shared" si="5"/>
        <v>#N/A</v>
      </c>
      <c r="L65" s="8" t="e" cm="1">
        <f t="array" ref="L65">IF(I65="","", IFERROR(((IF(I$5&lt;&gt;"", I$5*A$5, 0) + SUMPRODUCT(--(I$6:I65&lt;&gt;""), I$6:I65, (A$6:A65-A$5:A64)))/1000)/H$3, ""))</f>
        <v>#N/A</v>
      </c>
      <c r="M65" s="1">
        <f t="shared" si="6"/>
        <v>610</v>
      </c>
      <c r="N65" s="1">
        <f t="shared" si="7"/>
        <v>0</v>
      </c>
      <c r="U65" s="1" t="e">
        <f t="shared" si="8"/>
        <v>#N/A</v>
      </c>
      <c r="V65" s="1" t="e">
        <f t="shared" si="1"/>
        <v>#N/A</v>
      </c>
      <c r="W65" s="1" t="e">
        <f t="shared" si="9"/>
        <v>#N/A</v>
      </c>
      <c r="X65" s="8" t="e" cm="1">
        <f t="array" ref="X65">IF(U65="","", IFERROR(((IF(U$5&lt;&gt;"", U$5*M$5, 0) + SUMPRODUCT(--(U$6:U65&lt;&gt;""), U$6:U65, (M$6:M65-M$5:M64)))/1000)/T$3, ""))</f>
        <v>#N/A</v>
      </c>
    </row>
    <row r="66" spans="1:24" x14ac:dyDescent="0.25">
      <c r="A66" s="1">
        <f t="shared" si="2"/>
        <v>620</v>
      </c>
      <c r="B66" s="1">
        <f t="shared" si="3"/>
        <v>0</v>
      </c>
      <c r="I66" s="1" t="e">
        <f t="shared" si="4"/>
        <v>#N/A</v>
      </c>
      <c r="J66" s="1" t="e">
        <f t="shared" si="0"/>
        <v>#N/A</v>
      </c>
      <c r="K66" s="1" t="e">
        <f t="shared" si="5"/>
        <v>#N/A</v>
      </c>
      <c r="L66" s="8" t="e" cm="1">
        <f t="array" ref="L66">IF(I66="","", IFERROR(((IF(I$5&lt;&gt;"", I$5*A$5, 0) + SUMPRODUCT(--(I$6:I66&lt;&gt;""), I$6:I66, (A$6:A66-A$5:A65)))/1000)/H$3, ""))</f>
        <v>#N/A</v>
      </c>
      <c r="M66" s="1">
        <f t="shared" si="6"/>
        <v>620</v>
      </c>
      <c r="N66" s="1">
        <f t="shared" si="7"/>
        <v>0</v>
      </c>
      <c r="U66" s="1" t="e">
        <f t="shared" si="8"/>
        <v>#N/A</v>
      </c>
      <c r="V66" s="1" t="e">
        <f t="shared" si="1"/>
        <v>#N/A</v>
      </c>
      <c r="W66" s="1" t="e">
        <f t="shared" si="9"/>
        <v>#N/A</v>
      </c>
      <c r="X66" s="8" t="e" cm="1">
        <f t="array" ref="X66">IF(U66="","", IFERROR(((IF(U$5&lt;&gt;"", U$5*M$5, 0) + SUMPRODUCT(--(U$6:U66&lt;&gt;""), U$6:U66, (M$6:M66-M$5:M65)))/1000)/T$3, ""))</f>
        <v>#N/A</v>
      </c>
    </row>
    <row r="67" spans="1:24" x14ac:dyDescent="0.25">
      <c r="A67" s="1">
        <f t="shared" si="2"/>
        <v>630</v>
      </c>
      <c r="B67" s="1">
        <f t="shared" si="3"/>
        <v>0</v>
      </c>
      <c r="I67" s="1" t="e">
        <f t="shared" si="4"/>
        <v>#N/A</v>
      </c>
      <c r="J67" s="1" t="e">
        <f t="shared" si="0"/>
        <v>#N/A</v>
      </c>
      <c r="K67" s="1" t="e">
        <f t="shared" si="5"/>
        <v>#N/A</v>
      </c>
      <c r="L67" s="8" t="e" cm="1">
        <f t="array" ref="L67">IF(I67="","", IFERROR(((IF(I$5&lt;&gt;"", I$5*A$5, 0) + SUMPRODUCT(--(I$6:I67&lt;&gt;""), I$6:I67, (A$6:A67-A$5:A66)))/1000)/H$3, ""))</f>
        <v>#N/A</v>
      </c>
      <c r="M67" s="1">
        <f t="shared" si="6"/>
        <v>630</v>
      </c>
      <c r="N67" s="1">
        <f t="shared" si="7"/>
        <v>0</v>
      </c>
      <c r="U67" s="1" t="e">
        <f t="shared" si="8"/>
        <v>#N/A</v>
      </c>
      <c r="V67" s="1" t="e">
        <f t="shared" si="1"/>
        <v>#N/A</v>
      </c>
      <c r="W67" s="1" t="e">
        <f t="shared" si="9"/>
        <v>#N/A</v>
      </c>
      <c r="X67" s="8" t="e" cm="1">
        <f t="array" ref="X67">IF(U67="","", IFERROR(((IF(U$5&lt;&gt;"", U$5*M$5, 0) + SUMPRODUCT(--(U$6:U67&lt;&gt;""), U$6:U67, (M$6:M67-M$5:M66)))/1000)/T$3, ""))</f>
        <v>#N/A</v>
      </c>
    </row>
    <row r="68" spans="1:24" x14ac:dyDescent="0.25">
      <c r="A68" s="1">
        <f t="shared" si="2"/>
        <v>640</v>
      </c>
      <c r="B68" s="1">
        <f t="shared" si="3"/>
        <v>0</v>
      </c>
      <c r="I68" s="1" t="e">
        <f t="shared" si="4"/>
        <v>#N/A</v>
      </c>
      <c r="J68" s="1" t="e">
        <f t="shared" si="0"/>
        <v>#N/A</v>
      </c>
      <c r="K68" s="1" t="e">
        <f t="shared" si="5"/>
        <v>#N/A</v>
      </c>
      <c r="L68" s="8" t="e" cm="1">
        <f t="array" ref="L68">IF(I68="","", IFERROR(((IF(I$5&lt;&gt;"", I$5*A$5, 0) + SUMPRODUCT(--(I$6:I68&lt;&gt;""), I$6:I68, (A$6:A68-A$5:A67)))/1000)/H$3, ""))</f>
        <v>#N/A</v>
      </c>
      <c r="M68" s="1">
        <f t="shared" si="6"/>
        <v>640</v>
      </c>
      <c r="N68" s="1">
        <f t="shared" si="7"/>
        <v>0</v>
      </c>
      <c r="U68" s="1" t="e">
        <f t="shared" si="8"/>
        <v>#N/A</v>
      </c>
      <c r="V68" s="1" t="e">
        <f t="shared" si="1"/>
        <v>#N/A</v>
      </c>
      <c r="W68" s="1" t="e">
        <f t="shared" si="9"/>
        <v>#N/A</v>
      </c>
      <c r="X68" s="8" t="e" cm="1">
        <f t="array" ref="X68">IF(U68="","", IFERROR(((IF(U$5&lt;&gt;"", U$5*M$5, 0) + SUMPRODUCT(--(U$6:U68&lt;&gt;""), U$6:U68, (M$6:M68-M$5:M67)))/1000)/T$3, ""))</f>
        <v>#N/A</v>
      </c>
    </row>
    <row r="69" spans="1:24" x14ac:dyDescent="0.25">
      <c r="A69" s="1">
        <f t="shared" si="2"/>
        <v>650</v>
      </c>
      <c r="B69" s="1">
        <f t="shared" si="3"/>
        <v>0</v>
      </c>
      <c r="I69" s="1" t="e">
        <f t="shared" si="4"/>
        <v>#N/A</v>
      </c>
      <c r="J69" s="1" t="e">
        <f t="shared" si="0"/>
        <v>#N/A</v>
      </c>
      <c r="K69" s="1" t="e">
        <f t="shared" si="5"/>
        <v>#N/A</v>
      </c>
      <c r="L69" s="8" t="e" cm="1">
        <f t="array" ref="L69">IF(I69="","", IFERROR(((IF(I$5&lt;&gt;"", I$5*A$5, 0) + SUMPRODUCT(--(I$6:I69&lt;&gt;""), I$6:I69, (A$6:A69-A$5:A68)))/1000)/H$3, ""))</f>
        <v>#N/A</v>
      </c>
      <c r="M69" s="1">
        <f t="shared" si="6"/>
        <v>650</v>
      </c>
      <c r="N69" s="1">
        <f t="shared" si="7"/>
        <v>0</v>
      </c>
      <c r="U69" s="1" t="e">
        <f t="shared" si="8"/>
        <v>#N/A</v>
      </c>
      <c r="V69" s="1" t="e">
        <f t="shared" si="1"/>
        <v>#N/A</v>
      </c>
      <c r="W69" s="1" t="e">
        <f t="shared" si="9"/>
        <v>#N/A</v>
      </c>
      <c r="X69" s="8" t="e" cm="1">
        <f t="array" ref="X69">IF(U69="","", IFERROR(((IF(U$5&lt;&gt;"", U$5*M$5, 0) + SUMPRODUCT(--(U$6:U69&lt;&gt;""), U$6:U69, (M$6:M69-M$5:M68)))/1000)/T$3, ""))</f>
        <v>#N/A</v>
      </c>
    </row>
    <row r="70" spans="1:24" x14ac:dyDescent="0.25">
      <c r="A70" s="1">
        <f t="shared" si="2"/>
        <v>660</v>
      </c>
      <c r="B70" s="1">
        <f t="shared" si="3"/>
        <v>0</v>
      </c>
      <c r="I70" s="1" t="e">
        <f t="shared" si="4"/>
        <v>#N/A</v>
      </c>
      <c r="J70" s="1" t="e">
        <f t="shared" ref="J70:J115" si="10">IF(I70="","",I70/F$2/2.5)</f>
        <v>#N/A</v>
      </c>
      <c r="K70" s="1" t="e">
        <f t="shared" si="5"/>
        <v>#N/A</v>
      </c>
      <c r="L70" s="8" t="e" cm="1">
        <f t="array" ref="L70">IF(I70="","", IFERROR(((IF(I$5&lt;&gt;"", I$5*A$5, 0) + SUMPRODUCT(--(I$6:I70&lt;&gt;""), I$6:I70, (A$6:A70-A$5:A69)))/1000)/H$3, ""))</f>
        <v>#N/A</v>
      </c>
      <c r="M70" s="1">
        <f t="shared" si="6"/>
        <v>660</v>
      </c>
      <c r="N70" s="1">
        <f t="shared" si="7"/>
        <v>0</v>
      </c>
      <c r="U70" s="1" t="e">
        <f t="shared" si="8"/>
        <v>#N/A</v>
      </c>
      <c r="V70" s="1" t="e">
        <f t="shared" ref="V70:V115" si="11">IF(U70="","",U70/R$2/2.5)</f>
        <v>#N/A</v>
      </c>
      <c r="W70" s="1" t="e">
        <f t="shared" si="9"/>
        <v>#N/A</v>
      </c>
      <c r="X70" s="8" t="e" cm="1">
        <f t="array" ref="X70">IF(U70="","", IFERROR(((IF(U$5&lt;&gt;"", U$5*M$5, 0) + SUMPRODUCT(--(U$6:U70&lt;&gt;""), U$6:U70, (M$6:M70-M$5:M69)))/1000)/T$3, ""))</f>
        <v>#N/A</v>
      </c>
    </row>
    <row r="71" spans="1:24" x14ac:dyDescent="0.25">
      <c r="A71" s="1">
        <f t="shared" ref="A71:A115" si="12">A70+10</f>
        <v>670</v>
      </c>
      <c r="B71" s="1">
        <f t="shared" ref="B71:B115" si="13">C70</f>
        <v>0</v>
      </c>
      <c r="I71" s="1" t="e">
        <f t="shared" ref="I71:I115" si="14">IF(C71="", NA(), (B71-C71)*1000/(A71-A70))</f>
        <v>#N/A</v>
      </c>
      <c r="J71" s="1" t="e">
        <f t="shared" si="10"/>
        <v>#N/A</v>
      </c>
      <c r="K71" s="1" t="e">
        <f t="shared" ref="K71:K115" si="15">IF(I71="","", 100*_xlfn.STDEV.P(I70:I71)/AVERAGE(I70:I71))</f>
        <v>#N/A</v>
      </c>
      <c r="L71" s="8" t="e" cm="1">
        <f t="array" ref="L71">IF(I71="","", IFERROR(((IF(I$5&lt;&gt;"", I$5*A$5, 0) + SUMPRODUCT(--(I$6:I71&lt;&gt;""), I$6:I71, (A$6:A71-A$5:A70)))/1000)/H$3, ""))</f>
        <v>#N/A</v>
      </c>
      <c r="M71" s="1">
        <f t="shared" ref="M71:M115" si="16">M70+10</f>
        <v>670</v>
      </c>
      <c r="N71" s="1">
        <f t="shared" ref="N71:N115" si="17">O70</f>
        <v>0</v>
      </c>
      <c r="U71" s="1" t="e">
        <f t="shared" ref="U71:U115" si="18">IF(O71="", NA(), (N71-O71)*1000/(M71-M70))</f>
        <v>#N/A</v>
      </c>
      <c r="V71" s="1" t="e">
        <f t="shared" si="11"/>
        <v>#N/A</v>
      </c>
      <c r="W71" s="1" t="e">
        <f t="shared" ref="W71:W115" si="19">IF(U71="","", 100*_xlfn.STDEV.P(U70:U71)/AVERAGE(U70:U71))</f>
        <v>#N/A</v>
      </c>
      <c r="X71" s="8" t="e" cm="1">
        <f t="array" ref="X71">IF(U71="","", IFERROR(((IF(U$5&lt;&gt;"", U$5*M$5, 0) + SUMPRODUCT(--(U$6:U71&lt;&gt;""), U$6:U71, (M$6:M71-M$5:M70)))/1000)/T$3, ""))</f>
        <v>#N/A</v>
      </c>
    </row>
    <row r="72" spans="1:24" x14ac:dyDescent="0.25">
      <c r="A72" s="1">
        <f t="shared" si="12"/>
        <v>680</v>
      </c>
      <c r="B72" s="1">
        <f t="shared" si="13"/>
        <v>0</v>
      </c>
      <c r="I72" s="1" t="e">
        <f t="shared" si="14"/>
        <v>#N/A</v>
      </c>
      <c r="J72" s="1" t="e">
        <f t="shared" si="10"/>
        <v>#N/A</v>
      </c>
      <c r="K72" s="1" t="e">
        <f t="shared" si="15"/>
        <v>#N/A</v>
      </c>
      <c r="L72" s="8" t="e" cm="1">
        <f t="array" ref="L72">IF(I72="","", IFERROR(((IF(I$5&lt;&gt;"", I$5*A$5, 0) + SUMPRODUCT(--(I$6:I72&lt;&gt;""), I$6:I72, (A$6:A72-A$5:A71)))/1000)/H$3, ""))</f>
        <v>#N/A</v>
      </c>
      <c r="M72" s="1">
        <f t="shared" si="16"/>
        <v>680</v>
      </c>
      <c r="N72" s="1">
        <f t="shared" si="17"/>
        <v>0</v>
      </c>
      <c r="U72" s="1" t="e">
        <f t="shared" si="18"/>
        <v>#N/A</v>
      </c>
      <c r="V72" s="1" t="e">
        <f t="shared" si="11"/>
        <v>#N/A</v>
      </c>
      <c r="W72" s="1" t="e">
        <f t="shared" si="19"/>
        <v>#N/A</v>
      </c>
      <c r="X72" s="8" t="e" cm="1">
        <f t="array" ref="X72">IF(U72="","", IFERROR(((IF(U$5&lt;&gt;"", U$5*M$5, 0) + SUMPRODUCT(--(U$6:U72&lt;&gt;""), U$6:U72, (M$6:M72-M$5:M71)))/1000)/T$3, ""))</f>
        <v>#N/A</v>
      </c>
    </row>
    <row r="73" spans="1:24" x14ac:dyDescent="0.25">
      <c r="A73" s="1">
        <f t="shared" si="12"/>
        <v>690</v>
      </c>
      <c r="B73" s="1">
        <f t="shared" si="13"/>
        <v>0</v>
      </c>
      <c r="I73" s="1" t="e">
        <f t="shared" si="14"/>
        <v>#N/A</v>
      </c>
      <c r="J73" s="1" t="e">
        <f t="shared" si="10"/>
        <v>#N/A</v>
      </c>
      <c r="K73" s="1" t="e">
        <f t="shared" si="15"/>
        <v>#N/A</v>
      </c>
      <c r="L73" s="8" t="e" cm="1">
        <f t="array" ref="L73">IF(I73="","", IFERROR(((IF(I$5&lt;&gt;"", I$5*A$5, 0) + SUMPRODUCT(--(I$6:I73&lt;&gt;""), I$6:I73, (A$6:A73-A$5:A72)))/1000)/H$3, ""))</f>
        <v>#N/A</v>
      </c>
      <c r="M73" s="1">
        <f t="shared" si="16"/>
        <v>690</v>
      </c>
      <c r="N73" s="1">
        <f t="shared" si="17"/>
        <v>0</v>
      </c>
      <c r="U73" s="1" t="e">
        <f t="shared" si="18"/>
        <v>#N/A</v>
      </c>
      <c r="V73" s="1" t="e">
        <f t="shared" si="11"/>
        <v>#N/A</v>
      </c>
      <c r="W73" s="1" t="e">
        <f t="shared" si="19"/>
        <v>#N/A</v>
      </c>
      <c r="X73" s="8" t="e" cm="1">
        <f t="array" ref="X73">IF(U73="","", IFERROR(((IF(U$5&lt;&gt;"", U$5*M$5, 0) + SUMPRODUCT(--(U$6:U73&lt;&gt;""), U$6:U73, (M$6:M73-M$5:M72)))/1000)/T$3, ""))</f>
        <v>#N/A</v>
      </c>
    </row>
    <row r="74" spans="1:24" x14ac:dyDescent="0.25">
      <c r="A74" s="1">
        <f t="shared" si="12"/>
        <v>700</v>
      </c>
      <c r="B74" s="1">
        <f t="shared" si="13"/>
        <v>0</v>
      </c>
      <c r="I74" s="1" t="e">
        <f t="shared" si="14"/>
        <v>#N/A</v>
      </c>
      <c r="J74" s="1" t="e">
        <f t="shared" si="10"/>
        <v>#N/A</v>
      </c>
      <c r="K74" s="1" t="e">
        <f t="shared" si="15"/>
        <v>#N/A</v>
      </c>
      <c r="L74" s="8" t="e" cm="1">
        <f t="array" ref="L74">IF(I74="","", IFERROR(((IF(I$5&lt;&gt;"", I$5*A$5, 0) + SUMPRODUCT(--(I$6:I74&lt;&gt;""), I$6:I74, (A$6:A74-A$5:A73)))/1000)/H$3, ""))</f>
        <v>#N/A</v>
      </c>
      <c r="M74" s="1">
        <f t="shared" si="16"/>
        <v>700</v>
      </c>
      <c r="N74" s="1">
        <f t="shared" si="17"/>
        <v>0</v>
      </c>
      <c r="U74" s="1" t="e">
        <f t="shared" si="18"/>
        <v>#N/A</v>
      </c>
      <c r="V74" s="1" t="e">
        <f t="shared" si="11"/>
        <v>#N/A</v>
      </c>
      <c r="W74" s="1" t="e">
        <f t="shared" si="19"/>
        <v>#N/A</v>
      </c>
      <c r="X74" s="8" t="e" cm="1">
        <f t="array" ref="X74">IF(U74="","", IFERROR(((IF(U$5&lt;&gt;"", U$5*M$5, 0) + SUMPRODUCT(--(U$6:U74&lt;&gt;""), U$6:U74, (M$6:M74-M$5:M73)))/1000)/T$3, ""))</f>
        <v>#N/A</v>
      </c>
    </row>
    <row r="75" spans="1:24" x14ac:dyDescent="0.25">
      <c r="A75" s="1">
        <f t="shared" si="12"/>
        <v>710</v>
      </c>
      <c r="B75" s="1">
        <f t="shared" si="13"/>
        <v>0</v>
      </c>
      <c r="I75" s="1" t="e">
        <f t="shared" si="14"/>
        <v>#N/A</v>
      </c>
      <c r="J75" s="1" t="e">
        <f t="shared" si="10"/>
        <v>#N/A</v>
      </c>
      <c r="K75" s="1" t="e">
        <f t="shared" si="15"/>
        <v>#N/A</v>
      </c>
      <c r="L75" s="8" t="e" cm="1">
        <f t="array" ref="L75">IF(I75="","", IFERROR(((IF(I$5&lt;&gt;"", I$5*A$5, 0) + SUMPRODUCT(--(I$6:I75&lt;&gt;""), I$6:I75, (A$6:A75-A$5:A74)))/1000)/H$3, ""))</f>
        <v>#N/A</v>
      </c>
      <c r="M75" s="1">
        <f t="shared" si="16"/>
        <v>710</v>
      </c>
      <c r="N75" s="1">
        <f t="shared" si="17"/>
        <v>0</v>
      </c>
      <c r="U75" s="1" t="e">
        <f t="shared" si="18"/>
        <v>#N/A</v>
      </c>
      <c r="V75" s="1" t="e">
        <f t="shared" si="11"/>
        <v>#N/A</v>
      </c>
      <c r="W75" s="1" t="e">
        <f t="shared" si="19"/>
        <v>#N/A</v>
      </c>
      <c r="X75" s="8" t="e" cm="1">
        <f t="array" ref="X75">IF(U75="","", IFERROR(((IF(U$5&lt;&gt;"", U$5*M$5, 0) + SUMPRODUCT(--(U$6:U75&lt;&gt;""), U$6:U75, (M$6:M75-M$5:M74)))/1000)/T$3, ""))</f>
        <v>#N/A</v>
      </c>
    </row>
    <row r="76" spans="1:24" x14ac:dyDescent="0.25">
      <c r="A76" s="1">
        <f t="shared" si="12"/>
        <v>720</v>
      </c>
      <c r="B76" s="1">
        <f t="shared" si="13"/>
        <v>0</v>
      </c>
      <c r="I76" s="1" t="e">
        <f t="shared" si="14"/>
        <v>#N/A</v>
      </c>
      <c r="J76" s="1" t="e">
        <f t="shared" si="10"/>
        <v>#N/A</v>
      </c>
      <c r="K76" s="1" t="e">
        <f t="shared" si="15"/>
        <v>#N/A</v>
      </c>
      <c r="L76" s="8" t="e" cm="1">
        <f t="array" ref="L76">IF(I76="","", IFERROR(((IF(I$5&lt;&gt;"", I$5*A$5, 0) + SUMPRODUCT(--(I$6:I76&lt;&gt;""), I$6:I76, (A$6:A76-A$5:A75)))/1000)/H$3, ""))</f>
        <v>#N/A</v>
      </c>
      <c r="M76" s="1">
        <f t="shared" si="16"/>
        <v>720</v>
      </c>
      <c r="N76" s="1">
        <f t="shared" si="17"/>
        <v>0</v>
      </c>
      <c r="U76" s="1" t="e">
        <f t="shared" si="18"/>
        <v>#N/A</v>
      </c>
      <c r="V76" s="1" t="e">
        <f t="shared" si="11"/>
        <v>#N/A</v>
      </c>
      <c r="W76" s="1" t="e">
        <f t="shared" si="19"/>
        <v>#N/A</v>
      </c>
      <c r="X76" s="8" t="e" cm="1">
        <f t="array" ref="X76">IF(U76="","", IFERROR(((IF(U$5&lt;&gt;"", U$5*M$5, 0) + SUMPRODUCT(--(U$6:U76&lt;&gt;""), U$6:U76, (M$6:M76-M$5:M75)))/1000)/T$3, ""))</f>
        <v>#N/A</v>
      </c>
    </row>
    <row r="77" spans="1:24" x14ac:dyDescent="0.25">
      <c r="A77" s="1">
        <f t="shared" si="12"/>
        <v>730</v>
      </c>
      <c r="B77" s="1">
        <f t="shared" si="13"/>
        <v>0</v>
      </c>
      <c r="I77" s="1" t="e">
        <f t="shared" si="14"/>
        <v>#N/A</v>
      </c>
      <c r="J77" s="1" t="e">
        <f t="shared" si="10"/>
        <v>#N/A</v>
      </c>
      <c r="K77" s="1" t="e">
        <f t="shared" si="15"/>
        <v>#N/A</v>
      </c>
      <c r="L77" s="8" t="e" cm="1">
        <f t="array" ref="L77">IF(I77="","", IFERROR(((IF(I$5&lt;&gt;"", I$5*A$5, 0) + SUMPRODUCT(--(I$6:I77&lt;&gt;""), I$6:I77, (A$6:A77-A$5:A76)))/1000)/H$3, ""))</f>
        <v>#N/A</v>
      </c>
      <c r="M77" s="1">
        <f t="shared" si="16"/>
        <v>730</v>
      </c>
      <c r="N77" s="1">
        <f t="shared" si="17"/>
        <v>0</v>
      </c>
      <c r="U77" s="1" t="e">
        <f t="shared" si="18"/>
        <v>#N/A</v>
      </c>
      <c r="V77" s="1" t="e">
        <f t="shared" si="11"/>
        <v>#N/A</v>
      </c>
      <c r="W77" s="1" t="e">
        <f t="shared" si="19"/>
        <v>#N/A</v>
      </c>
      <c r="X77" s="8" t="e" cm="1">
        <f t="array" ref="X77">IF(U77="","", IFERROR(((IF(U$5&lt;&gt;"", U$5*M$5, 0) + SUMPRODUCT(--(U$6:U77&lt;&gt;""), U$6:U77, (M$6:M77-M$5:M76)))/1000)/T$3, ""))</f>
        <v>#N/A</v>
      </c>
    </row>
    <row r="78" spans="1:24" x14ac:dyDescent="0.25">
      <c r="A78" s="1">
        <f t="shared" si="12"/>
        <v>740</v>
      </c>
      <c r="B78" s="1">
        <f t="shared" si="13"/>
        <v>0</v>
      </c>
      <c r="I78" s="1" t="e">
        <f t="shared" si="14"/>
        <v>#N/A</v>
      </c>
      <c r="J78" s="1" t="e">
        <f t="shared" si="10"/>
        <v>#N/A</v>
      </c>
      <c r="K78" s="1" t="e">
        <f t="shared" si="15"/>
        <v>#N/A</v>
      </c>
      <c r="L78" s="8" t="e" cm="1">
        <f t="array" ref="L78">IF(I78="","", IFERROR(((IF(I$5&lt;&gt;"", I$5*A$5, 0) + SUMPRODUCT(--(I$6:I78&lt;&gt;""), I$6:I78, (A$6:A78-A$5:A77)))/1000)/H$3, ""))</f>
        <v>#N/A</v>
      </c>
      <c r="M78" s="1">
        <f t="shared" si="16"/>
        <v>740</v>
      </c>
      <c r="N78" s="1">
        <f t="shared" si="17"/>
        <v>0</v>
      </c>
      <c r="U78" s="1" t="e">
        <f t="shared" si="18"/>
        <v>#N/A</v>
      </c>
      <c r="V78" s="1" t="e">
        <f t="shared" si="11"/>
        <v>#N/A</v>
      </c>
      <c r="W78" s="1" t="e">
        <f t="shared" si="19"/>
        <v>#N/A</v>
      </c>
      <c r="X78" s="8" t="e" cm="1">
        <f t="array" ref="X78">IF(U78="","", IFERROR(((IF(U$5&lt;&gt;"", U$5*M$5, 0) + SUMPRODUCT(--(U$6:U78&lt;&gt;""), U$6:U78, (M$6:M78-M$5:M77)))/1000)/T$3, ""))</f>
        <v>#N/A</v>
      </c>
    </row>
    <row r="79" spans="1:24" x14ac:dyDescent="0.25">
      <c r="A79" s="1">
        <f t="shared" si="12"/>
        <v>750</v>
      </c>
      <c r="B79" s="1">
        <f t="shared" si="13"/>
        <v>0</v>
      </c>
      <c r="I79" s="1" t="e">
        <f t="shared" si="14"/>
        <v>#N/A</v>
      </c>
      <c r="J79" s="1" t="e">
        <f t="shared" si="10"/>
        <v>#N/A</v>
      </c>
      <c r="K79" s="1" t="e">
        <f t="shared" si="15"/>
        <v>#N/A</v>
      </c>
      <c r="L79" s="8" t="e" cm="1">
        <f t="array" ref="L79">IF(I79="","", IFERROR(((IF(I$5&lt;&gt;"", I$5*A$5, 0) + SUMPRODUCT(--(I$6:I79&lt;&gt;""), I$6:I79, (A$6:A79-A$5:A78)))/1000)/H$3, ""))</f>
        <v>#N/A</v>
      </c>
      <c r="M79" s="1">
        <f t="shared" si="16"/>
        <v>750</v>
      </c>
      <c r="N79" s="1">
        <f t="shared" si="17"/>
        <v>0</v>
      </c>
      <c r="U79" s="1" t="e">
        <f t="shared" si="18"/>
        <v>#N/A</v>
      </c>
      <c r="V79" s="1" t="e">
        <f t="shared" si="11"/>
        <v>#N/A</v>
      </c>
      <c r="W79" s="1" t="e">
        <f t="shared" si="19"/>
        <v>#N/A</v>
      </c>
      <c r="X79" s="8" t="e" cm="1">
        <f t="array" ref="X79">IF(U79="","", IFERROR(((IF(U$5&lt;&gt;"", U$5*M$5, 0) + SUMPRODUCT(--(U$6:U79&lt;&gt;""), U$6:U79, (M$6:M79-M$5:M78)))/1000)/T$3, ""))</f>
        <v>#N/A</v>
      </c>
    </row>
    <row r="80" spans="1:24" x14ac:dyDescent="0.25">
      <c r="A80" s="1">
        <f t="shared" si="12"/>
        <v>760</v>
      </c>
      <c r="B80" s="1">
        <f t="shared" si="13"/>
        <v>0</v>
      </c>
      <c r="I80" s="1" t="e">
        <f t="shared" si="14"/>
        <v>#N/A</v>
      </c>
      <c r="J80" s="1" t="e">
        <f t="shared" si="10"/>
        <v>#N/A</v>
      </c>
      <c r="K80" s="1" t="e">
        <f t="shared" si="15"/>
        <v>#N/A</v>
      </c>
      <c r="L80" s="8" t="e" cm="1">
        <f t="array" ref="L80">IF(I80="","", IFERROR(((IF(I$5&lt;&gt;"", I$5*A$5, 0) + SUMPRODUCT(--(I$6:I80&lt;&gt;""), I$6:I80, (A$6:A80-A$5:A79)))/1000)/H$3, ""))</f>
        <v>#N/A</v>
      </c>
      <c r="M80" s="1">
        <f t="shared" si="16"/>
        <v>760</v>
      </c>
      <c r="N80" s="1">
        <f t="shared" si="17"/>
        <v>0</v>
      </c>
      <c r="U80" s="1" t="e">
        <f t="shared" si="18"/>
        <v>#N/A</v>
      </c>
      <c r="V80" s="1" t="e">
        <f t="shared" si="11"/>
        <v>#N/A</v>
      </c>
      <c r="W80" s="1" t="e">
        <f t="shared" si="19"/>
        <v>#N/A</v>
      </c>
      <c r="X80" s="8" t="e" cm="1">
        <f t="array" ref="X80">IF(U80="","", IFERROR(((IF(U$5&lt;&gt;"", U$5*M$5, 0) + SUMPRODUCT(--(U$6:U80&lt;&gt;""), U$6:U80, (M$6:M80-M$5:M79)))/1000)/T$3, ""))</f>
        <v>#N/A</v>
      </c>
    </row>
    <row r="81" spans="1:24" x14ac:dyDescent="0.25">
      <c r="A81" s="1">
        <f t="shared" si="12"/>
        <v>770</v>
      </c>
      <c r="B81" s="1">
        <f t="shared" si="13"/>
        <v>0</v>
      </c>
      <c r="I81" s="1" t="e">
        <f t="shared" si="14"/>
        <v>#N/A</v>
      </c>
      <c r="J81" s="1" t="e">
        <f t="shared" si="10"/>
        <v>#N/A</v>
      </c>
      <c r="K81" s="1" t="e">
        <f t="shared" si="15"/>
        <v>#N/A</v>
      </c>
      <c r="L81" s="8" t="e" cm="1">
        <f t="array" ref="L81">IF(I81="","", IFERROR(((IF(I$5&lt;&gt;"", I$5*A$5, 0) + SUMPRODUCT(--(I$6:I81&lt;&gt;""), I$6:I81, (A$6:A81-A$5:A80)))/1000)/H$3, ""))</f>
        <v>#N/A</v>
      </c>
      <c r="M81" s="1">
        <f t="shared" si="16"/>
        <v>770</v>
      </c>
      <c r="N81" s="1">
        <f t="shared" si="17"/>
        <v>0</v>
      </c>
      <c r="U81" s="1" t="e">
        <f t="shared" si="18"/>
        <v>#N/A</v>
      </c>
      <c r="V81" s="1" t="e">
        <f t="shared" si="11"/>
        <v>#N/A</v>
      </c>
      <c r="W81" s="1" t="e">
        <f t="shared" si="19"/>
        <v>#N/A</v>
      </c>
      <c r="X81" s="8" t="e" cm="1">
        <f t="array" ref="X81">IF(U81="","", IFERROR(((IF(U$5&lt;&gt;"", U$5*M$5, 0) + SUMPRODUCT(--(U$6:U81&lt;&gt;""), U$6:U81, (M$6:M81-M$5:M80)))/1000)/T$3, ""))</f>
        <v>#N/A</v>
      </c>
    </row>
    <row r="82" spans="1:24" x14ac:dyDescent="0.25">
      <c r="A82" s="1">
        <f t="shared" si="12"/>
        <v>780</v>
      </c>
      <c r="B82" s="1">
        <f t="shared" si="13"/>
        <v>0</v>
      </c>
      <c r="I82" s="1" t="e">
        <f t="shared" si="14"/>
        <v>#N/A</v>
      </c>
      <c r="J82" s="1" t="e">
        <f t="shared" si="10"/>
        <v>#N/A</v>
      </c>
      <c r="K82" s="1" t="e">
        <f t="shared" si="15"/>
        <v>#N/A</v>
      </c>
      <c r="L82" s="8" t="e" cm="1">
        <f t="array" ref="L82">IF(I82="","", IFERROR(((IF(I$5&lt;&gt;"", I$5*A$5, 0) + SUMPRODUCT(--(I$6:I82&lt;&gt;""), I$6:I82, (A$6:A82-A$5:A81)))/1000)/H$3, ""))</f>
        <v>#N/A</v>
      </c>
      <c r="M82" s="1">
        <f t="shared" si="16"/>
        <v>780</v>
      </c>
      <c r="N82" s="1">
        <f t="shared" si="17"/>
        <v>0</v>
      </c>
      <c r="U82" s="1" t="e">
        <f t="shared" si="18"/>
        <v>#N/A</v>
      </c>
      <c r="V82" s="1" t="e">
        <f t="shared" si="11"/>
        <v>#N/A</v>
      </c>
      <c r="W82" s="1" t="e">
        <f t="shared" si="19"/>
        <v>#N/A</v>
      </c>
      <c r="X82" s="8" t="e" cm="1">
        <f t="array" ref="X82">IF(U82="","", IFERROR(((IF(U$5&lt;&gt;"", U$5*M$5, 0) + SUMPRODUCT(--(U$6:U82&lt;&gt;""), U$6:U82, (M$6:M82-M$5:M81)))/1000)/T$3, ""))</f>
        <v>#N/A</v>
      </c>
    </row>
    <row r="83" spans="1:24" x14ac:dyDescent="0.25">
      <c r="A83" s="1">
        <f t="shared" si="12"/>
        <v>790</v>
      </c>
      <c r="B83" s="1">
        <f t="shared" si="13"/>
        <v>0</v>
      </c>
      <c r="I83" s="1" t="e">
        <f t="shared" si="14"/>
        <v>#N/A</v>
      </c>
      <c r="J83" s="1" t="e">
        <f t="shared" si="10"/>
        <v>#N/A</v>
      </c>
      <c r="K83" s="1" t="e">
        <f t="shared" si="15"/>
        <v>#N/A</v>
      </c>
      <c r="L83" s="8" t="e" cm="1">
        <f t="array" ref="L83">IF(I83="","", IFERROR(((IF(I$5&lt;&gt;"", I$5*A$5, 0) + SUMPRODUCT(--(I$6:I83&lt;&gt;""), I$6:I83, (A$6:A83-A$5:A82)))/1000)/H$3, ""))</f>
        <v>#N/A</v>
      </c>
      <c r="M83" s="1">
        <f t="shared" si="16"/>
        <v>790</v>
      </c>
      <c r="N83" s="1">
        <f t="shared" si="17"/>
        <v>0</v>
      </c>
      <c r="U83" s="1" t="e">
        <f t="shared" si="18"/>
        <v>#N/A</v>
      </c>
      <c r="V83" s="1" t="e">
        <f t="shared" si="11"/>
        <v>#N/A</v>
      </c>
      <c r="W83" s="1" t="e">
        <f t="shared" si="19"/>
        <v>#N/A</v>
      </c>
      <c r="X83" s="8" t="e" cm="1">
        <f t="array" ref="X83">IF(U83="","", IFERROR(((IF(U$5&lt;&gt;"", U$5*M$5, 0) + SUMPRODUCT(--(U$6:U83&lt;&gt;""), U$6:U83, (M$6:M83-M$5:M82)))/1000)/T$3, ""))</f>
        <v>#N/A</v>
      </c>
    </row>
    <row r="84" spans="1:24" x14ac:dyDescent="0.25">
      <c r="A84" s="1">
        <f t="shared" si="12"/>
        <v>800</v>
      </c>
      <c r="B84" s="1">
        <f t="shared" si="13"/>
        <v>0</v>
      </c>
      <c r="I84" s="1" t="e">
        <f t="shared" si="14"/>
        <v>#N/A</v>
      </c>
      <c r="J84" s="1" t="e">
        <f t="shared" si="10"/>
        <v>#N/A</v>
      </c>
      <c r="K84" s="1" t="e">
        <f t="shared" si="15"/>
        <v>#N/A</v>
      </c>
      <c r="L84" s="8" t="e" cm="1">
        <f t="array" ref="L84">IF(I84="","", IFERROR(((IF(I$5&lt;&gt;"", I$5*A$5, 0) + SUMPRODUCT(--(I$6:I84&lt;&gt;""), I$6:I84, (A$6:A84-A$5:A83)))/1000)/H$3, ""))</f>
        <v>#N/A</v>
      </c>
      <c r="M84" s="1">
        <f t="shared" si="16"/>
        <v>800</v>
      </c>
      <c r="N84" s="1">
        <f t="shared" si="17"/>
        <v>0</v>
      </c>
      <c r="U84" s="1" t="e">
        <f t="shared" si="18"/>
        <v>#N/A</v>
      </c>
      <c r="V84" s="1" t="e">
        <f t="shared" si="11"/>
        <v>#N/A</v>
      </c>
      <c r="W84" s="1" t="e">
        <f t="shared" si="19"/>
        <v>#N/A</v>
      </c>
      <c r="X84" s="8" t="e" cm="1">
        <f t="array" ref="X84">IF(U84="","", IFERROR(((IF(U$5&lt;&gt;"", U$5*M$5, 0) + SUMPRODUCT(--(U$6:U84&lt;&gt;""), U$6:U84, (M$6:M84-M$5:M83)))/1000)/T$3, ""))</f>
        <v>#N/A</v>
      </c>
    </row>
    <row r="85" spans="1:24" x14ac:dyDescent="0.25">
      <c r="A85" s="1">
        <f t="shared" si="12"/>
        <v>810</v>
      </c>
      <c r="B85" s="1">
        <f t="shared" si="13"/>
        <v>0</v>
      </c>
      <c r="I85" s="1" t="e">
        <f t="shared" si="14"/>
        <v>#N/A</v>
      </c>
      <c r="J85" s="1" t="e">
        <f t="shared" si="10"/>
        <v>#N/A</v>
      </c>
      <c r="K85" s="1" t="e">
        <f t="shared" si="15"/>
        <v>#N/A</v>
      </c>
      <c r="L85" s="8" t="e" cm="1">
        <f t="array" ref="L85">IF(I85="","", IFERROR(((IF(I$5&lt;&gt;"", I$5*A$5, 0) + SUMPRODUCT(--(I$6:I85&lt;&gt;""), I$6:I85, (A$6:A85-A$5:A84)))/1000)/H$3, ""))</f>
        <v>#N/A</v>
      </c>
      <c r="M85" s="1">
        <f t="shared" si="16"/>
        <v>810</v>
      </c>
      <c r="N85" s="1">
        <f t="shared" si="17"/>
        <v>0</v>
      </c>
      <c r="U85" s="1" t="e">
        <f t="shared" si="18"/>
        <v>#N/A</v>
      </c>
      <c r="V85" s="1" t="e">
        <f t="shared" si="11"/>
        <v>#N/A</v>
      </c>
      <c r="W85" s="1" t="e">
        <f t="shared" si="19"/>
        <v>#N/A</v>
      </c>
      <c r="X85" s="8" t="e" cm="1">
        <f t="array" ref="X85">IF(U85="","", IFERROR(((IF(U$5&lt;&gt;"", U$5*M$5, 0) + SUMPRODUCT(--(U$6:U85&lt;&gt;""), U$6:U85, (M$6:M85-M$5:M84)))/1000)/T$3, ""))</f>
        <v>#N/A</v>
      </c>
    </row>
    <row r="86" spans="1:24" x14ac:dyDescent="0.25">
      <c r="A86" s="1">
        <f t="shared" si="12"/>
        <v>820</v>
      </c>
      <c r="B86" s="1">
        <f t="shared" si="13"/>
        <v>0</v>
      </c>
      <c r="I86" s="1" t="e">
        <f t="shared" si="14"/>
        <v>#N/A</v>
      </c>
      <c r="J86" s="1" t="e">
        <f t="shared" si="10"/>
        <v>#N/A</v>
      </c>
      <c r="K86" s="1" t="e">
        <f t="shared" si="15"/>
        <v>#N/A</v>
      </c>
      <c r="L86" s="8" t="e" cm="1">
        <f t="array" ref="L86">IF(I86="","", IFERROR(((IF(I$5&lt;&gt;"", I$5*A$5, 0) + SUMPRODUCT(--(I$6:I86&lt;&gt;""), I$6:I86, (A$6:A86-A$5:A85)))/1000)/H$3, ""))</f>
        <v>#N/A</v>
      </c>
      <c r="M86" s="1">
        <f t="shared" si="16"/>
        <v>820</v>
      </c>
      <c r="N86" s="1">
        <f t="shared" si="17"/>
        <v>0</v>
      </c>
      <c r="U86" s="1" t="e">
        <f t="shared" si="18"/>
        <v>#N/A</v>
      </c>
      <c r="V86" s="1" t="e">
        <f t="shared" si="11"/>
        <v>#N/A</v>
      </c>
      <c r="W86" s="1" t="e">
        <f t="shared" si="19"/>
        <v>#N/A</v>
      </c>
      <c r="X86" s="8" t="e" cm="1">
        <f t="array" ref="X86">IF(U86="","", IFERROR(((IF(U$5&lt;&gt;"", U$5*M$5, 0) + SUMPRODUCT(--(U$6:U86&lt;&gt;""), U$6:U86, (M$6:M86-M$5:M85)))/1000)/T$3, ""))</f>
        <v>#N/A</v>
      </c>
    </row>
    <row r="87" spans="1:24" x14ac:dyDescent="0.25">
      <c r="A87" s="1">
        <f t="shared" si="12"/>
        <v>830</v>
      </c>
      <c r="B87" s="1">
        <f t="shared" si="13"/>
        <v>0</v>
      </c>
      <c r="I87" s="1" t="e">
        <f t="shared" si="14"/>
        <v>#N/A</v>
      </c>
      <c r="J87" s="1" t="e">
        <f t="shared" si="10"/>
        <v>#N/A</v>
      </c>
      <c r="K87" s="1" t="e">
        <f t="shared" si="15"/>
        <v>#N/A</v>
      </c>
      <c r="L87" s="8" t="e" cm="1">
        <f t="array" ref="L87">IF(I87="","", IFERROR(((IF(I$5&lt;&gt;"", I$5*A$5, 0) + SUMPRODUCT(--(I$6:I87&lt;&gt;""), I$6:I87, (A$6:A87-A$5:A86)))/1000)/H$3, ""))</f>
        <v>#N/A</v>
      </c>
      <c r="M87" s="1">
        <f t="shared" si="16"/>
        <v>830</v>
      </c>
      <c r="N87" s="1">
        <f t="shared" si="17"/>
        <v>0</v>
      </c>
      <c r="U87" s="1" t="e">
        <f t="shared" si="18"/>
        <v>#N/A</v>
      </c>
      <c r="V87" s="1" t="e">
        <f t="shared" si="11"/>
        <v>#N/A</v>
      </c>
      <c r="W87" s="1" t="e">
        <f t="shared" si="19"/>
        <v>#N/A</v>
      </c>
      <c r="X87" s="8" t="e" cm="1">
        <f t="array" ref="X87">IF(U87="","", IFERROR(((IF(U$5&lt;&gt;"", U$5*M$5, 0) + SUMPRODUCT(--(U$6:U87&lt;&gt;""), U$6:U87, (M$6:M87-M$5:M86)))/1000)/T$3, ""))</f>
        <v>#N/A</v>
      </c>
    </row>
    <row r="88" spans="1:24" x14ac:dyDescent="0.25">
      <c r="A88" s="1">
        <f t="shared" si="12"/>
        <v>840</v>
      </c>
      <c r="B88" s="1">
        <f t="shared" si="13"/>
        <v>0</v>
      </c>
      <c r="I88" s="1" t="e">
        <f t="shared" si="14"/>
        <v>#N/A</v>
      </c>
      <c r="J88" s="1" t="e">
        <f t="shared" si="10"/>
        <v>#N/A</v>
      </c>
      <c r="K88" s="1" t="e">
        <f t="shared" si="15"/>
        <v>#N/A</v>
      </c>
      <c r="L88" s="8" t="e" cm="1">
        <f t="array" ref="L88">IF(I88="","", IFERROR(((IF(I$5&lt;&gt;"", I$5*A$5, 0) + SUMPRODUCT(--(I$6:I88&lt;&gt;""), I$6:I88, (A$6:A88-A$5:A87)))/1000)/H$3, ""))</f>
        <v>#N/A</v>
      </c>
      <c r="M88" s="1">
        <f t="shared" si="16"/>
        <v>840</v>
      </c>
      <c r="N88" s="1">
        <f t="shared" si="17"/>
        <v>0</v>
      </c>
      <c r="U88" s="1" t="e">
        <f t="shared" si="18"/>
        <v>#N/A</v>
      </c>
      <c r="V88" s="1" t="e">
        <f t="shared" si="11"/>
        <v>#N/A</v>
      </c>
      <c r="W88" s="1" t="e">
        <f t="shared" si="19"/>
        <v>#N/A</v>
      </c>
      <c r="X88" s="8" t="e" cm="1">
        <f t="array" ref="X88">IF(U88="","", IFERROR(((IF(U$5&lt;&gt;"", U$5*M$5, 0) + SUMPRODUCT(--(U$6:U88&lt;&gt;""), U$6:U88, (M$6:M88-M$5:M87)))/1000)/T$3, ""))</f>
        <v>#N/A</v>
      </c>
    </row>
    <row r="89" spans="1:24" x14ac:dyDescent="0.25">
      <c r="A89" s="1">
        <f t="shared" si="12"/>
        <v>850</v>
      </c>
      <c r="B89" s="1">
        <f t="shared" si="13"/>
        <v>0</v>
      </c>
      <c r="I89" s="1" t="e">
        <f t="shared" si="14"/>
        <v>#N/A</v>
      </c>
      <c r="J89" s="1" t="e">
        <f t="shared" si="10"/>
        <v>#N/A</v>
      </c>
      <c r="K89" s="1" t="e">
        <f t="shared" si="15"/>
        <v>#N/A</v>
      </c>
      <c r="L89" s="8" t="e" cm="1">
        <f t="array" ref="L89">IF(I89="","", IFERROR(((IF(I$5&lt;&gt;"", I$5*A$5, 0) + SUMPRODUCT(--(I$6:I89&lt;&gt;""), I$6:I89, (A$6:A89-A$5:A88)))/1000)/H$3, ""))</f>
        <v>#N/A</v>
      </c>
      <c r="M89" s="1">
        <f t="shared" si="16"/>
        <v>850</v>
      </c>
      <c r="N89" s="1">
        <f t="shared" si="17"/>
        <v>0</v>
      </c>
      <c r="U89" s="1" t="e">
        <f t="shared" si="18"/>
        <v>#N/A</v>
      </c>
      <c r="V89" s="1" t="e">
        <f t="shared" si="11"/>
        <v>#N/A</v>
      </c>
      <c r="W89" s="1" t="e">
        <f t="shared" si="19"/>
        <v>#N/A</v>
      </c>
      <c r="X89" s="8" t="e" cm="1">
        <f t="array" ref="X89">IF(U89="","", IFERROR(((IF(U$5&lt;&gt;"", U$5*M$5, 0) + SUMPRODUCT(--(U$6:U89&lt;&gt;""), U$6:U89, (M$6:M89-M$5:M88)))/1000)/T$3, ""))</f>
        <v>#N/A</v>
      </c>
    </row>
    <row r="90" spans="1:24" x14ac:dyDescent="0.25">
      <c r="A90" s="1">
        <f t="shared" si="12"/>
        <v>860</v>
      </c>
      <c r="B90" s="1">
        <f t="shared" si="13"/>
        <v>0</v>
      </c>
      <c r="I90" s="1" t="e">
        <f t="shared" si="14"/>
        <v>#N/A</v>
      </c>
      <c r="J90" s="1" t="e">
        <f t="shared" si="10"/>
        <v>#N/A</v>
      </c>
      <c r="K90" s="1" t="e">
        <f t="shared" si="15"/>
        <v>#N/A</v>
      </c>
      <c r="L90" s="8" t="e" cm="1">
        <f t="array" ref="L90">IF(I90="","", IFERROR(((IF(I$5&lt;&gt;"", I$5*A$5, 0) + SUMPRODUCT(--(I$6:I90&lt;&gt;""), I$6:I90, (A$6:A90-A$5:A89)))/1000)/H$3, ""))</f>
        <v>#N/A</v>
      </c>
      <c r="M90" s="1">
        <f t="shared" si="16"/>
        <v>860</v>
      </c>
      <c r="N90" s="1">
        <f t="shared" si="17"/>
        <v>0</v>
      </c>
      <c r="U90" s="1" t="e">
        <f t="shared" si="18"/>
        <v>#N/A</v>
      </c>
      <c r="V90" s="1" t="e">
        <f t="shared" si="11"/>
        <v>#N/A</v>
      </c>
      <c r="W90" s="1" t="e">
        <f t="shared" si="19"/>
        <v>#N/A</v>
      </c>
      <c r="X90" s="8" t="e" cm="1">
        <f t="array" ref="X90">IF(U90="","", IFERROR(((IF(U$5&lt;&gt;"", U$5*M$5, 0) + SUMPRODUCT(--(U$6:U90&lt;&gt;""), U$6:U90, (M$6:M90-M$5:M89)))/1000)/T$3, ""))</f>
        <v>#N/A</v>
      </c>
    </row>
    <row r="91" spans="1:24" x14ac:dyDescent="0.25">
      <c r="A91" s="1">
        <f t="shared" si="12"/>
        <v>870</v>
      </c>
      <c r="B91" s="1">
        <f t="shared" si="13"/>
        <v>0</v>
      </c>
      <c r="I91" s="1" t="e">
        <f t="shared" si="14"/>
        <v>#N/A</v>
      </c>
      <c r="J91" s="1" t="e">
        <f t="shared" si="10"/>
        <v>#N/A</v>
      </c>
      <c r="K91" s="1" t="e">
        <f t="shared" si="15"/>
        <v>#N/A</v>
      </c>
      <c r="L91" s="8" t="e" cm="1">
        <f t="array" ref="L91">IF(I91="","", IFERROR(((IF(I$5&lt;&gt;"", I$5*A$5, 0) + SUMPRODUCT(--(I$6:I91&lt;&gt;""), I$6:I91, (A$6:A91-A$5:A90)))/1000)/H$3, ""))</f>
        <v>#N/A</v>
      </c>
      <c r="M91" s="1">
        <f t="shared" si="16"/>
        <v>870</v>
      </c>
      <c r="N91" s="1">
        <f t="shared" si="17"/>
        <v>0</v>
      </c>
      <c r="U91" s="1" t="e">
        <f t="shared" si="18"/>
        <v>#N/A</v>
      </c>
      <c r="V91" s="1" t="e">
        <f t="shared" si="11"/>
        <v>#N/A</v>
      </c>
      <c r="W91" s="1" t="e">
        <f t="shared" si="19"/>
        <v>#N/A</v>
      </c>
      <c r="X91" s="8" t="e" cm="1">
        <f t="array" ref="X91">IF(U91="","", IFERROR(((IF(U$5&lt;&gt;"", U$5*M$5, 0) + SUMPRODUCT(--(U$6:U91&lt;&gt;""), U$6:U91, (M$6:M91-M$5:M90)))/1000)/T$3, ""))</f>
        <v>#N/A</v>
      </c>
    </row>
    <row r="92" spans="1:24" x14ac:dyDescent="0.25">
      <c r="A92" s="1">
        <f t="shared" si="12"/>
        <v>880</v>
      </c>
      <c r="B92" s="1">
        <f t="shared" si="13"/>
        <v>0</v>
      </c>
      <c r="I92" s="1" t="e">
        <f t="shared" si="14"/>
        <v>#N/A</v>
      </c>
      <c r="J92" s="1" t="e">
        <f t="shared" si="10"/>
        <v>#N/A</v>
      </c>
      <c r="K92" s="1" t="e">
        <f t="shared" si="15"/>
        <v>#N/A</v>
      </c>
      <c r="L92" s="8" t="e" cm="1">
        <f t="array" ref="L92">IF(I92="","", IFERROR(((IF(I$5&lt;&gt;"", I$5*A$5, 0) + SUMPRODUCT(--(I$6:I92&lt;&gt;""), I$6:I92, (A$6:A92-A$5:A91)))/1000)/H$3, ""))</f>
        <v>#N/A</v>
      </c>
      <c r="M92" s="1">
        <f t="shared" si="16"/>
        <v>880</v>
      </c>
      <c r="N92" s="1">
        <f t="shared" si="17"/>
        <v>0</v>
      </c>
      <c r="U92" s="1" t="e">
        <f t="shared" si="18"/>
        <v>#N/A</v>
      </c>
      <c r="V92" s="1" t="e">
        <f t="shared" si="11"/>
        <v>#N/A</v>
      </c>
      <c r="W92" s="1" t="e">
        <f t="shared" si="19"/>
        <v>#N/A</v>
      </c>
      <c r="X92" s="8" t="e" cm="1">
        <f t="array" ref="X92">IF(U92="","", IFERROR(((IF(U$5&lt;&gt;"", U$5*M$5, 0) + SUMPRODUCT(--(U$6:U92&lt;&gt;""), U$6:U92, (M$6:M92-M$5:M91)))/1000)/T$3, ""))</f>
        <v>#N/A</v>
      </c>
    </row>
    <row r="93" spans="1:24" x14ac:dyDescent="0.25">
      <c r="A93" s="1">
        <f t="shared" si="12"/>
        <v>890</v>
      </c>
      <c r="B93" s="1">
        <f t="shared" si="13"/>
        <v>0</v>
      </c>
      <c r="I93" s="1" t="e">
        <f t="shared" si="14"/>
        <v>#N/A</v>
      </c>
      <c r="J93" s="1" t="e">
        <f t="shared" si="10"/>
        <v>#N/A</v>
      </c>
      <c r="K93" s="1" t="e">
        <f t="shared" si="15"/>
        <v>#N/A</v>
      </c>
      <c r="L93" s="8" t="e" cm="1">
        <f t="array" ref="L93">IF(I93="","", IFERROR(((IF(I$5&lt;&gt;"", I$5*A$5, 0) + SUMPRODUCT(--(I$6:I93&lt;&gt;""), I$6:I93, (A$6:A93-A$5:A92)))/1000)/H$3, ""))</f>
        <v>#N/A</v>
      </c>
      <c r="M93" s="1">
        <f t="shared" si="16"/>
        <v>890</v>
      </c>
      <c r="N93" s="1">
        <f t="shared" si="17"/>
        <v>0</v>
      </c>
      <c r="U93" s="1" t="e">
        <f t="shared" si="18"/>
        <v>#N/A</v>
      </c>
      <c r="V93" s="1" t="e">
        <f t="shared" si="11"/>
        <v>#N/A</v>
      </c>
      <c r="W93" s="1" t="e">
        <f t="shared" si="19"/>
        <v>#N/A</v>
      </c>
      <c r="X93" s="8" t="e" cm="1">
        <f t="array" ref="X93">IF(U93="","", IFERROR(((IF(U$5&lt;&gt;"", U$5*M$5, 0) + SUMPRODUCT(--(U$6:U93&lt;&gt;""), U$6:U93, (M$6:M93-M$5:M92)))/1000)/T$3, ""))</f>
        <v>#N/A</v>
      </c>
    </row>
    <row r="94" spans="1:24" x14ac:dyDescent="0.25">
      <c r="A94" s="1">
        <f t="shared" si="12"/>
        <v>900</v>
      </c>
      <c r="B94" s="1">
        <f t="shared" si="13"/>
        <v>0</v>
      </c>
      <c r="I94" s="1" t="e">
        <f t="shared" si="14"/>
        <v>#N/A</v>
      </c>
      <c r="J94" s="1" t="e">
        <f t="shared" si="10"/>
        <v>#N/A</v>
      </c>
      <c r="K94" s="1" t="e">
        <f t="shared" si="15"/>
        <v>#N/A</v>
      </c>
      <c r="L94" s="8" t="e" cm="1">
        <f t="array" ref="L94">IF(I94="","", IFERROR(((IF(I$5&lt;&gt;"", I$5*A$5, 0) + SUMPRODUCT(--(I$6:I94&lt;&gt;""), I$6:I94, (A$6:A94-A$5:A93)))/1000)/H$3, ""))</f>
        <v>#N/A</v>
      </c>
      <c r="M94" s="1">
        <f t="shared" si="16"/>
        <v>900</v>
      </c>
      <c r="N94" s="1">
        <f t="shared" si="17"/>
        <v>0</v>
      </c>
      <c r="U94" s="1" t="e">
        <f t="shared" si="18"/>
        <v>#N/A</v>
      </c>
      <c r="V94" s="1" t="e">
        <f t="shared" si="11"/>
        <v>#N/A</v>
      </c>
      <c r="W94" s="1" t="e">
        <f t="shared" si="19"/>
        <v>#N/A</v>
      </c>
      <c r="X94" s="8" t="e" cm="1">
        <f t="array" ref="X94">IF(U94="","", IFERROR(((IF(U$5&lt;&gt;"", U$5*M$5, 0) + SUMPRODUCT(--(U$6:U94&lt;&gt;""), U$6:U94, (M$6:M94-M$5:M93)))/1000)/T$3, ""))</f>
        <v>#N/A</v>
      </c>
    </row>
    <row r="95" spans="1:24" x14ac:dyDescent="0.25">
      <c r="A95" s="1">
        <f t="shared" si="12"/>
        <v>910</v>
      </c>
      <c r="B95" s="1">
        <f t="shared" si="13"/>
        <v>0</v>
      </c>
      <c r="I95" s="1" t="e">
        <f t="shared" si="14"/>
        <v>#N/A</v>
      </c>
      <c r="J95" s="1" t="e">
        <f t="shared" si="10"/>
        <v>#N/A</v>
      </c>
      <c r="K95" s="1" t="e">
        <f t="shared" si="15"/>
        <v>#N/A</v>
      </c>
      <c r="L95" s="8" t="e" cm="1">
        <f t="array" ref="L95">IF(I95="","", IFERROR(((IF(I$5&lt;&gt;"", I$5*A$5, 0) + SUMPRODUCT(--(I$6:I95&lt;&gt;""), I$6:I95, (A$6:A95-A$5:A94)))/1000)/H$3, ""))</f>
        <v>#N/A</v>
      </c>
      <c r="M95" s="1">
        <f t="shared" si="16"/>
        <v>910</v>
      </c>
      <c r="N95" s="1">
        <f t="shared" si="17"/>
        <v>0</v>
      </c>
      <c r="U95" s="1" t="e">
        <f t="shared" si="18"/>
        <v>#N/A</v>
      </c>
      <c r="V95" s="1" t="e">
        <f t="shared" si="11"/>
        <v>#N/A</v>
      </c>
      <c r="W95" s="1" t="e">
        <f t="shared" si="19"/>
        <v>#N/A</v>
      </c>
      <c r="X95" s="8" t="e" cm="1">
        <f t="array" ref="X95">IF(U95="","", IFERROR(((IF(U$5&lt;&gt;"", U$5*M$5, 0) + SUMPRODUCT(--(U$6:U95&lt;&gt;""), U$6:U95, (M$6:M95-M$5:M94)))/1000)/T$3, ""))</f>
        <v>#N/A</v>
      </c>
    </row>
    <row r="96" spans="1:24" x14ac:dyDescent="0.25">
      <c r="A96" s="1">
        <f t="shared" si="12"/>
        <v>920</v>
      </c>
      <c r="B96" s="1">
        <f t="shared" si="13"/>
        <v>0</v>
      </c>
      <c r="I96" s="1" t="e">
        <f t="shared" si="14"/>
        <v>#N/A</v>
      </c>
      <c r="J96" s="1" t="e">
        <f t="shared" si="10"/>
        <v>#N/A</v>
      </c>
      <c r="K96" s="1" t="e">
        <f t="shared" si="15"/>
        <v>#N/A</v>
      </c>
      <c r="L96" s="8" t="e" cm="1">
        <f t="array" ref="L96">IF(I96="","", IFERROR(((IF(I$5&lt;&gt;"", I$5*A$5, 0) + SUMPRODUCT(--(I$6:I96&lt;&gt;""), I$6:I96, (A$6:A96-A$5:A95)))/1000)/H$3, ""))</f>
        <v>#N/A</v>
      </c>
      <c r="M96" s="1">
        <f t="shared" si="16"/>
        <v>920</v>
      </c>
      <c r="N96" s="1">
        <f t="shared" si="17"/>
        <v>0</v>
      </c>
      <c r="U96" s="1" t="e">
        <f t="shared" si="18"/>
        <v>#N/A</v>
      </c>
      <c r="V96" s="1" t="e">
        <f t="shared" si="11"/>
        <v>#N/A</v>
      </c>
      <c r="W96" s="1" t="e">
        <f t="shared" si="19"/>
        <v>#N/A</v>
      </c>
      <c r="X96" s="8" t="e" cm="1">
        <f t="array" ref="X96">IF(U96="","", IFERROR(((IF(U$5&lt;&gt;"", U$5*M$5, 0) + SUMPRODUCT(--(U$6:U96&lt;&gt;""), U$6:U96, (M$6:M96-M$5:M95)))/1000)/T$3, ""))</f>
        <v>#N/A</v>
      </c>
    </row>
    <row r="97" spans="1:24" x14ac:dyDescent="0.25">
      <c r="A97" s="1">
        <f t="shared" si="12"/>
        <v>930</v>
      </c>
      <c r="B97" s="1">
        <f t="shared" si="13"/>
        <v>0</v>
      </c>
      <c r="I97" s="1" t="e">
        <f t="shared" si="14"/>
        <v>#N/A</v>
      </c>
      <c r="J97" s="1" t="e">
        <f t="shared" si="10"/>
        <v>#N/A</v>
      </c>
      <c r="K97" s="1" t="e">
        <f t="shared" si="15"/>
        <v>#N/A</v>
      </c>
      <c r="L97" s="8" t="e" cm="1">
        <f t="array" ref="L97">IF(I97="","", IFERROR(((IF(I$5&lt;&gt;"", I$5*A$5, 0) + SUMPRODUCT(--(I$6:I97&lt;&gt;""), I$6:I97, (A$6:A97-A$5:A96)))/1000)/H$3, ""))</f>
        <v>#N/A</v>
      </c>
      <c r="M97" s="1">
        <f t="shared" si="16"/>
        <v>930</v>
      </c>
      <c r="N97" s="1">
        <f t="shared" si="17"/>
        <v>0</v>
      </c>
      <c r="U97" s="1" t="e">
        <f t="shared" si="18"/>
        <v>#N/A</v>
      </c>
      <c r="V97" s="1" t="e">
        <f t="shared" si="11"/>
        <v>#N/A</v>
      </c>
      <c r="W97" s="1" t="e">
        <f t="shared" si="19"/>
        <v>#N/A</v>
      </c>
      <c r="X97" s="8" t="e" cm="1">
        <f t="array" ref="X97">IF(U97="","", IFERROR(((IF(U$5&lt;&gt;"", U$5*M$5, 0) + SUMPRODUCT(--(U$6:U97&lt;&gt;""), U$6:U97, (M$6:M97-M$5:M96)))/1000)/T$3, ""))</f>
        <v>#N/A</v>
      </c>
    </row>
    <row r="98" spans="1:24" x14ac:dyDescent="0.25">
      <c r="A98" s="1">
        <f t="shared" si="12"/>
        <v>940</v>
      </c>
      <c r="B98" s="1">
        <f t="shared" si="13"/>
        <v>0</v>
      </c>
      <c r="I98" s="1" t="e">
        <f t="shared" si="14"/>
        <v>#N/A</v>
      </c>
      <c r="J98" s="1" t="e">
        <f t="shared" si="10"/>
        <v>#N/A</v>
      </c>
      <c r="K98" s="1" t="e">
        <f t="shared" si="15"/>
        <v>#N/A</v>
      </c>
      <c r="L98" s="8" t="e" cm="1">
        <f t="array" ref="L98">IF(I98="","", IFERROR(((IF(I$5&lt;&gt;"", I$5*A$5, 0) + SUMPRODUCT(--(I$6:I98&lt;&gt;""), I$6:I98, (A$6:A98-A$5:A97)))/1000)/H$3, ""))</f>
        <v>#N/A</v>
      </c>
      <c r="M98" s="1">
        <f t="shared" si="16"/>
        <v>940</v>
      </c>
      <c r="N98" s="1">
        <f t="shared" si="17"/>
        <v>0</v>
      </c>
      <c r="U98" s="1" t="e">
        <f t="shared" si="18"/>
        <v>#N/A</v>
      </c>
      <c r="V98" s="1" t="e">
        <f t="shared" si="11"/>
        <v>#N/A</v>
      </c>
      <c r="W98" s="1" t="e">
        <f t="shared" si="19"/>
        <v>#N/A</v>
      </c>
      <c r="X98" s="8" t="e" cm="1">
        <f t="array" ref="X98">IF(U98="","", IFERROR(((IF(U$5&lt;&gt;"", U$5*M$5, 0) + SUMPRODUCT(--(U$6:U98&lt;&gt;""), U$6:U98, (M$6:M98-M$5:M97)))/1000)/T$3, ""))</f>
        <v>#N/A</v>
      </c>
    </row>
    <row r="99" spans="1:24" x14ac:dyDescent="0.25">
      <c r="A99" s="1">
        <f t="shared" si="12"/>
        <v>950</v>
      </c>
      <c r="B99" s="1">
        <f t="shared" si="13"/>
        <v>0</v>
      </c>
      <c r="I99" s="1" t="e">
        <f t="shared" si="14"/>
        <v>#N/A</v>
      </c>
      <c r="J99" s="1" t="e">
        <f t="shared" si="10"/>
        <v>#N/A</v>
      </c>
      <c r="K99" s="1" t="e">
        <f t="shared" si="15"/>
        <v>#N/A</v>
      </c>
      <c r="L99" s="8" t="e" cm="1">
        <f t="array" ref="L99">IF(I99="","", IFERROR(((IF(I$5&lt;&gt;"", I$5*A$5, 0) + SUMPRODUCT(--(I$6:I99&lt;&gt;""), I$6:I99, (A$6:A99-A$5:A98)))/1000)/H$3, ""))</f>
        <v>#N/A</v>
      </c>
      <c r="M99" s="1">
        <f t="shared" si="16"/>
        <v>950</v>
      </c>
      <c r="N99" s="1">
        <f t="shared" si="17"/>
        <v>0</v>
      </c>
      <c r="U99" s="1" t="e">
        <f t="shared" si="18"/>
        <v>#N/A</v>
      </c>
      <c r="V99" s="1" t="e">
        <f t="shared" si="11"/>
        <v>#N/A</v>
      </c>
      <c r="W99" s="1" t="e">
        <f t="shared" si="19"/>
        <v>#N/A</v>
      </c>
      <c r="X99" s="8" t="e" cm="1">
        <f t="array" ref="X99">IF(U99="","", IFERROR(((IF(U$5&lt;&gt;"", U$5*M$5, 0) + SUMPRODUCT(--(U$6:U99&lt;&gt;""), U$6:U99, (M$6:M99-M$5:M98)))/1000)/T$3, ""))</f>
        <v>#N/A</v>
      </c>
    </row>
    <row r="100" spans="1:24" x14ac:dyDescent="0.25">
      <c r="A100" s="1">
        <f t="shared" si="12"/>
        <v>960</v>
      </c>
      <c r="B100" s="1">
        <f t="shared" si="13"/>
        <v>0</v>
      </c>
      <c r="I100" s="1" t="e">
        <f t="shared" si="14"/>
        <v>#N/A</v>
      </c>
      <c r="J100" s="1" t="e">
        <f t="shared" si="10"/>
        <v>#N/A</v>
      </c>
      <c r="K100" s="1" t="e">
        <f t="shared" si="15"/>
        <v>#N/A</v>
      </c>
      <c r="L100" s="8" t="e" cm="1">
        <f t="array" ref="L100">IF(I100="","", IFERROR(((IF(I$5&lt;&gt;"", I$5*A$5, 0) + SUMPRODUCT(--(I$6:I100&lt;&gt;""), I$6:I100, (A$6:A100-A$5:A99)))/1000)/H$3, ""))</f>
        <v>#N/A</v>
      </c>
      <c r="M100" s="1">
        <f t="shared" si="16"/>
        <v>960</v>
      </c>
      <c r="N100" s="1">
        <f t="shared" si="17"/>
        <v>0</v>
      </c>
      <c r="U100" s="1" t="e">
        <f t="shared" si="18"/>
        <v>#N/A</v>
      </c>
      <c r="V100" s="1" t="e">
        <f t="shared" si="11"/>
        <v>#N/A</v>
      </c>
      <c r="W100" s="1" t="e">
        <f t="shared" si="19"/>
        <v>#N/A</v>
      </c>
      <c r="X100" s="8" t="e" cm="1">
        <f t="array" ref="X100">IF(U100="","", IFERROR(((IF(U$5&lt;&gt;"", U$5*M$5, 0) + SUMPRODUCT(--(U$6:U100&lt;&gt;""), U$6:U100, (M$6:M100-M$5:M99)))/1000)/T$3, ""))</f>
        <v>#N/A</v>
      </c>
    </row>
    <row r="101" spans="1:24" x14ac:dyDescent="0.25">
      <c r="A101" s="1">
        <f t="shared" si="12"/>
        <v>970</v>
      </c>
      <c r="B101" s="1">
        <f t="shared" si="13"/>
        <v>0</v>
      </c>
      <c r="I101" s="1" t="e">
        <f t="shared" si="14"/>
        <v>#N/A</v>
      </c>
      <c r="J101" s="1" t="e">
        <f t="shared" si="10"/>
        <v>#N/A</v>
      </c>
      <c r="K101" s="1" t="e">
        <f t="shared" si="15"/>
        <v>#N/A</v>
      </c>
      <c r="L101" s="8" t="e" cm="1">
        <f t="array" ref="L101">IF(I101="","", IFERROR(((IF(I$5&lt;&gt;"", I$5*A$5, 0) + SUMPRODUCT(--(I$6:I101&lt;&gt;""), I$6:I101, (A$6:A101-A$5:A100)))/1000)/H$3, ""))</f>
        <v>#N/A</v>
      </c>
      <c r="M101" s="1">
        <f t="shared" si="16"/>
        <v>970</v>
      </c>
      <c r="N101" s="1">
        <f t="shared" si="17"/>
        <v>0</v>
      </c>
      <c r="U101" s="1" t="e">
        <f t="shared" si="18"/>
        <v>#N/A</v>
      </c>
      <c r="V101" s="1" t="e">
        <f t="shared" si="11"/>
        <v>#N/A</v>
      </c>
      <c r="W101" s="1" t="e">
        <f t="shared" si="19"/>
        <v>#N/A</v>
      </c>
      <c r="X101" s="8" t="e" cm="1">
        <f t="array" ref="X101">IF(U101="","", IFERROR(((IF(U$5&lt;&gt;"", U$5*M$5, 0) + SUMPRODUCT(--(U$6:U101&lt;&gt;""), U$6:U101, (M$6:M101-M$5:M100)))/1000)/T$3, ""))</f>
        <v>#N/A</v>
      </c>
    </row>
    <row r="102" spans="1:24" x14ac:dyDescent="0.25">
      <c r="A102" s="1">
        <f t="shared" si="12"/>
        <v>980</v>
      </c>
      <c r="B102" s="1">
        <f t="shared" si="13"/>
        <v>0</v>
      </c>
      <c r="I102" s="1" t="e">
        <f t="shared" si="14"/>
        <v>#N/A</v>
      </c>
      <c r="J102" s="1" t="e">
        <f t="shared" si="10"/>
        <v>#N/A</v>
      </c>
      <c r="K102" s="1" t="e">
        <f t="shared" si="15"/>
        <v>#N/A</v>
      </c>
      <c r="L102" s="8" t="e" cm="1">
        <f t="array" ref="L102">IF(I102="","", IFERROR(((IF(I$5&lt;&gt;"", I$5*A$5, 0) + SUMPRODUCT(--(I$6:I102&lt;&gt;""), I$6:I102, (A$6:A102-A$5:A101)))/1000)/H$3, ""))</f>
        <v>#N/A</v>
      </c>
      <c r="M102" s="1">
        <f t="shared" si="16"/>
        <v>980</v>
      </c>
      <c r="N102" s="1">
        <f t="shared" si="17"/>
        <v>0</v>
      </c>
      <c r="U102" s="1" t="e">
        <f t="shared" si="18"/>
        <v>#N/A</v>
      </c>
      <c r="V102" s="1" t="e">
        <f t="shared" si="11"/>
        <v>#N/A</v>
      </c>
      <c r="W102" s="1" t="e">
        <f t="shared" si="19"/>
        <v>#N/A</v>
      </c>
      <c r="X102" s="8" t="e" cm="1">
        <f t="array" ref="X102">IF(U102="","", IFERROR(((IF(U$5&lt;&gt;"", U$5*M$5, 0) + SUMPRODUCT(--(U$6:U102&lt;&gt;""), U$6:U102, (M$6:M102-M$5:M101)))/1000)/T$3, ""))</f>
        <v>#N/A</v>
      </c>
    </row>
    <row r="103" spans="1:24" x14ac:dyDescent="0.25">
      <c r="A103" s="1">
        <f t="shared" si="12"/>
        <v>990</v>
      </c>
      <c r="B103" s="1">
        <f t="shared" si="13"/>
        <v>0</v>
      </c>
      <c r="I103" s="1" t="e">
        <f t="shared" si="14"/>
        <v>#N/A</v>
      </c>
      <c r="J103" s="1" t="e">
        <f t="shared" si="10"/>
        <v>#N/A</v>
      </c>
      <c r="K103" s="1" t="e">
        <f t="shared" si="15"/>
        <v>#N/A</v>
      </c>
      <c r="L103" s="8" t="e" cm="1">
        <f t="array" ref="L103">IF(I103="","", IFERROR(((IF(I$5&lt;&gt;"", I$5*A$5, 0) + SUMPRODUCT(--(I$6:I103&lt;&gt;""), I$6:I103, (A$6:A103-A$5:A102)))/1000)/H$3, ""))</f>
        <v>#N/A</v>
      </c>
      <c r="M103" s="1">
        <f t="shared" si="16"/>
        <v>990</v>
      </c>
      <c r="N103" s="1">
        <f t="shared" si="17"/>
        <v>0</v>
      </c>
      <c r="U103" s="1" t="e">
        <f t="shared" si="18"/>
        <v>#N/A</v>
      </c>
      <c r="V103" s="1" t="e">
        <f t="shared" si="11"/>
        <v>#N/A</v>
      </c>
      <c r="W103" s="1" t="e">
        <f t="shared" si="19"/>
        <v>#N/A</v>
      </c>
      <c r="X103" s="8" t="e" cm="1">
        <f t="array" ref="X103">IF(U103="","", IFERROR(((IF(U$5&lt;&gt;"", U$5*M$5, 0) + SUMPRODUCT(--(U$6:U103&lt;&gt;""), U$6:U103, (M$6:M103-M$5:M102)))/1000)/T$3, ""))</f>
        <v>#N/A</v>
      </c>
    </row>
    <row r="104" spans="1:24" x14ac:dyDescent="0.25">
      <c r="A104" s="1">
        <f t="shared" si="12"/>
        <v>1000</v>
      </c>
      <c r="B104" s="1">
        <f t="shared" si="13"/>
        <v>0</v>
      </c>
      <c r="I104" s="1" t="e">
        <f t="shared" si="14"/>
        <v>#N/A</v>
      </c>
      <c r="J104" s="1" t="e">
        <f t="shared" si="10"/>
        <v>#N/A</v>
      </c>
      <c r="K104" s="1" t="e">
        <f t="shared" si="15"/>
        <v>#N/A</v>
      </c>
      <c r="L104" s="8" t="e" cm="1">
        <f t="array" ref="L104">IF(I104="","", IFERROR(((IF(I$5&lt;&gt;"", I$5*A$5, 0) + SUMPRODUCT(--(I$6:I104&lt;&gt;""), I$6:I104, (A$6:A104-A$5:A103)))/1000)/H$3, ""))</f>
        <v>#N/A</v>
      </c>
      <c r="M104" s="1">
        <f t="shared" si="16"/>
        <v>1000</v>
      </c>
      <c r="N104" s="1">
        <f t="shared" si="17"/>
        <v>0</v>
      </c>
      <c r="U104" s="1" t="e">
        <f t="shared" si="18"/>
        <v>#N/A</v>
      </c>
      <c r="V104" s="1" t="e">
        <f t="shared" si="11"/>
        <v>#N/A</v>
      </c>
      <c r="W104" s="1" t="e">
        <f t="shared" si="19"/>
        <v>#N/A</v>
      </c>
      <c r="X104" s="8" t="e" cm="1">
        <f t="array" ref="X104">IF(U104="","", IFERROR(((IF(U$5&lt;&gt;"", U$5*M$5, 0) + SUMPRODUCT(--(U$6:U104&lt;&gt;""), U$6:U104, (M$6:M104-M$5:M103)))/1000)/T$3, ""))</f>
        <v>#N/A</v>
      </c>
    </row>
    <row r="105" spans="1:24" x14ac:dyDescent="0.25">
      <c r="A105" s="1">
        <f t="shared" si="12"/>
        <v>1010</v>
      </c>
      <c r="B105" s="1">
        <f t="shared" si="13"/>
        <v>0</v>
      </c>
      <c r="I105" s="1" t="e">
        <f t="shared" si="14"/>
        <v>#N/A</v>
      </c>
      <c r="J105" s="1" t="e">
        <f t="shared" si="10"/>
        <v>#N/A</v>
      </c>
      <c r="K105" s="1" t="e">
        <f t="shared" si="15"/>
        <v>#N/A</v>
      </c>
      <c r="L105" s="8" t="e" cm="1">
        <f t="array" ref="L105">IF(I105="","", IFERROR(((IF(I$5&lt;&gt;"", I$5*A$5, 0) + SUMPRODUCT(--(I$6:I105&lt;&gt;""), I$6:I105, (A$6:A105-A$5:A104)))/1000)/H$3, ""))</f>
        <v>#N/A</v>
      </c>
      <c r="M105" s="1">
        <f t="shared" si="16"/>
        <v>1010</v>
      </c>
      <c r="N105" s="1">
        <f t="shared" si="17"/>
        <v>0</v>
      </c>
      <c r="U105" s="1" t="e">
        <f t="shared" si="18"/>
        <v>#N/A</v>
      </c>
      <c r="V105" s="1" t="e">
        <f t="shared" si="11"/>
        <v>#N/A</v>
      </c>
      <c r="W105" s="1" t="e">
        <f t="shared" si="19"/>
        <v>#N/A</v>
      </c>
      <c r="X105" s="8" t="e" cm="1">
        <f t="array" ref="X105">IF(U105="","", IFERROR(((IF(U$5&lt;&gt;"", U$5*M$5, 0) + SUMPRODUCT(--(U$6:U105&lt;&gt;""), U$6:U105, (M$6:M105-M$5:M104)))/1000)/T$3, ""))</f>
        <v>#N/A</v>
      </c>
    </row>
    <row r="106" spans="1:24" x14ac:dyDescent="0.25">
      <c r="A106" s="1">
        <f t="shared" si="12"/>
        <v>1020</v>
      </c>
      <c r="B106" s="1">
        <f t="shared" si="13"/>
        <v>0</v>
      </c>
      <c r="I106" s="1" t="e">
        <f t="shared" si="14"/>
        <v>#N/A</v>
      </c>
      <c r="J106" s="1" t="e">
        <f t="shared" si="10"/>
        <v>#N/A</v>
      </c>
      <c r="K106" s="1" t="e">
        <f t="shared" si="15"/>
        <v>#N/A</v>
      </c>
      <c r="L106" s="8" t="e" cm="1">
        <f t="array" ref="L106">IF(I106="","", IFERROR(((IF(I$5&lt;&gt;"", I$5*A$5, 0) + SUMPRODUCT(--(I$6:I106&lt;&gt;""), I$6:I106, (A$6:A106-A$5:A105)))/1000)/H$3, ""))</f>
        <v>#N/A</v>
      </c>
      <c r="M106" s="1">
        <f t="shared" si="16"/>
        <v>1020</v>
      </c>
      <c r="N106" s="1">
        <f t="shared" si="17"/>
        <v>0</v>
      </c>
      <c r="U106" s="1" t="e">
        <f t="shared" si="18"/>
        <v>#N/A</v>
      </c>
      <c r="V106" s="1" t="e">
        <f t="shared" si="11"/>
        <v>#N/A</v>
      </c>
      <c r="W106" s="1" t="e">
        <f t="shared" si="19"/>
        <v>#N/A</v>
      </c>
      <c r="X106" s="8" t="e" cm="1">
        <f t="array" ref="X106">IF(U106="","", IFERROR(((IF(U$5&lt;&gt;"", U$5*M$5, 0) + SUMPRODUCT(--(U$6:U106&lt;&gt;""), U$6:U106, (M$6:M106-M$5:M105)))/1000)/T$3, ""))</f>
        <v>#N/A</v>
      </c>
    </row>
    <row r="107" spans="1:24" x14ac:dyDescent="0.25">
      <c r="A107" s="1">
        <f t="shared" si="12"/>
        <v>1030</v>
      </c>
      <c r="B107" s="1">
        <f t="shared" si="13"/>
        <v>0</v>
      </c>
      <c r="I107" s="1" t="e">
        <f t="shared" si="14"/>
        <v>#N/A</v>
      </c>
      <c r="J107" s="1" t="e">
        <f t="shared" si="10"/>
        <v>#N/A</v>
      </c>
      <c r="K107" s="1" t="e">
        <f t="shared" si="15"/>
        <v>#N/A</v>
      </c>
      <c r="L107" s="8" t="e" cm="1">
        <f t="array" ref="L107">IF(I107="","", IFERROR(((IF(I$5&lt;&gt;"", I$5*A$5, 0) + SUMPRODUCT(--(I$6:I107&lt;&gt;""), I$6:I107, (A$6:A107-A$5:A106)))/1000)/H$3, ""))</f>
        <v>#N/A</v>
      </c>
      <c r="M107" s="1">
        <f t="shared" si="16"/>
        <v>1030</v>
      </c>
      <c r="N107" s="1">
        <f t="shared" si="17"/>
        <v>0</v>
      </c>
      <c r="U107" s="1" t="e">
        <f t="shared" si="18"/>
        <v>#N/A</v>
      </c>
      <c r="V107" s="1" t="e">
        <f t="shared" si="11"/>
        <v>#N/A</v>
      </c>
      <c r="W107" s="1" t="e">
        <f t="shared" si="19"/>
        <v>#N/A</v>
      </c>
      <c r="X107" s="8" t="e" cm="1">
        <f t="array" ref="X107">IF(U107="","", IFERROR(((IF(U$5&lt;&gt;"", U$5*M$5, 0) + SUMPRODUCT(--(U$6:U107&lt;&gt;""), U$6:U107, (M$6:M107-M$5:M106)))/1000)/T$3, ""))</f>
        <v>#N/A</v>
      </c>
    </row>
    <row r="108" spans="1:24" x14ac:dyDescent="0.25">
      <c r="A108" s="1">
        <f t="shared" si="12"/>
        <v>1040</v>
      </c>
      <c r="B108" s="1">
        <f t="shared" si="13"/>
        <v>0</v>
      </c>
      <c r="I108" s="1" t="e">
        <f t="shared" si="14"/>
        <v>#N/A</v>
      </c>
      <c r="J108" s="1" t="e">
        <f t="shared" si="10"/>
        <v>#N/A</v>
      </c>
      <c r="K108" s="1" t="e">
        <f t="shared" si="15"/>
        <v>#N/A</v>
      </c>
      <c r="L108" s="8" t="e" cm="1">
        <f t="array" ref="L108">IF(I108="","", IFERROR(((IF(I$5&lt;&gt;"", I$5*A$5, 0) + SUMPRODUCT(--(I$6:I108&lt;&gt;""), I$6:I108, (A$6:A108-A$5:A107)))/1000)/H$3, ""))</f>
        <v>#N/A</v>
      </c>
      <c r="M108" s="1">
        <f t="shared" si="16"/>
        <v>1040</v>
      </c>
      <c r="N108" s="1">
        <f t="shared" si="17"/>
        <v>0</v>
      </c>
      <c r="U108" s="1" t="e">
        <f t="shared" si="18"/>
        <v>#N/A</v>
      </c>
      <c r="V108" s="1" t="e">
        <f t="shared" si="11"/>
        <v>#N/A</v>
      </c>
      <c r="W108" s="1" t="e">
        <f t="shared" si="19"/>
        <v>#N/A</v>
      </c>
      <c r="X108" s="8" t="e" cm="1">
        <f t="array" ref="X108">IF(U108="","", IFERROR(((IF(U$5&lt;&gt;"", U$5*M$5, 0) + SUMPRODUCT(--(U$6:U108&lt;&gt;""), U$6:U108, (M$6:M108-M$5:M107)))/1000)/T$3, ""))</f>
        <v>#N/A</v>
      </c>
    </row>
    <row r="109" spans="1:24" x14ac:dyDescent="0.25">
      <c r="A109" s="1">
        <f t="shared" si="12"/>
        <v>1050</v>
      </c>
      <c r="B109" s="1">
        <f t="shared" si="13"/>
        <v>0</v>
      </c>
      <c r="I109" s="1" t="e">
        <f t="shared" si="14"/>
        <v>#N/A</v>
      </c>
      <c r="J109" s="1" t="e">
        <f t="shared" si="10"/>
        <v>#N/A</v>
      </c>
      <c r="K109" s="1" t="e">
        <f t="shared" si="15"/>
        <v>#N/A</v>
      </c>
      <c r="L109" s="8" t="e" cm="1">
        <f t="array" ref="L109">IF(I109="","", IFERROR(((IF(I$5&lt;&gt;"", I$5*A$5, 0) + SUMPRODUCT(--(I$6:I109&lt;&gt;""), I$6:I109, (A$6:A109-A$5:A108)))/1000)/H$3, ""))</f>
        <v>#N/A</v>
      </c>
      <c r="M109" s="1">
        <f t="shared" si="16"/>
        <v>1050</v>
      </c>
      <c r="N109" s="1">
        <f t="shared" si="17"/>
        <v>0</v>
      </c>
      <c r="U109" s="1" t="e">
        <f t="shared" si="18"/>
        <v>#N/A</v>
      </c>
      <c r="V109" s="1" t="e">
        <f t="shared" si="11"/>
        <v>#N/A</v>
      </c>
      <c r="W109" s="1" t="e">
        <f t="shared" si="19"/>
        <v>#N/A</v>
      </c>
      <c r="X109" s="8" t="e" cm="1">
        <f t="array" ref="X109">IF(U109="","", IFERROR(((IF(U$5&lt;&gt;"", U$5*M$5, 0) + SUMPRODUCT(--(U$6:U109&lt;&gt;""), U$6:U109, (M$6:M109-M$5:M108)))/1000)/T$3, ""))</f>
        <v>#N/A</v>
      </c>
    </row>
    <row r="110" spans="1:24" x14ac:dyDescent="0.25">
      <c r="A110" s="1">
        <f t="shared" si="12"/>
        <v>1060</v>
      </c>
      <c r="B110" s="1">
        <f t="shared" si="13"/>
        <v>0</v>
      </c>
      <c r="I110" s="1" t="e">
        <f t="shared" si="14"/>
        <v>#N/A</v>
      </c>
      <c r="J110" s="1" t="e">
        <f t="shared" si="10"/>
        <v>#N/A</v>
      </c>
      <c r="K110" s="1" t="e">
        <f t="shared" si="15"/>
        <v>#N/A</v>
      </c>
      <c r="L110" s="8" t="e" cm="1">
        <f t="array" ref="L110">IF(I110="","", IFERROR(((IF(I$5&lt;&gt;"", I$5*A$5, 0) + SUMPRODUCT(--(I$6:I110&lt;&gt;""), I$6:I110, (A$6:A110-A$5:A109)))/1000)/H$3, ""))</f>
        <v>#N/A</v>
      </c>
      <c r="M110" s="1">
        <f t="shared" si="16"/>
        <v>1060</v>
      </c>
      <c r="N110" s="1">
        <f t="shared" si="17"/>
        <v>0</v>
      </c>
      <c r="U110" s="1" t="e">
        <f t="shared" si="18"/>
        <v>#N/A</v>
      </c>
      <c r="V110" s="1" t="e">
        <f t="shared" si="11"/>
        <v>#N/A</v>
      </c>
      <c r="W110" s="1" t="e">
        <f t="shared" si="19"/>
        <v>#N/A</v>
      </c>
      <c r="X110" s="8" t="e" cm="1">
        <f t="array" ref="X110">IF(U110="","", IFERROR(((IF(U$5&lt;&gt;"", U$5*M$5, 0) + SUMPRODUCT(--(U$6:U110&lt;&gt;""), U$6:U110, (M$6:M110-M$5:M109)))/1000)/T$3, ""))</f>
        <v>#N/A</v>
      </c>
    </row>
    <row r="111" spans="1:24" x14ac:dyDescent="0.25">
      <c r="A111" s="1">
        <f t="shared" si="12"/>
        <v>1070</v>
      </c>
      <c r="B111" s="1">
        <f t="shared" si="13"/>
        <v>0</v>
      </c>
      <c r="I111" s="1" t="e">
        <f t="shared" si="14"/>
        <v>#N/A</v>
      </c>
      <c r="J111" s="1" t="e">
        <f t="shared" si="10"/>
        <v>#N/A</v>
      </c>
      <c r="K111" s="1" t="e">
        <f t="shared" si="15"/>
        <v>#N/A</v>
      </c>
      <c r="L111" s="8" t="e" cm="1">
        <f t="array" ref="L111">IF(I111="","", IFERROR(((IF(I$5&lt;&gt;"", I$5*A$5, 0) + SUMPRODUCT(--(I$6:I111&lt;&gt;""), I$6:I111, (A$6:A111-A$5:A110)))/1000)/H$3, ""))</f>
        <v>#N/A</v>
      </c>
      <c r="M111" s="1">
        <f t="shared" si="16"/>
        <v>1070</v>
      </c>
      <c r="N111" s="1">
        <f t="shared" si="17"/>
        <v>0</v>
      </c>
      <c r="U111" s="1" t="e">
        <f t="shared" si="18"/>
        <v>#N/A</v>
      </c>
      <c r="V111" s="1" t="e">
        <f t="shared" si="11"/>
        <v>#N/A</v>
      </c>
      <c r="W111" s="1" t="e">
        <f t="shared" si="19"/>
        <v>#N/A</v>
      </c>
      <c r="X111" s="8" t="e" cm="1">
        <f t="array" ref="X111">IF(U111="","", IFERROR(((IF(U$5&lt;&gt;"", U$5*M$5, 0) + SUMPRODUCT(--(U$6:U111&lt;&gt;""), U$6:U111, (M$6:M111-M$5:M110)))/1000)/T$3, ""))</f>
        <v>#N/A</v>
      </c>
    </row>
    <row r="112" spans="1:24" x14ac:dyDescent="0.25">
      <c r="A112" s="1">
        <f t="shared" si="12"/>
        <v>1080</v>
      </c>
      <c r="B112" s="1">
        <f t="shared" si="13"/>
        <v>0</v>
      </c>
      <c r="I112" s="1" t="e">
        <f t="shared" si="14"/>
        <v>#N/A</v>
      </c>
      <c r="J112" s="1" t="e">
        <f t="shared" si="10"/>
        <v>#N/A</v>
      </c>
      <c r="K112" s="1" t="e">
        <f t="shared" si="15"/>
        <v>#N/A</v>
      </c>
      <c r="L112" s="8" t="e" cm="1">
        <f t="array" ref="L112">IF(I112="","", IFERROR(((IF(I$5&lt;&gt;"", I$5*A$5, 0) + SUMPRODUCT(--(I$6:I112&lt;&gt;""), I$6:I112, (A$6:A112-A$5:A111)))/1000)/H$3, ""))</f>
        <v>#N/A</v>
      </c>
      <c r="M112" s="1">
        <f t="shared" si="16"/>
        <v>1080</v>
      </c>
      <c r="N112" s="1">
        <f t="shared" si="17"/>
        <v>0</v>
      </c>
      <c r="U112" s="1" t="e">
        <f t="shared" si="18"/>
        <v>#N/A</v>
      </c>
      <c r="V112" s="1" t="e">
        <f t="shared" si="11"/>
        <v>#N/A</v>
      </c>
      <c r="W112" s="1" t="e">
        <f t="shared" si="19"/>
        <v>#N/A</v>
      </c>
      <c r="X112" s="8" t="e" cm="1">
        <f t="array" ref="X112">IF(U112="","", IFERROR(((IF(U$5&lt;&gt;"", U$5*M$5, 0) + SUMPRODUCT(--(U$6:U112&lt;&gt;""), U$6:U112, (M$6:M112-M$5:M111)))/1000)/T$3, ""))</f>
        <v>#N/A</v>
      </c>
    </row>
    <row r="113" spans="1:24" x14ac:dyDescent="0.25">
      <c r="A113" s="1">
        <f t="shared" si="12"/>
        <v>1090</v>
      </c>
      <c r="B113" s="1">
        <f t="shared" si="13"/>
        <v>0</v>
      </c>
      <c r="I113" s="1" t="e">
        <f t="shared" si="14"/>
        <v>#N/A</v>
      </c>
      <c r="J113" s="1" t="e">
        <f t="shared" si="10"/>
        <v>#N/A</v>
      </c>
      <c r="K113" s="1" t="e">
        <f t="shared" si="15"/>
        <v>#N/A</v>
      </c>
      <c r="L113" s="8" t="e" cm="1">
        <f t="array" ref="L113">IF(I113="","", IFERROR(((IF(I$5&lt;&gt;"", I$5*A$5, 0) + SUMPRODUCT(--(I$6:I113&lt;&gt;""), I$6:I113, (A$6:A113-A$5:A112)))/1000)/H$3, ""))</f>
        <v>#N/A</v>
      </c>
      <c r="M113" s="1">
        <f t="shared" si="16"/>
        <v>1090</v>
      </c>
      <c r="N113" s="1">
        <f t="shared" si="17"/>
        <v>0</v>
      </c>
      <c r="U113" s="1" t="e">
        <f t="shared" si="18"/>
        <v>#N/A</v>
      </c>
      <c r="V113" s="1" t="e">
        <f t="shared" si="11"/>
        <v>#N/A</v>
      </c>
      <c r="W113" s="1" t="e">
        <f t="shared" si="19"/>
        <v>#N/A</v>
      </c>
      <c r="X113" s="8" t="e" cm="1">
        <f t="array" ref="X113">IF(U113="","", IFERROR(((IF(U$5&lt;&gt;"", U$5*M$5, 0) + SUMPRODUCT(--(U$6:U113&lt;&gt;""), U$6:U113, (M$6:M113-M$5:M112)))/1000)/T$3, ""))</f>
        <v>#N/A</v>
      </c>
    </row>
    <row r="114" spans="1:24" x14ac:dyDescent="0.25">
      <c r="A114" s="1">
        <f t="shared" si="12"/>
        <v>1100</v>
      </c>
      <c r="B114" s="1">
        <f t="shared" si="13"/>
        <v>0</v>
      </c>
      <c r="I114" s="1" t="e">
        <f t="shared" si="14"/>
        <v>#N/A</v>
      </c>
      <c r="J114" s="1" t="e">
        <f t="shared" si="10"/>
        <v>#N/A</v>
      </c>
      <c r="K114" s="1" t="e">
        <f t="shared" si="15"/>
        <v>#N/A</v>
      </c>
      <c r="L114" s="8" t="e" cm="1">
        <f t="array" ref="L114">IF(I114="","", IFERROR(((IF(I$5&lt;&gt;"", I$5*A$5, 0) + SUMPRODUCT(--(I$6:I114&lt;&gt;""), I$6:I114, (A$6:A114-A$5:A113)))/1000)/H$3, ""))</f>
        <v>#N/A</v>
      </c>
      <c r="M114" s="1">
        <f t="shared" si="16"/>
        <v>1100</v>
      </c>
      <c r="N114" s="1">
        <f t="shared" si="17"/>
        <v>0</v>
      </c>
      <c r="U114" s="1" t="e">
        <f t="shared" si="18"/>
        <v>#N/A</v>
      </c>
      <c r="V114" s="1" t="e">
        <f t="shared" si="11"/>
        <v>#N/A</v>
      </c>
      <c r="W114" s="1" t="e">
        <f t="shared" si="19"/>
        <v>#N/A</v>
      </c>
      <c r="X114" s="8" t="e" cm="1">
        <f t="array" ref="X114">IF(U114="","", IFERROR(((IF(U$5&lt;&gt;"", U$5*M$5, 0) + SUMPRODUCT(--(U$6:U114&lt;&gt;""), U$6:U114, (M$6:M114-M$5:M113)))/1000)/T$3, ""))</f>
        <v>#N/A</v>
      </c>
    </row>
    <row r="115" spans="1:24" x14ac:dyDescent="0.25">
      <c r="A115" s="1">
        <f t="shared" si="12"/>
        <v>1110</v>
      </c>
      <c r="B115" s="1">
        <f t="shared" si="13"/>
        <v>0</v>
      </c>
      <c r="I115" s="1" t="e">
        <f t="shared" si="14"/>
        <v>#N/A</v>
      </c>
      <c r="J115" s="1" t="e">
        <f t="shared" si="10"/>
        <v>#N/A</v>
      </c>
      <c r="K115" s="1" t="e">
        <f t="shared" si="15"/>
        <v>#N/A</v>
      </c>
      <c r="L115" s="8" t="e" cm="1">
        <f t="array" ref="L115">IF(I115="","", IFERROR(((IF(I$5&lt;&gt;"", I$5*A$5, 0) + SUMPRODUCT(--(I$6:I115&lt;&gt;""), I$6:I115, (A$6:A115-A$5:A114)))/1000)/H$3, ""))</f>
        <v>#N/A</v>
      </c>
      <c r="M115" s="1">
        <f t="shared" si="16"/>
        <v>1110</v>
      </c>
      <c r="N115" s="1">
        <f t="shared" si="17"/>
        <v>0</v>
      </c>
      <c r="U115" s="1" t="e">
        <f t="shared" si="18"/>
        <v>#N/A</v>
      </c>
      <c r="V115" s="1" t="e">
        <f t="shared" si="11"/>
        <v>#N/A</v>
      </c>
      <c r="W115" s="1" t="e">
        <f t="shared" si="19"/>
        <v>#N/A</v>
      </c>
      <c r="X115" s="8" t="e" cm="1">
        <f t="array" ref="X115">IF(U115="","", IFERROR(((IF(U$5&lt;&gt;"", U$5*M$5, 0) + SUMPRODUCT(--(U$6:U115&lt;&gt;""), U$6:U115, (M$6:M115-M$5:M114)))/1000)/T$3, ""))</f>
        <v>#N/A</v>
      </c>
    </row>
  </sheetData>
  <conditionalFormatting sqref="I5:L115">
    <cfRule type="containsErrors" dxfId="74" priority="1">
      <formula>ISERROR(I5)</formula>
    </cfRule>
  </conditionalFormatting>
  <conditionalFormatting sqref="K6:K115">
    <cfRule type="cellIs" dxfId="73" priority="12" operator="between">
      <formula>0</formula>
      <formula>15</formula>
    </cfRule>
    <cfRule type="cellIs" dxfId="72" priority="13" operator="between">
      <formula>15</formula>
      <formula>25</formula>
    </cfRule>
    <cfRule type="cellIs" dxfId="71" priority="14" operator="between">
      <formula>25</formula>
      <formula>1000</formula>
    </cfRule>
  </conditionalFormatting>
  <conditionalFormatting sqref="L2:L3 X2:X3">
    <cfRule type="containsErrors" dxfId="70" priority="5">
      <formula>ISERROR(L2)</formula>
    </cfRule>
  </conditionalFormatting>
  <conditionalFormatting sqref="U5:X115">
    <cfRule type="containsErrors" dxfId="69" priority="3">
      <formula>ISERROR(U5)</formula>
    </cfRule>
  </conditionalFormatting>
  <conditionalFormatting sqref="W6:W115">
    <cfRule type="cellIs" dxfId="68" priority="9" operator="between">
      <formula>0</formula>
      <formula>15</formula>
    </cfRule>
    <cfRule type="cellIs" dxfId="67" priority="10" operator="between">
      <formula>15</formula>
      <formula>25</formula>
    </cfRule>
    <cfRule type="cellIs" dxfId="66" priority="11" operator="between">
      <formula>25</formula>
      <formula>1000</formula>
    </cfRule>
  </conditionalFormatting>
  <pageMargins left="0.7" right="0.7" top="0.75" bottom="0.75" header="0.3" footer="0.3"/>
  <ignoredErrors>
    <ignoredError sqref="V5:W115 J5:K115 X2:X3 L2:L3" evalError="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7E2E-C4E7-4DE2-A5D5-2C393361AB30}">
  <dimension ref="A1:CR115"/>
  <sheetViews>
    <sheetView zoomScale="40" zoomScaleNormal="40" workbookViewId="0">
      <selection sqref="A1:XFD3"/>
    </sheetView>
  </sheetViews>
  <sheetFormatPr defaultRowHeight="15" x14ac:dyDescent="0.25"/>
  <cols>
    <col min="1" max="1" width="16.710937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7.8554687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25" width="16" style="1" customWidth="1"/>
    <col min="26" max="26" width="12.5703125" style="1" customWidth="1"/>
    <col min="27" max="27" width="11.28515625" style="1" customWidth="1"/>
    <col min="28" max="28" width="14.28515625" style="1" customWidth="1"/>
    <col min="29" max="29" width="23" style="1" bestFit="1" customWidth="1"/>
    <col min="30" max="30" width="12.85546875" style="1" bestFit="1" customWidth="1"/>
    <col min="31" max="31" width="13" style="1" customWidth="1"/>
    <col min="32" max="32" width="39.7109375" style="1" customWidth="1"/>
    <col min="33" max="33" width="14.85546875" style="1" bestFit="1" customWidth="1"/>
    <col min="34" max="34" width="18" style="1" customWidth="1"/>
    <col min="35" max="35" width="12.140625" style="1" customWidth="1"/>
    <col min="36" max="36" width="14.140625" style="7" customWidth="1"/>
    <col min="37" max="37" width="15.7109375" style="1" customWidth="1"/>
    <col min="38" max="38" width="12.5703125" style="1" customWidth="1"/>
    <col min="39" max="39" width="10.85546875" style="1" customWidth="1"/>
    <col min="40" max="40" width="14.28515625" style="1" customWidth="1"/>
    <col min="41" max="41" width="23" style="1" bestFit="1" customWidth="1"/>
    <col min="42" max="42" width="12.85546875" style="1" bestFit="1" customWidth="1"/>
    <col min="43" max="43" width="13" style="1" customWidth="1"/>
    <col min="44" max="44" width="39.7109375" style="1" customWidth="1"/>
    <col min="45" max="45" width="14.85546875" style="1" bestFit="1" customWidth="1"/>
    <col min="46" max="46" width="18" style="1" customWidth="1"/>
    <col min="47" max="47" width="12.140625" style="1" customWidth="1"/>
    <col min="48" max="48" width="14.140625" style="7" customWidth="1"/>
    <col min="49" max="49" width="15.7109375" style="1" customWidth="1"/>
    <col min="50" max="50" width="12.5703125" style="1" customWidth="1"/>
    <col min="51" max="51" width="11.28515625" style="1" customWidth="1"/>
    <col min="52" max="52" width="14.28515625" style="1" customWidth="1"/>
    <col min="53" max="53" width="23" style="1" bestFit="1" customWidth="1"/>
    <col min="54" max="54" width="12.85546875" style="1" bestFit="1" customWidth="1"/>
    <col min="55" max="55" width="13" style="1" customWidth="1"/>
    <col min="56" max="56" width="39.7109375" style="1" customWidth="1"/>
    <col min="57" max="57" width="14.85546875" style="1" bestFit="1" customWidth="1"/>
    <col min="58" max="58" width="18" style="1" customWidth="1"/>
    <col min="59" max="59" width="12.140625" style="1" customWidth="1"/>
    <col min="60" max="60" width="14.140625" style="7" customWidth="1"/>
    <col min="61" max="61" width="16.7109375" style="1" customWidth="1"/>
    <col min="62" max="62" width="12.5703125" style="1" customWidth="1"/>
    <col min="63" max="63" width="10.85546875" style="1" customWidth="1"/>
    <col min="64" max="64" width="14.28515625" style="1" customWidth="1"/>
    <col min="65" max="65" width="23" style="1" bestFit="1" customWidth="1"/>
    <col min="66" max="66" width="12.85546875" style="1" bestFit="1" customWidth="1"/>
    <col min="67" max="67" width="13" style="1" customWidth="1"/>
    <col min="68" max="68" width="39.7109375" style="1" customWidth="1"/>
    <col min="69" max="69" width="14.85546875" style="1" bestFit="1" customWidth="1"/>
    <col min="70" max="70" width="18" style="1" customWidth="1"/>
    <col min="71" max="71" width="12.140625" style="1" customWidth="1"/>
    <col min="72" max="72" width="14.140625" style="7" customWidth="1"/>
    <col min="73" max="73" width="15" style="1" customWidth="1"/>
    <col min="74" max="74" width="12.5703125" style="1" customWidth="1"/>
    <col min="75" max="75" width="11.28515625" style="1" customWidth="1"/>
    <col min="76" max="76" width="14.28515625" style="1" customWidth="1"/>
    <col min="77" max="77" width="23" style="1" bestFit="1" customWidth="1"/>
    <col min="78" max="78" width="12.85546875" style="1" bestFit="1" customWidth="1"/>
    <col min="79" max="79" width="13" style="1" customWidth="1"/>
    <col min="80" max="80" width="39.7109375" style="1" customWidth="1"/>
    <col min="81" max="81" width="14.85546875" style="1" bestFit="1" customWidth="1"/>
    <col min="82" max="82" width="18" style="1" customWidth="1"/>
    <col min="83" max="83" width="12.140625" style="1" customWidth="1"/>
    <col min="84" max="84" width="14.140625" style="7" customWidth="1"/>
    <col min="85" max="85" width="18.140625" style="1" customWidth="1"/>
    <col min="86" max="86" width="12.5703125" style="1" customWidth="1"/>
    <col min="87" max="87" width="10.85546875" style="1" customWidth="1"/>
    <col min="88" max="88" width="14.28515625" style="1" customWidth="1"/>
    <col min="89" max="89" width="23" style="1" bestFit="1" customWidth="1"/>
    <col min="90" max="90" width="12.85546875" style="1" bestFit="1" customWidth="1"/>
    <col min="91" max="91" width="13" style="1" customWidth="1"/>
    <col min="92" max="92" width="39.7109375" style="1" customWidth="1"/>
    <col min="93" max="93" width="14.85546875" style="1" bestFit="1" customWidth="1"/>
    <col min="94" max="94" width="18" style="1" customWidth="1"/>
    <col min="95" max="95" width="12.140625" style="1" customWidth="1"/>
    <col min="96" max="96" width="14.140625" style="7" customWidth="1"/>
    <col min="97" max="16384" width="9.140625" style="1"/>
  </cols>
  <sheetData>
    <row r="1" spans="1:96" s="2" customFormat="1" ht="45" x14ac:dyDescent="0.25">
      <c r="A1" s="3" t="s">
        <v>35</v>
      </c>
      <c r="C1" s="4" t="s">
        <v>6</v>
      </c>
      <c r="E1" s="4" t="s">
        <v>43</v>
      </c>
      <c r="G1" s="4" t="s">
        <v>54</v>
      </c>
      <c r="H1" s="2" t="s">
        <v>53</v>
      </c>
      <c r="J1" s="4" t="s">
        <v>7</v>
      </c>
      <c r="L1" s="6" t="s">
        <v>20</v>
      </c>
      <c r="M1" s="3" t="s">
        <v>35</v>
      </c>
      <c r="O1" s="4" t="s">
        <v>6</v>
      </c>
      <c r="Q1" s="4" t="s">
        <v>43</v>
      </c>
      <c r="S1" s="4" t="s">
        <v>54</v>
      </c>
      <c r="T1" s="2" t="s">
        <v>53</v>
      </c>
      <c r="V1" s="4" t="s">
        <v>7</v>
      </c>
      <c r="X1" s="6" t="s">
        <v>20</v>
      </c>
      <c r="Y1" s="3" t="s">
        <v>35</v>
      </c>
      <c r="AA1" s="4" t="s">
        <v>6</v>
      </c>
      <c r="AC1" s="4" t="s">
        <v>43</v>
      </c>
      <c r="AE1" s="4" t="s">
        <v>54</v>
      </c>
      <c r="AF1" s="2" t="s">
        <v>53</v>
      </c>
      <c r="AH1" s="4" t="s">
        <v>7</v>
      </c>
      <c r="AJ1" s="6" t="s">
        <v>20</v>
      </c>
      <c r="AK1" s="3" t="s">
        <v>35</v>
      </c>
      <c r="AM1" s="4" t="s">
        <v>6</v>
      </c>
      <c r="AO1" s="4" t="s">
        <v>43</v>
      </c>
      <c r="AQ1" s="4" t="s">
        <v>54</v>
      </c>
      <c r="AR1" s="2" t="s">
        <v>53</v>
      </c>
      <c r="AT1" s="4" t="s">
        <v>7</v>
      </c>
      <c r="AV1" s="6" t="s">
        <v>20</v>
      </c>
      <c r="AW1" s="3" t="s">
        <v>35</v>
      </c>
      <c r="AY1" s="4" t="s">
        <v>6</v>
      </c>
      <c r="BA1" s="4" t="s">
        <v>43</v>
      </c>
      <c r="BC1" s="4" t="s">
        <v>54</v>
      </c>
      <c r="BD1" s="2" t="s">
        <v>53</v>
      </c>
      <c r="BF1" s="4" t="s">
        <v>7</v>
      </c>
      <c r="BH1" s="6" t="s">
        <v>20</v>
      </c>
      <c r="BI1" s="3" t="s">
        <v>35</v>
      </c>
      <c r="BK1" s="4" t="s">
        <v>6</v>
      </c>
      <c r="BM1" s="4" t="s">
        <v>43</v>
      </c>
      <c r="BO1" s="4" t="s">
        <v>54</v>
      </c>
      <c r="BP1" s="2" t="s">
        <v>53</v>
      </c>
      <c r="BR1" s="4" t="s">
        <v>7</v>
      </c>
      <c r="BT1" s="6" t="s">
        <v>20</v>
      </c>
      <c r="BU1" s="3" t="s">
        <v>35</v>
      </c>
      <c r="BW1" s="4" t="s">
        <v>6</v>
      </c>
      <c r="BY1" s="4" t="s">
        <v>43</v>
      </c>
      <c r="CA1" s="4" t="s">
        <v>54</v>
      </c>
      <c r="CB1" s="2" t="s">
        <v>53</v>
      </c>
      <c r="CD1" s="4" t="s">
        <v>7</v>
      </c>
      <c r="CF1" s="6" t="s">
        <v>20</v>
      </c>
      <c r="CG1" s="3" t="s">
        <v>35</v>
      </c>
      <c r="CI1" s="4" t="s">
        <v>6</v>
      </c>
      <c r="CK1" s="4" t="s">
        <v>43</v>
      </c>
      <c r="CM1" s="4" t="s">
        <v>54</v>
      </c>
      <c r="CN1" s="2" t="s">
        <v>53</v>
      </c>
      <c r="CP1" s="4" t="s">
        <v>7</v>
      </c>
      <c r="CR1" s="6" t="s">
        <v>20</v>
      </c>
    </row>
    <row r="2" spans="1:96"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21</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21</v>
      </c>
      <c r="U2" s="4" t="s">
        <v>9</v>
      </c>
      <c r="V2" s="4" t="s">
        <v>10</v>
      </c>
      <c r="X2" s="20" t="e">
        <f>IF(U5="","",AVERAGEIFS(U5:U115,U5:U115,"&lt;&gt;0",U5:U115,"&lt;&gt;"))</f>
        <v>#N/A</v>
      </c>
      <c r="Y2" s="4" t="s">
        <v>2</v>
      </c>
      <c r="AA2" s="4" t="s">
        <v>127</v>
      </c>
      <c r="AC2" s="4" t="s">
        <v>1</v>
      </c>
      <c r="AD2" s="2" cm="1">
        <f t="array" ref="AD2">_xlfn.SWITCH(AF1,
    "CCELL3.0", AD3^2/(AB2+0.78),
    "EVOMAX", AD3^2/(AB2),
    "EVO", AD3^2/(AB2),
    "SE", AD3^2/AB2,
    "T51", AD3^2/(0.25+AB2),
    "Competitor", AD3^2/AB2,
    "Error: Unknown device type")</f>
        <v>0</v>
      </c>
      <c r="AE2" s="4" t="s">
        <v>8</v>
      </c>
      <c r="AF2" s="2" t="s">
        <v>21</v>
      </c>
      <c r="AG2" s="4" t="s">
        <v>9</v>
      </c>
      <c r="AH2" s="4" t="s">
        <v>10</v>
      </c>
      <c r="AJ2" s="20" t="e">
        <f>IF(AG5="","",AVERAGEIFS(AG5:AG115,AG5:AG115,"&lt;&gt;0",AG5:AG115,"&lt;&gt;"))</f>
        <v>#N/A</v>
      </c>
      <c r="AK2" s="4" t="s">
        <v>2</v>
      </c>
      <c r="AM2" s="4" t="s">
        <v>127</v>
      </c>
      <c r="AO2" s="4" t="s">
        <v>1</v>
      </c>
      <c r="AP2" s="2" cm="1">
        <f t="array" ref="AP2">_xlfn.SWITCH(AR1,
    "CCELL3.0", AP3^2/(AN2+0.78),
    "EVOMAX", AP3^2/(AN2),
    "EVO", AP3^2/(AN2),
    "SE", AP3^2/AN2,
    "T51", AP3^2/(0.25+AN2),
    "Competitor", AP3^2/AN2,
    "Error: Unknown device type")</f>
        <v>0</v>
      </c>
      <c r="AQ2" s="4" t="s">
        <v>8</v>
      </c>
      <c r="AR2" s="2" t="s">
        <v>21</v>
      </c>
      <c r="AS2" s="4" t="s">
        <v>9</v>
      </c>
      <c r="AT2" s="4" t="s">
        <v>10</v>
      </c>
      <c r="AV2" s="20" t="e">
        <f>IF(AS5="","",AVERAGEIFS(AS5:AS115,AS5:AS115,"&lt;&gt;0",AS5:AS115,"&lt;&gt;"))</f>
        <v>#N/A</v>
      </c>
      <c r="AW2" s="4" t="s">
        <v>2</v>
      </c>
      <c r="AY2" s="4" t="s">
        <v>127</v>
      </c>
      <c r="BA2" s="4" t="s">
        <v>1</v>
      </c>
      <c r="BB2" s="2" cm="1">
        <f t="array" ref="BB2">_xlfn.SWITCH(BD1,
    "CCELL3.0", BB3^2/(AZ2+0.78),
    "EVOMAX", BB3^2/(AZ2),
    "EVO", BB3^2/(AZ2),
    "SE", BB3^2/AZ2,
    "T51", BB3^2/(0.25+AZ2),
    "Competitor", BB3^2/AZ2,
    "Error: Unknown device type")</f>
        <v>0</v>
      </c>
      <c r="BC2" s="4" t="s">
        <v>8</v>
      </c>
      <c r="BD2" s="2" t="s">
        <v>21</v>
      </c>
      <c r="BE2" s="4" t="s">
        <v>9</v>
      </c>
      <c r="BF2" s="4" t="s">
        <v>10</v>
      </c>
      <c r="BH2" s="20" t="e">
        <f>IF(BE5="","",AVERAGEIFS(BE5:BE115,BE5:BE115,"&lt;&gt;0",BE5:BE115,"&lt;&gt;"))</f>
        <v>#N/A</v>
      </c>
      <c r="BI2" s="4" t="s">
        <v>2</v>
      </c>
      <c r="BK2" s="4" t="s">
        <v>127</v>
      </c>
      <c r="BM2" s="4" t="s">
        <v>1</v>
      </c>
      <c r="BN2" s="2" cm="1">
        <f t="array" ref="BN2">_xlfn.SWITCH(BP1,
    "CCELL3.0", BN3^2/(BL2+0.78),
    "EVOMAX", BN3^2/(BL2),
    "EVO", BN3^2/(BL2),
    "SE", BN3^2/BL2,
    "T51", BN3^2/(0.25+BL2),
    "Competitor", BN3^2/BL2,
    "Error: Unknown device type")</f>
        <v>0</v>
      </c>
      <c r="BO2" s="4" t="s">
        <v>8</v>
      </c>
      <c r="BP2" s="2" t="s">
        <v>21</v>
      </c>
      <c r="BQ2" s="4" t="s">
        <v>9</v>
      </c>
      <c r="BR2" s="4" t="s">
        <v>10</v>
      </c>
      <c r="BT2" s="20" t="e">
        <f>IF(BQ5="","",AVERAGEIFS(BQ5:BQ115,BQ5:BQ115,"&lt;&gt;0",BQ5:BQ115,"&lt;&gt;"))</f>
        <v>#N/A</v>
      </c>
      <c r="BU2" s="4" t="s">
        <v>2</v>
      </c>
      <c r="BW2" s="4" t="s">
        <v>127</v>
      </c>
      <c r="BY2" s="4" t="s">
        <v>1</v>
      </c>
      <c r="BZ2" s="2" cm="1">
        <f t="array" ref="BZ2">_xlfn.SWITCH(CB1,
    "CCELL3.0", BZ3^2/(BX2+0.78),
    "EVOMAX", BZ3^2/(BX2),
    "EVO", BZ3^2/(BX2),
    "SE", BZ3^2/BX2,
    "T51", BZ3^2/(0.25+BX2),
    "Competitor", BZ3^2/BX2,
    "Error: Unknown device type")</f>
        <v>0</v>
      </c>
      <c r="CA2" s="4" t="s">
        <v>8</v>
      </c>
      <c r="CB2" s="2" t="s">
        <v>21</v>
      </c>
      <c r="CC2" s="4" t="s">
        <v>9</v>
      </c>
      <c r="CD2" s="4" t="s">
        <v>10</v>
      </c>
      <c r="CF2" s="20" t="e">
        <f>IF(CC5="","",AVERAGEIFS(CC5:CC115,CC5:CC115,"&lt;&gt;0",CC5:CC115,"&lt;&gt;"))</f>
        <v>#N/A</v>
      </c>
      <c r="CG2" s="4" t="s">
        <v>2</v>
      </c>
      <c r="CI2" s="4" t="s">
        <v>127</v>
      </c>
      <c r="CK2" s="4" t="s">
        <v>1</v>
      </c>
      <c r="CL2" s="2" cm="1">
        <f t="array" ref="CL2">_xlfn.SWITCH(CN1,
    "CCELL3.0", CL3^2/(CJ2+0.78),
    "EVOMAX", CL3^2/(CJ2),
    "EVO", CL3^2/(CJ2),
    "SE", CL3^2/CJ2,
    "T51", CL3^2/(0.25+CJ2),
    "Competitor", CL3^2/CJ2,
    "Error: Unknown device type")</f>
        <v>0</v>
      </c>
      <c r="CM2" s="4" t="s">
        <v>8</v>
      </c>
      <c r="CN2" s="2" t="s">
        <v>21</v>
      </c>
      <c r="CO2" s="4" t="s">
        <v>9</v>
      </c>
      <c r="CP2" s="4" t="s">
        <v>10</v>
      </c>
      <c r="CR2" s="20" t="e">
        <f>IF(CO5="","",AVERAGEIFS(CO5:CO115,CO5:CO115,"&lt;&gt;0",CO5:CO115,"&lt;&gt;"))</f>
        <v>#N/A</v>
      </c>
    </row>
    <row r="3" spans="1:96"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c r="Y3" s="4" t="s">
        <v>11</v>
      </c>
      <c r="AA3" s="4" t="s">
        <v>0</v>
      </c>
      <c r="AC3" s="4" t="s">
        <v>3</v>
      </c>
      <c r="AE3" s="4" t="s">
        <v>12</v>
      </c>
      <c r="AG3" s="21" t="str" cm="1">
        <f t="array" ref="AG3">IFERROR(((IF(AG5&lt;&gt;"", AG5*Y5, 0) + SUMPRODUCT(--(AG6:AG115&lt;&gt;""), AG6:AG115, (Y6:Y115-Y5:Y114)))/1000)/AF3, "")</f>
        <v/>
      </c>
      <c r="AH3" s="4" t="s">
        <v>13</v>
      </c>
      <c r="AJ3" s="20" t="e" cm="1">
        <f t="array" ref="AJ3">IF(AG5="","",_xlfn.STDEV.P(IF(ISNUMBER(AG5:AG115), IF(AG5:AG115&lt;&gt;0,AG5:AG115))))</f>
        <v>#N/A</v>
      </c>
      <c r="AK3" s="4" t="s">
        <v>11</v>
      </c>
      <c r="AM3" s="4" t="s">
        <v>0</v>
      </c>
      <c r="AO3" s="4" t="s">
        <v>3</v>
      </c>
      <c r="AQ3" s="4" t="s">
        <v>12</v>
      </c>
      <c r="AS3" s="21" t="str" cm="1">
        <f t="array" ref="AS3">IFERROR(((IF(AS5&lt;&gt;"", AS5*AK5, 0) + SUMPRODUCT(--(AS6:AS115&lt;&gt;""), AS6:AS115, (AK6:AK115-AK5:AK114)))/1000)/AR3, "")</f>
        <v/>
      </c>
      <c r="AT3" s="4" t="s">
        <v>13</v>
      </c>
      <c r="AV3" s="20" t="e" cm="1">
        <f t="array" ref="AV3">IF(AS5="","",_xlfn.STDEV.P(IF(ISNUMBER(AS5:AS115), IF(AS5:AS115&lt;&gt;0,AS5:AS115))))</f>
        <v>#N/A</v>
      </c>
      <c r="AW3" s="4" t="s">
        <v>11</v>
      </c>
      <c r="AY3" s="4" t="s">
        <v>0</v>
      </c>
      <c r="BA3" s="4" t="s">
        <v>3</v>
      </c>
      <c r="BC3" s="4" t="s">
        <v>12</v>
      </c>
      <c r="BE3" s="21" t="str" cm="1">
        <f t="array" ref="BE3">IFERROR(((IF(BE5&lt;&gt;"", BE5*AW5, 0) + SUMPRODUCT(--(BE6:BE115&lt;&gt;""), BE6:BE115, (AW6:AW115-AW5:AW114)))/1000)/BD3, "")</f>
        <v/>
      </c>
      <c r="BF3" s="4" t="s">
        <v>13</v>
      </c>
      <c r="BH3" s="20" t="e" cm="1">
        <f t="array" ref="BH3">IF(BE5="","",_xlfn.STDEV.P(IF(ISNUMBER(BE5:BE115), IF(BE5:BE115&lt;&gt;0,BE5:BE115))))</f>
        <v>#N/A</v>
      </c>
      <c r="BI3" s="4" t="s">
        <v>11</v>
      </c>
      <c r="BK3" s="4" t="s">
        <v>0</v>
      </c>
      <c r="BM3" s="4" t="s">
        <v>3</v>
      </c>
      <c r="BO3" s="4" t="s">
        <v>12</v>
      </c>
      <c r="BQ3" s="21" t="str" cm="1">
        <f t="array" ref="BQ3">IFERROR(((IF(BQ5&lt;&gt;"", BQ5*BI5, 0) + SUMPRODUCT(--(BQ6:BQ115&lt;&gt;""), BQ6:BQ115, (BI6:BI115-BI5:BI114)))/1000)/BP3, "")</f>
        <v/>
      </c>
      <c r="BR3" s="4" t="s">
        <v>13</v>
      </c>
      <c r="BT3" s="20" t="e" cm="1">
        <f t="array" ref="BT3">IF(BQ5="","",_xlfn.STDEV.P(IF(ISNUMBER(BQ5:BQ115), IF(BQ5:BQ115&lt;&gt;0,BQ5:BQ115))))</f>
        <v>#N/A</v>
      </c>
      <c r="BU3" s="4" t="s">
        <v>11</v>
      </c>
      <c r="BW3" s="4" t="s">
        <v>0</v>
      </c>
      <c r="BY3" s="4" t="s">
        <v>3</v>
      </c>
      <c r="CA3" s="4" t="s">
        <v>12</v>
      </c>
      <c r="CC3" s="21" t="str" cm="1">
        <f t="array" ref="CC3">IFERROR(((IF(CC5&lt;&gt;"", CC5*BU5, 0) + SUMPRODUCT(--(CC6:CC115&lt;&gt;""), CC6:CC115, (BU6:BU115-BU5:BU114)))/1000)/CB3, "")</f>
        <v/>
      </c>
      <c r="CD3" s="4" t="s">
        <v>13</v>
      </c>
      <c r="CF3" s="20" t="e" cm="1">
        <f t="array" ref="CF3">IF(CC5="","",_xlfn.STDEV.P(IF(ISNUMBER(CC5:CC115), IF(CC5:CC115&lt;&gt;0,CC5:CC115))))</f>
        <v>#N/A</v>
      </c>
      <c r="CG3" s="4" t="s">
        <v>11</v>
      </c>
      <c r="CI3" s="4" t="s">
        <v>0</v>
      </c>
      <c r="CK3" s="4" t="s">
        <v>3</v>
      </c>
      <c r="CM3" s="4" t="s">
        <v>12</v>
      </c>
      <c r="CO3" s="21" t="str" cm="1">
        <f t="array" ref="CO3">IFERROR(((IF(CO5&lt;&gt;"", CO5*CG5, 0) + SUMPRODUCT(--(CO6:CO115&lt;&gt;""), CO6:CO115, (CG6:CG115-CG5:CG114)))/1000)/CN3, "")</f>
        <v/>
      </c>
      <c r="CP3" s="4" t="s">
        <v>13</v>
      </c>
      <c r="CR3" s="20" t="e" cm="1">
        <f t="array" ref="CR3">IF(CO5="","",_xlfn.STDEV.P(IF(ISNUMBER(CO5:CO115), IF(CO5:CO115&lt;&gt;0,CO5:CO115))))</f>
        <v>#N/A</v>
      </c>
    </row>
    <row r="4" spans="1:96" ht="30"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c r="Y4" s="2" t="s">
        <v>14</v>
      </c>
      <c r="Z4" s="2" t="s">
        <v>123</v>
      </c>
      <c r="AA4" s="2" t="s">
        <v>124</v>
      </c>
      <c r="AB4" s="2" t="s">
        <v>15</v>
      </c>
      <c r="AC4" s="2" t="s">
        <v>125</v>
      </c>
      <c r="AD4" s="2" t="s">
        <v>16</v>
      </c>
      <c r="AE4" s="2" t="s">
        <v>17</v>
      </c>
      <c r="AF4" s="2" t="s">
        <v>18</v>
      </c>
      <c r="AG4" s="2" t="s">
        <v>19</v>
      </c>
      <c r="AH4" s="2" t="s">
        <v>55</v>
      </c>
      <c r="AI4" s="2" t="s">
        <v>57</v>
      </c>
      <c r="AJ4" s="20" t="s">
        <v>126</v>
      </c>
      <c r="AK4" s="2" t="s">
        <v>14</v>
      </c>
      <c r="AL4" s="2" t="s">
        <v>123</v>
      </c>
      <c r="AM4" s="2" t="s">
        <v>124</v>
      </c>
      <c r="AN4" s="2" t="s">
        <v>15</v>
      </c>
      <c r="AO4" s="2" t="s">
        <v>125</v>
      </c>
      <c r="AP4" s="2" t="s">
        <v>16</v>
      </c>
      <c r="AQ4" s="2" t="s">
        <v>17</v>
      </c>
      <c r="AR4" s="2" t="s">
        <v>18</v>
      </c>
      <c r="AS4" s="2" t="s">
        <v>19</v>
      </c>
      <c r="AT4" s="2" t="s">
        <v>55</v>
      </c>
      <c r="AU4" s="2" t="s">
        <v>57</v>
      </c>
      <c r="AV4" s="20" t="s">
        <v>126</v>
      </c>
      <c r="AW4" s="2" t="s">
        <v>14</v>
      </c>
      <c r="AX4" s="2" t="s">
        <v>123</v>
      </c>
      <c r="AY4" s="2" t="s">
        <v>124</v>
      </c>
      <c r="AZ4" s="2" t="s">
        <v>15</v>
      </c>
      <c r="BA4" s="2" t="s">
        <v>125</v>
      </c>
      <c r="BB4" s="2" t="s">
        <v>16</v>
      </c>
      <c r="BC4" s="2" t="s">
        <v>17</v>
      </c>
      <c r="BD4" s="2" t="s">
        <v>18</v>
      </c>
      <c r="BE4" s="2" t="s">
        <v>19</v>
      </c>
      <c r="BF4" s="2" t="s">
        <v>55</v>
      </c>
      <c r="BG4" s="2" t="s">
        <v>57</v>
      </c>
      <c r="BH4" s="20" t="s">
        <v>126</v>
      </c>
      <c r="BI4" s="2" t="s">
        <v>14</v>
      </c>
      <c r="BJ4" s="2" t="s">
        <v>123</v>
      </c>
      <c r="BK4" s="2" t="s">
        <v>124</v>
      </c>
      <c r="BL4" s="2" t="s">
        <v>15</v>
      </c>
      <c r="BM4" s="2" t="s">
        <v>125</v>
      </c>
      <c r="BN4" s="2" t="s">
        <v>16</v>
      </c>
      <c r="BO4" s="2" t="s">
        <v>17</v>
      </c>
      <c r="BP4" s="2" t="s">
        <v>18</v>
      </c>
      <c r="BQ4" s="2" t="s">
        <v>19</v>
      </c>
      <c r="BR4" s="2" t="s">
        <v>55</v>
      </c>
      <c r="BS4" s="2" t="s">
        <v>57</v>
      </c>
      <c r="BT4" s="20" t="s">
        <v>126</v>
      </c>
      <c r="BU4" s="2" t="s">
        <v>14</v>
      </c>
      <c r="BV4" s="2" t="s">
        <v>123</v>
      </c>
      <c r="BW4" s="2" t="s">
        <v>124</v>
      </c>
      <c r="BX4" s="2" t="s">
        <v>15</v>
      </c>
      <c r="BY4" s="2" t="s">
        <v>125</v>
      </c>
      <c r="BZ4" s="2" t="s">
        <v>16</v>
      </c>
      <c r="CA4" s="2" t="s">
        <v>17</v>
      </c>
      <c r="CB4" s="2" t="s">
        <v>18</v>
      </c>
      <c r="CC4" s="2" t="s">
        <v>19</v>
      </c>
      <c r="CD4" s="2" t="s">
        <v>55</v>
      </c>
      <c r="CE4" s="2" t="s">
        <v>57</v>
      </c>
      <c r="CF4" s="20" t="s">
        <v>126</v>
      </c>
      <c r="CG4" s="2" t="s">
        <v>14</v>
      </c>
      <c r="CH4" s="2" t="s">
        <v>123</v>
      </c>
      <c r="CI4" s="2" t="s">
        <v>124</v>
      </c>
      <c r="CJ4" s="2" t="s">
        <v>15</v>
      </c>
      <c r="CK4" s="2" t="s">
        <v>125</v>
      </c>
      <c r="CL4" s="2" t="s">
        <v>16</v>
      </c>
      <c r="CM4" s="2" t="s">
        <v>17</v>
      </c>
      <c r="CN4" s="2" t="s">
        <v>18</v>
      </c>
      <c r="CO4" s="2" t="s">
        <v>19</v>
      </c>
      <c r="CP4" s="2" t="s">
        <v>55</v>
      </c>
      <c r="CQ4" s="2" t="s">
        <v>57</v>
      </c>
      <c r="CR4" s="20" t="s">
        <v>126</v>
      </c>
    </row>
    <row r="5" spans="1:96" x14ac:dyDescent="0.25">
      <c r="A5" s="1">
        <v>20</v>
      </c>
      <c r="I5" s="1" t="e">
        <f>IF(C5="", NA(), (B5-C5)*1000/A5)</f>
        <v>#N/A</v>
      </c>
      <c r="J5" s="1" t="e">
        <f>IF(I5="","",I5/F$2/2.5)</f>
        <v>#N/A</v>
      </c>
      <c r="L5" s="8" t="e">
        <f>IF(I5="","", IFERROR(((IF(I$5&lt;&gt;"", I$5*A$5, 0))/1000)/H$3, ""))</f>
        <v>#N/A</v>
      </c>
      <c r="M5" s="1">
        <v>20</v>
      </c>
      <c r="U5" s="1" t="e">
        <f>IF(O5="", NA(), (N5-O5)*1000/M5)</f>
        <v>#N/A</v>
      </c>
      <c r="V5" s="1" t="e">
        <f>IF(U5="","",U5/R$2/2.5)</f>
        <v>#N/A</v>
      </c>
      <c r="X5" s="8" t="e">
        <f>IF(U5="","", IFERROR(((IF(U$5&lt;&gt;"", U$5*M$5, 0))/1000)/T$3, ""))</f>
        <v>#N/A</v>
      </c>
      <c r="Y5" s="1">
        <v>20</v>
      </c>
      <c r="AG5" s="1" t="e">
        <f>IF(AA5="", NA(), (Z5-AA5)*1000/Y5)</f>
        <v>#N/A</v>
      </c>
      <c r="AH5" s="1" t="e">
        <f>IF(AG5="","",AG5/AD$2/2.5)</f>
        <v>#N/A</v>
      </c>
      <c r="AJ5" s="8" t="e">
        <f>IF(AG5="","", IFERROR(((IF(AG$5&lt;&gt;"", AG$5*Y$5, 0))/1000)/AF$3, ""))</f>
        <v>#N/A</v>
      </c>
      <c r="AK5" s="1">
        <v>20</v>
      </c>
      <c r="AS5" s="1" t="e">
        <f>IF(AM5="", NA(), (AL5-AM5)*1000/AK5)</f>
        <v>#N/A</v>
      </c>
      <c r="AT5" s="1" t="e">
        <f>IF(AS5="","",AS5/AP$2/2.5)</f>
        <v>#N/A</v>
      </c>
      <c r="AV5" s="8" t="e">
        <f>IF(AS5="","", IFERROR(((IF(AS$5&lt;&gt;"", AS$5*AK$5, 0))/1000)/AR$3, ""))</f>
        <v>#N/A</v>
      </c>
      <c r="AW5" s="1">
        <v>20</v>
      </c>
      <c r="BE5" s="1" t="e">
        <f>IF(AY5="", NA(), (AX5-AY5)*1000/AW5)</f>
        <v>#N/A</v>
      </c>
      <c r="BF5" s="1" t="e">
        <f>IF(BE5="","",BE5/BB$2/2.5)</f>
        <v>#N/A</v>
      </c>
      <c r="BH5" s="8" t="e">
        <f>IF(BE5="","", IFERROR(((IF(BE$5&lt;&gt;"", BE$5*AW$5, 0))/1000)/BD$3, ""))</f>
        <v>#N/A</v>
      </c>
      <c r="BI5" s="1">
        <v>20</v>
      </c>
      <c r="BQ5" s="1" t="e">
        <f>IF(BK5="", NA(), (BJ5-BK5)*1000/BI5)</f>
        <v>#N/A</v>
      </c>
      <c r="BR5" s="1" t="e">
        <f>IF(BQ5="","",BQ5/BN$2/2.5)</f>
        <v>#N/A</v>
      </c>
      <c r="BT5" s="8" t="e">
        <f>IF(BQ5="","", IFERROR(((IF(BQ$5&lt;&gt;"", BQ$5*BI$5, 0))/1000)/BP$3, ""))</f>
        <v>#N/A</v>
      </c>
      <c r="BU5" s="1">
        <v>20</v>
      </c>
      <c r="CC5" s="1" t="e">
        <f>IF(BW5="", NA(), (BV5-BW5)*1000/BU5)</f>
        <v>#N/A</v>
      </c>
      <c r="CD5" s="1" t="e">
        <f>IF(CC5="","",CC5/BZ$2/2.5)</f>
        <v>#N/A</v>
      </c>
      <c r="CF5" s="8" t="e">
        <f>IF(CC5="","", IFERROR(((IF(CC$5&lt;&gt;"", CC$5*BU$5, 0))/1000)/CB$3, ""))</f>
        <v>#N/A</v>
      </c>
      <c r="CG5" s="1">
        <v>20</v>
      </c>
      <c r="CO5" s="1" t="e">
        <f>IF(CI5="", NA(), (CH5-CI5)*1000/CG5)</f>
        <v>#N/A</v>
      </c>
      <c r="CP5" s="1" t="e">
        <f>IF(CO5="","",CO5/CL$2/2.5)</f>
        <v>#N/A</v>
      </c>
      <c r="CR5" s="8" t="e">
        <f>IF(CO5="","", IFERROR(((IF(CO$5&lt;&gt;"", CO$5*CG$5, 0))/1000)/CN$3, ""))</f>
        <v>#N/A</v>
      </c>
    </row>
    <row r="6" spans="1:96" x14ac:dyDescent="0.25">
      <c r="A6" s="1">
        <f>A5+20</f>
        <v>40</v>
      </c>
      <c r="B6" s="1">
        <f>C5</f>
        <v>0</v>
      </c>
      <c r="I6" s="1" t="e">
        <f>IF(C6="", NA(), (B6-C6)*1000/(A6-A5))</f>
        <v>#N/A</v>
      </c>
      <c r="J6" s="1" t="e">
        <f t="shared" ref="J6:J69" si="0">IF(I6="","",I6/F$2/2.5)</f>
        <v>#N/A</v>
      </c>
      <c r="K6" s="1" t="e">
        <f>IF(I6="","", 100*_xlfn.STDEV.P(I5:I6)/AVERAGE(I5:I6))</f>
        <v>#N/A</v>
      </c>
      <c r="L6" s="8" t="e" cm="1">
        <f t="array" ref="L6">IF(I6="","", IFERROR(((IF(I$5&lt;&gt;"", I$5*A$5, 0) + SUMPRODUCT(--(I$6:I6&lt;&gt;""), I$6:I6, (A$6:A6-A$5:A5)))/1000)/H$3, ""))</f>
        <v>#N/A</v>
      </c>
      <c r="M6" s="1">
        <f>M5+20</f>
        <v>40</v>
      </c>
      <c r="N6" s="1">
        <f>O5</f>
        <v>0</v>
      </c>
      <c r="U6" s="1" t="e">
        <f>IF(O6="", NA(), (N6-O6)*1000/(M6-M5))</f>
        <v>#N/A</v>
      </c>
      <c r="V6" s="1" t="e">
        <f t="shared" ref="V6:V69" si="1">IF(U6="","",U6/R$2/2.5)</f>
        <v>#N/A</v>
      </c>
      <c r="W6" s="1" t="e">
        <f>IF(U6="","", 100*_xlfn.STDEV.P(U5:U6)/AVERAGE(U5:U6))</f>
        <v>#N/A</v>
      </c>
      <c r="X6" s="8" t="e" cm="1">
        <f t="array" ref="X6">IF(U6="","", IFERROR(((IF(U$5&lt;&gt;"", U$5*M$5, 0) + SUMPRODUCT(--(U$6:U6&lt;&gt;""), U$6:U6, (M$6:M6-M$5:M5)))/1000)/T$3, ""))</f>
        <v>#N/A</v>
      </c>
      <c r="Y6" s="1">
        <f>Y5+20</f>
        <v>40</v>
      </c>
      <c r="Z6" s="1">
        <f>AA5</f>
        <v>0</v>
      </c>
      <c r="AG6" s="1" t="e">
        <f>IF(AA6="", NA(), (Z6-AA6)*1000/(Y6-Y5))</f>
        <v>#N/A</v>
      </c>
      <c r="AH6" s="1" t="e">
        <f t="shared" ref="AH6:AH69" si="2">IF(AG6="","",AG6/AD$2/2.5)</f>
        <v>#N/A</v>
      </c>
      <c r="AI6" s="1" t="e">
        <f>IF(AG6="","", 100*_xlfn.STDEV.P(AG5:AG6)/AVERAGE(AG5:AG6))</f>
        <v>#N/A</v>
      </c>
      <c r="AJ6" s="8" t="e" cm="1">
        <f t="array" ref="AJ6">IF(AG6="","", IFERROR(((IF(AG$5&lt;&gt;"", AG$5*Y$5, 0) + SUMPRODUCT(--(AG$6:AG6&lt;&gt;""), AG$6:AG6, (Y$6:Y6-Y$5:Y5)))/1000)/AF$3, ""))</f>
        <v>#N/A</v>
      </c>
      <c r="AK6" s="1">
        <f>AK5+20</f>
        <v>40</v>
      </c>
      <c r="AL6" s="1">
        <f>AM5</f>
        <v>0</v>
      </c>
      <c r="AS6" s="1" t="e">
        <f>IF(AM6="", NA(), (AL6-AM6)*1000/(AK6-AK5))</f>
        <v>#N/A</v>
      </c>
      <c r="AT6" s="1" t="e">
        <f t="shared" ref="AT6:AT69" si="3">IF(AS6="","",AS6/AP$2/2.5)</f>
        <v>#N/A</v>
      </c>
      <c r="AU6" s="1" t="e">
        <f>IF(AS6="","", 100*_xlfn.STDEV.P(AS5:AS6)/AVERAGE(AS5:AS6))</f>
        <v>#N/A</v>
      </c>
      <c r="AV6" s="8" t="e" cm="1">
        <f t="array" ref="AV6">IF(AS6="","", IFERROR(((IF(AS$5&lt;&gt;"", AS$5*AK$5, 0) + SUMPRODUCT(--(AS$6:AS6&lt;&gt;""), AS$6:AS6, (AK$6:AK6-AK$5:AK5)))/1000)/AR$3, ""))</f>
        <v>#N/A</v>
      </c>
      <c r="AW6" s="1">
        <f>AW5+20</f>
        <v>40</v>
      </c>
      <c r="AX6" s="1">
        <f>AY5</f>
        <v>0</v>
      </c>
      <c r="BE6" s="1" t="e">
        <f>IF(AY6="", NA(), (AX6-AY6)*1000/(AW6-AW5))</f>
        <v>#N/A</v>
      </c>
      <c r="BF6" s="1" t="e">
        <f t="shared" ref="BF6:BF69" si="4">IF(BE6="","",BE6/BB$2/2.5)</f>
        <v>#N/A</v>
      </c>
      <c r="BG6" s="1" t="e">
        <f>IF(BE6="","", 100*_xlfn.STDEV.P(BE5:BE6)/AVERAGE(BE5:BE6))</f>
        <v>#N/A</v>
      </c>
      <c r="BH6" s="8" t="e" cm="1">
        <f t="array" ref="BH6">IF(BE6="","", IFERROR(((IF(BE$5&lt;&gt;"", BE$5*AW$5, 0) + SUMPRODUCT(--(BE$6:BE6&lt;&gt;""), BE$6:BE6, (AW$6:AW6-AW$5:AW5)))/1000)/BD$3, ""))</f>
        <v>#N/A</v>
      </c>
      <c r="BI6" s="1">
        <f>BI5+20</f>
        <v>40</v>
      </c>
      <c r="BJ6" s="1">
        <f>BK5</f>
        <v>0</v>
      </c>
      <c r="BQ6" s="1" t="e">
        <f>IF(BK6="", NA(), (BJ6-BK6)*1000/(BI6-BI5))</f>
        <v>#N/A</v>
      </c>
      <c r="BR6" s="1" t="e">
        <f t="shared" ref="BR6:BR69" si="5">IF(BQ6="","",BQ6/BN$2/2.5)</f>
        <v>#N/A</v>
      </c>
      <c r="BS6" s="1" t="e">
        <f>IF(BQ6="","", 100*_xlfn.STDEV.P(BQ5:BQ6)/AVERAGE(BQ5:BQ6))</f>
        <v>#N/A</v>
      </c>
      <c r="BT6" s="8" t="e" cm="1">
        <f t="array" ref="BT6">IF(BQ6="","", IFERROR(((IF(BQ$5&lt;&gt;"", BQ$5*BI$5, 0) + SUMPRODUCT(--(BQ$6:BQ6&lt;&gt;""), BQ$6:BQ6, (BI$6:BI6-BI$5:BI5)))/1000)/BP$3, ""))</f>
        <v>#N/A</v>
      </c>
      <c r="BU6" s="1">
        <f>BU5+20</f>
        <v>40</v>
      </c>
      <c r="BV6" s="1">
        <f>BW5</f>
        <v>0</v>
      </c>
      <c r="CC6" s="1" t="e">
        <f>IF(BW6="", NA(), (BV6-BW6)*1000/(BU6-BU5))</f>
        <v>#N/A</v>
      </c>
      <c r="CD6" s="1" t="e">
        <f t="shared" ref="CD6:CD69" si="6">IF(CC6="","",CC6/BZ$2/2.5)</f>
        <v>#N/A</v>
      </c>
      <c r="CE6" s="1" t="e">
        <f>IF(CC6="","", 100*_xlfn.STDEV.P(CC5:CC6)/AVERAGE(CC5:CC6))</f>
        <v>#N/A</v>
      </c>
      <c r="CF6" s="8" t="e" cm="1">
        <f t="array" ref="CF6">IF(CC6="","", IFERROR(((IF(CC$5&lt;&gt;"", CC$5*BU$5, 0) + SUMPRODUCT(--(CC$6:CC6&lt;&gt;""), CC$6:CC6, (BU$6:BU6-BU$5:BU5)))/1000)/CB$3, ""))</f>
        <v>#N/A</v>
      </c>
      <c r="CG6" s="1">
        <f>CG5+20</f>
        <v>40</v>
      </c>
      <c r="CH6" s="1">
        <f>CI5</f>
        <v>0</v>
      </c>
      <c r="CO6" s="1" t="e">
        <f>IF(CI6="", NA(), (CH6-CI6)*1000/(CG6-CG5))</f>
        <v>#N/A</v>
      </c>
      <c r="CP6" s="1" t="e">
        <f t="shared" ref="CP6:CP69" si="7">IF(CO6="","",CO6/CL$2/2.5)</f>
        <v>#N/A</v>
      </c>
      <c r="CQ6" s="1" t="e">
        <f>IF(CO6="","", 100*_xlfn.STDEV.P(CO5:CO6)/AVERAGE(CO5:CO6))</f>
        <v>#N/A</v>
      </c>
      <c r="CR6" s="8" t="e" cm="1">
        <f t="array" ref="CR6">IF(CO6="","", IFERROR(((IF(CO$5&lt;&gt;"", CO$5*CG$5, 0) + SUMPRODUCT(--(CO$6:CO6&lt;&gt;""), CO$6:CO6, (CG$6:CG6-CG$5:CG5)))/1000)/CN$3, ""))</f>
        <v>#N/A</v>
      </c>
    </row>
    <row r="7" spans="1:96" x14ac:dyDescent="0.25">
      <c r="A7" s="1">
        <f t="shared" ref="A7:A70" si="8">A6+20</f>
        <v>60</v>
      </c>
      <c r="B7" s="1">
        <f t="shared" ref="B7:B70" si="9">C6</f>
        <v>0</v>
      </c>
      <c r="I7" s="1" t="e">
        <f t="shared" ref="I7:I70" si="10">IF(C7="", NA(), (B7-C7)*1000/(A7-A6))</f>
        <v>#N/A</v>
      </c>
      <c r="J7" s="1" t="e">
        <f t="shared" si="0"/>
        <v>#N/A</v>
      </c>
      <c r="K7" s="1" t="e">
        <f t="shared" ref="K7:K70" si="11">IF(I7="","", 100*_xlfn.STDEV.P(I6:I7)/AVERAGE(I6:I7))</f>
        <v>#N/A</v>
      </c>
      <c r="L7" s="8" t="e" cm="1">
        <f t="array" ref="L7">IF(I7="","", IFERROR(((IF(I$5&lt;&gt;"", I$5*A$5, 0) + SUMPRODUCT(--(I$6:I7&lt;&gt;""), I$6:I7, (A$6:A7-A$5:A6)))/1000)/H$3, ""))</f>
        <v>#N/A</v>
      </c>
      <c r="M7" s="1">
        <f t="shared" ref="M7:M70" si="12">M6+20</f>
        <v>60</v>
      </c>
      <c r="N7" s="1">
        <f t="shared" ref="N7:N70" si="13">O6</f>
        <v>0</v>
      </c>
      <c r="U7" s="1" t="e">
        <f t="shared" ref="U7:U70" si="14">IF(O7="", NA(), (N7-O7)*1000/(M7-M6))</f>
        <v>#N/A</v>
      </c>
      <c r="V7" s="1" t="e">
        <f t="shared" si="1"/>
        <v>#N/A</v>
      </c>
      <c r="W7" s="1" t="e">
        <f t="shared" ref="W7:W70" si="15">IF(U7="","", 100*_xlfn.STDEV.P(U6:U7)/AVERAGE(U6:U7))</f>
        <v>#N/A</v>
      </c>
      <c r="X7" s="8" t="e" cm="1">
        <f t="array" ref="X7">IF(U7="","", IFERROR(((IF(U$5&lt;&gt;"", U$5*M$5, 0) + SUMPRODUCT(--(U$6:U7&lt;&gt;""), U$6:U7, (M$6:M7-M$5:M6)))/1000)/T$3, ""))</f>
        <v>#N/A</v>
      </c>
      <c r="Y7" s="1">
        <f t="shared" ref="Y7:Y70" si="16">Y6+20</f>
        <v>60</v>
      </c>
      <c r="Z7" s="1">
        <f t="shared" ref="Z7:Z70" si="17">AA6</f>
        <v>0</v>
      </c>
      <c r="AG7" s="1" t="e">
        <f t="shared" ref="AG7:AG70" si="18">IF(AA7="", NA(), (Z7-AA7)*1000/(Y7-Y6))</f>
        <v>#N/A</v>
      </c>
      <c r="AH7" s="1" t="e">
        <f t="shared" si="2"/>
        <v>#N/A</v>
      </c>
      <c r="AI7" s="1" t="e">
        <f t="shared" ref="AI7:AI70" si="19">IF(AG7="","", 100*_xlfn.STDEV.P(AG6:AG7)/AVERAGE(AG6:AG7))</f>
        <v>#N/A</v>
      </c>
      <c r="AJ7" s="8" t="e" cm="1">
        <f t="array" ref="AJ7">IF(AG7="","", IFERROR(((IF(AG$5&lt;&gt;"", AG$5*Y$5, 0) + SUMPRODUCT(--(AG$6:AG7&lt;&gt;""), AG$6:AG7, (Y$6:Y7-Y$5:Y6)))/1000)/AF$3, ""))</f>
        <v>#N/A</v>
      </c>
      <c r="AK7" s="1">
        <f t="shared" ref="AK7:AK70" si="20">AK6+20</f>
        <v>60</v>
      </c>
      <c r="AL7" s="1">
        <f t="shared" ref="AL7:AL70" si="21">AM6</f>
        <v>0</v>
      </c>
      <c r="AS7" s="1" t="e">
        <f t="shared" ref="AS7:AS70" si="22">IF(AM7="", NA(), (AL7-AM7)*1000/(AK7-AK6))</f>
        <v>#N/A</v>
      </c>
      <c r="AT7" s="1" t="e">
        <f t="shared" si="3"/>
        <v>#N/A</v>
      </c>
      <c r="AU7" s="1" t="e">
        <f t="shared" ref="AU7:AU70" si="23">IF(AS7="","", 100*_xlfn.STDEV.P(AS6:AS7)/AVERAGE(AS6:AS7))</f>
        <v>#N/A</v>
      </c>
      <c r="AV7" s="8" t="e" cm="1">
        <f t="array" ref="AV7">IF(AS7="","", IFERROR(((IF(AS$5&lt;&gt;"", AS$5*AK$5, 0) + SUMPRODUCT(--(AS$6:AS7&lt;&gt;""), AS$6:AS7, (AK$6:AK7-AK$5:AK6)))/1000)/AR$3, ""))</f>
        <v>#N/A</v>
      </c>
      <c r="AW7" s="1">
        <f t="shared" ref="AW7:AW70" si="24">AW6+20</f>
        <v>60</v>
      </c>
      <c r="AX7" s="1">
        <f t="shared" ref="AX7:AX70" si="25">AY6</f>
        <v>0</v>
      </c>
      <c r="BE7" s="1" t="e">
        <f t="shared" ref="BE7:BE70" si="26">IF(AY7="", NA(), (AX7-AY7)*1000/(AW7-AW6))</f>
        <v>#N/A</v>
      </c>
      <c r="BF7" s="1" t="e">
        <f t="shared" si="4"/>
        <v>#N/A</v>
      </c>
      <c r="BG7" s="1" t="e">
        <f t="shared" ref="BG7:BG70" si="27">IF(BE7="","", 100*_xlfn.STDEV.P(BE6:BE7)/AVERAGE(BE6:BE7))</f>
        <v>#N/A</v>
      </c>
      <c r="BH7" s="8" t="e" cm="1">
        <f t="array" ref="BH7">IF(BE7="","", IFERROR(((IF(BE$5&lt;&gt;"", BE$5*AW$5, 0) + SUMPRODUCT(--(BE$6:BE7&lt;&gt;""), BE$6:BE7, (AW$6:AW7-AW$5:AW6)))/1000)/BD$3, ""))</f>
        <v>#N/A</v>
      </c>
      <c r="BI7" s="1">
        <f t="shared" ref="BI7:BI70" si="28">BI6+20</f>
        <v>60</v>
      </c>
      <c r="BJ7" s="1">
        <f t="shared" ref="BJ7:BJ70" si="29">BK6</f>
        <v>0</v>
      </c>
      <c r="BQ7" s="1" t="e">
        <f t="shared" ref="BQ7:BQ70" si="30">IF(BK7="", NA(), (BJ7-BK7)*1000/(BI7-BI6))</f>
        <v>#N/A</v>
      </c>
      <c r="BR7" s="1" t="e">
        <f t="shared" si="5"/>
        <v>#N/A</v>
      </c>
      <c r="BS7" s="1" t="e">
        <f t="shared" ref="BS7:BS70" si="31">IF(BQ7="","", 100*_xlfn.STDEV.P(BQ6:BQ7)/AVERAGE(BQ6:BQ7))</f>
        <v>#N/A</v>
      </c>
      <c r="BT7" s="8" t="e" cm="1">
        <f t="array" ref="BT7">IF(BQ7="","", IFERROR(((IF(BQ$5&lt;&gt;"", BQ$5*BI$5, 0) + SUMPRODUCT(--(BQ$6:BQ7&lt;&gt;""), BQ$6:BQ7, (BI$6:BI7-BI$5:BI6)))/1000)/BP$3, ""))</f>
        <v>#N/A</v>
      </c>
      <c r="BU7" s="1">
        <f t="shared" ref="BU7:BU70" si="32">BU6+20</f>
        <v>60</v>
      </c>
      <c r="BV7" s="1">
        <f t="shared" ref="BV7:BV70" si="33">BW6</f>
        <v>0</v>
      </c>
      <c r="CC7" s="1" t="e">
        <f t="shared" ref="CC7:CC70" si="34">IF(BW7="", NA(), (BV7-BW7)*1000/(BU7-BU6))</f>
        <v>#N/A</v>
      </c>
      <c r="CD7" s="1" t="e">
        <f t="shared" si="6"/>
        <v>#N/A</v>
      </c>
      <c r="CE7" s="1" t="e">
        <f t="shared" ref="CE7:CE70" si="35">IF(CC7="","", 100*_xlfn.STDEV.P(CC6:CC7)/AVERAGE(CC6:CC7))</f>
        <v>#N/A</v>
      </c>
      <c r="CF7" s="8" t="e" cm="1">
        <f t="array" ref="CF7">IF(CC7="","", IFERROR(((IF(CC$5&lt;&gt;"", CC$5*BU$5, 0) + SUMPRODUCT(--(CC$6:CC7&lt;&gt;""), CC$6:CC7, (BU$6:BU7-BU$5:BU6)))/1000)/CB$3, ""))</f>
        <v>#N/A</v>
      </c>
      <c r="CG7" s="1">
        <f t="shared" ref="CG7:CG70" si="36">CG6+20</f>
        <v>60</v>
      </c>
      <c r="CH7" s="1">
        <f t="shared" ref="CH7:CH70" si="37">CI6</f>
        <v>0</v>
      </c>
      <c r="CO7" s="1" t="e">
        <f t="shared" ref="CO7:CO70" si="38">IF(CI7="", NA(), (CH7-CI7)*1000/(CG7-CG6))</f>
        <v>#N/A</v>
      </c>
      <c r="CP7" s="1" t="e">
        <f t="shared" si="7"/>
        <v>#N/A</v>
      </c>
      <c r="CQ7" s="1" t="e">
        <f t="shared" ref="CQ7:CQ70" si="39">IF(CO7="","", 100*_xlfn.STDEV.P(CO6:CO7)/AVERAGE(CO6:CO7))</f>
        <v>#N/A</v>
      </c>
      <c r="CR7" s="8" t="e" cm="1">
        <f t="array" ref="CR7">IF(CO7="","", IFERROR(((IF(CO$5&lt;&gt;"", CO$5*CG$5, 0) + SUMPRODUCT(--(CO$6:CO7&lt;&gt;""), CO$6:CO7, (CG$6:CG7-CG$5:CG6)))/1000)/CN$3, ""))</f>
        <v>#N/A</v>
      </c>
    </row>
    <row r="8" spans="1:96" x14ac:dyDescent="0.25">
      <c r="A8" s="1">
        <f t="shared" si="8"/>
        <v>80</v>
      </c>
      <c r="B8" s="1">
        <f t="shared" si="9"/>
        <v>0</v>
      </c>
      <c r="I8" s="1" t="e">
        <f t="shared" si="10"/>
        <v>#N/A</v>
      </c>
      <c r="J8" s="1" t="e">
        <f t="shared" si="0"/>
        <v>#N/A</v>
      </c>
      <c r="K8" s="1" t="e">
        <f t="shared" si="11"/>
        <v>#N/A</v>
      </c>
      <c r="L8" s="8" t="e" cm="1">
        <f t="array" ref="L8">IF(I8="","", IFERROR(((IF(I$5&lt;&gt;"", I$5*A$5, 0) + SUMPRODUCT(--(I$6:I8&lt;&gt;""), I$6:I8, (A$6:A8-A$5:A7)))/1000)/H$3, ""))</f>
        <v>#N/A</v>
      </c>
      <c r="M8" s="1">
        <f t="shared" si="12"/>
        <v>80</v>
      </c>
      <c r="N8" s="1">
        <f t="shared" si="13"/>
        <v>0</v>
      </c>
      <c r="U8" s="1" t="e">
        <f t="shared" si="14"/>
        <v>#N/A</v>
      </c>
      <c r="V8" s="1" t="e">
        <f t="shared" si="1"/>
        <v>#N/A</v>
      </c>
      <c r="W8" s="1" t="e">
        <f t="shared" si="15"/>
        <v>#N/A</v>
      </c>
      <c r="X8" s="8" t="e" cm="1">
        <f t="array" ref="X8">IF(U8="","", IFERROR(((IF(U$5&lt;&gt;"", U$5*M$5, 0) + SUMPRODUCT(--(U$6:U8&lt;&gt;""), U$6:U8, (M$6:M8-M$5:M7)))/1000)/T$3, ""))</f>
        <v>#N/A</v>
      </c>
      <c r="Y8" s="1">
        <f t="shared" si="16"/>
        <v>80</v>
      </c>
      <c r="Z8" s="1">
        <f t="shared" si="17"/>
        <v>0</v>
      </c>
      <c r="AG8" s="1" t="e">
        <f t="shared" si="18"/>
        <v>#N/A</v>
      </c>
      <c r="AH8" s="1" t="e">
        <f t="shared" si="2"/>
        <v>#N/A</v>
      </c>
      <c r="AI8" s="1" t="e">
        <f t="shared" si="19"/>
        <v>#N/A</v>
      </c>
      <c r="AJ8" s="8" t="e" cm="1">
        <f t="array" ref="AJ8">IF(AG8="","", IFERROR(((IF(AG$5&lt;&gt;"", AG$5*Y$5, 0) + SUMPRODUCT(--(AG$6:AG8&lt;&gt;""), AG$6:AG8, (Y$6:Y8-Y$5:Y7)))/1000)/AF$3, ""))</f>
        <v>#N/A</v>
      </c>
      <c r="AK8" s="1">
        <f t="shared" si="20"/>
        <v>80</v>
      </c>
      <c r="AL8" s="1">
        <f t="shared" si="21"/>
        <v>0</v>
      </c>
      <c r="AS8" s="1" t="e">
        <f t="shared" si="22"/>
        <v>#N/A</v>
      </c>
      <c r="AT8" s="1" t="e">
        <f t="shared" si="3"/>
        <v>#N/A</v>
      </c>
      <c r="AU8" s="1" t="e">
        <f t="shared" si="23"/>
        <v>#N/A</v>
      </c>
      <c r="AV8" s="8" t="e" cm="1">
        <f t="array" ref="AV8">IF(AS8="","", IFERROR(((IF(AS$5&lt;&gt;"", AS$5*AK$5, 0) + SUMPRODUCT(--(AS$6:AS8&lt;&gt;""), AS$6:AS8, (AK$6:AK8-AK$5:AK7)))/1000)/AR$3, ""))</f>
        <v>#N/A</v>
      </c>
      <c r="AW8" s="1">
        <f t="shared" si="24"/>
        <v>80</v>
      </c>
      <c r="AX8" s="1">
        <f t="shared" si="25"/>
        <v>0</v>
      </c>
      <c r="BE8" s="1" t="e">
        <f t="shared" si="26"/>
        <v>#N/A</v>
      </c>
      <c r="BF8" s="1" t="e">
        <f t="shared" si="4"/>
        <v>#N/A</v>
      </c>
      <c r="BG8" s="1" t="e">
        <f t="shared" si="27"/>
        <v>#N/A</v>
      </c>
      <c r="BH8" s="8" t="e" cm="1">
        <f t="array" ref="BH8">IF(BE8="","", IFERROR(((IF(BE$5&lt;&gt;"", BE$5*AW$5, 0) + SUMPRODUCT(--(BE$6:BE8&lt;&gt;""), BE$6:BE8, (AW$6:AW8-AW$5:AW7)))/1000)/BD$3, ""))</f>
        <v>#N/A</v>
      </c>
      <c r="BI8" s="1">
        <f t="shared" si="28"/>
        <v>80</v>
      </c>
      <c r="BJ8" s="1">
        <f t="shared" si="29"/>
        <v>0</v>
      </c>
      <c r="BQ8" s="1" t="e">
        <f t="shared" si="30"/>
        <v>#N/A</v>
      </c>
      <c r="BR8" s="1" t="e">
        <f t="shared" si="5"/>
        <v>#N/A</v>
      </c>
      <c r="BS8" s="1" t="e">
        <f t="shared" si="31"/>
        <v>#N/A</v>
      </c>
      <c r="BT8" s="8" t="e" cm="1">
        <f t="array" ref="BT8">IF(BQ8="","", IFERROR(((IF(BQ$5&lt;&gt;"", BQ$5*BI$5, 0) + SUMPRODUCT(--(BQ$6:BQ8&lt;&gt;""), BQ$6:BQ8, (BI$6:BI8-BI$5:BI7)))/1000)/BP$3, ""))</f>
        <v>#N/A</v>
      </c>
      <c r="BU8" s="1">
        <f t="shared" si="32"/>
        <v>80</v>
      </c>
      <c r="BV8" s="1">
        <f t="shared" si="33"/>
        <v>0</v>
      </c>
      <c r="CC8" s="1" t="e">
        <f t="shared" si="34"/>
        <v>#N/A</v>
      </c>
      <c r="CD8" s="1" t="e">
        <f t="shared" si="6"/>
        <v>#N/A</v>
      </c>
      <c r="CE8" s="1" t="e">
        <f t="shared" si="35"/>
        <v>#N/A</v>
      </c>
      <c r="CF8" s="8" t="e" cm="1">
        <f t="array" ref="CF8">IF(CC8="","", IFERROR(((IF(CC$5&lt;&gt;"", CC$5*BU$5, 0) + SUMPRODUCT(--(CC$6:CC8&lt;&gt;""), CC$6:CC8, (BU$6:BU8-BU$5:BU7)))/1000)/CB$3, ""))</f>
        <v>#N/A</v>
      </c>
      <c r="CG8" s="1">
        <f t="shared" si="36"/>
        <v>80</v>
      </c>
      <c r="CH8" s="1">
        <f t="shared" si="37"/>
        <v>0</v>
      </c>
      <c r="CO8" s="1" t="e">
        <f t="shared" si="38"/>
        <v>#N/A</v>
      </c>
      <c r="CP8" s="1" t="e">
        <f t="shared" si="7"/>
        <v>#N/A</v>
      </c>
      <c r="CQ8" s="1" t="e">
        <f t="shared" si="39"/>
        <v>#N/A</v>
      </c>
      <c r="CR8" s="8" t="e" cm="1">
        <f t="array" ref="CR8">IF(CO8="","", IFERROR(((IF(CO$5&lt;&gt;"", CO$5*CG$5, 0) + SUMPRODUCT(--(CO$6:CO8&lt;&gt;""), CO$6:CO8, (CG$6:CG8-CG$5:CG7)))/1000)/CN$3, ""))</f>
        <v>#N/A</v>
      </c>
    </row>
    <row r="9" spans="1:96" x14ac:dyDescent="0.25">
      <c r="A9" s="1">
        <f t="shared" si="8"/>
        <v>100</v>
      </c>
      <c r="B9" s="1">
        <f t="shared" si="9"/>
        <v>0</v>
      </c>
      <c r="I9" s="1" t="e">
        <f t="shared" si="10"/>
        <v>#N/A</v>
      </c>
      <c r="J9" s="1" t="e">
        <f t="shared" si="0"/>
        <v>#N/A</v>
      </c>
      <c r="K9" s="1" t="e">
        <f t="shared" si="11"/>
        <v>#N/A</v>
      </c>
      <c r="L9" s="8" t="e" cm="1">
        <f t="array" ref="L9">IF(I9="","", IFERROR(((IF(I$5&lt;&gt;"", I$5*A$5, 0) + SUMPRODUCT(--(I$6:I9&lt;&gt;""), I$6:I9, (A$6:A9-A$5:A8)))/1000)/H$3, ""))</f>
        <v>#N/A</v>
      </c>
      <c r="M9" s="1">
        <f t="shared" si="12"/>
        <v>100</v>
      </c>
      <c r="N9" s="1">
        <f t="shared" si="13"/>
        <v>0</v>
      </c>
      <c r="U9" s="1" t="e">
        <f t="shared" si="14"/>
        <v>#N/A</v>
      </c>
      <c r="V9" s="1" t="e">
        <f t="shared" si="1"/>
        <v>#N/A</v>
      </c>
      <c r="W9" s="1" t="e">
        <f t="shared" si="15"/>
        <v>#N/A</v>
      </c>
      <c r="X9" s="8" t="e" cm="1">
        <f t="array" ref="X9">IF(U9="","", IFERROR(((IF(U$5&lt;&gt;"", U$5*M$5, 0) + SUMPRODUCT(--(U$6:U9&lt;&gt;""), U$6:U9, (M$6:M9-M$5:M8)))/1000)/T$3, ""))</f>
        <v>#N/A</v>
      </c>
      <c r="Y9" s="1">
        <f t="shared" si="16"/>
        <v>100</v>
      </c>
      <c r="Z9" s="1">
        <f t="shared" si="17"/>
        <v>0</v>
      </c>
      <c r="AG9" s="1" t="e">
        <f t="shared" si="18"/>
        <v>#N/A</v>
      </c>
      <c r="AH9" s="1" t="e">
        <f t="shared" si="2"/>
        <v>#N/A</v>
      </c>
      <c r="AI9" s="1" t="e">
        <f t="shared" si="19"/>
        <v>#N/A</v>
      </c>
      <c r="AJ9" s="8" t="e" cm="1">
        <f t="array" ref="AJ9">IF(AG9="","", IFERROR(((IF(AG$5&lt;&gt;"", AG$5*Y$5, 0) + SUMPRODUCT(--(AG$6:AG9&lt;&gt;""), AG$6:AG9, (Y$6:Y9-Y$5:Y8)))/1000)/AF$3, ""))</f>
        <v>#N/A</v>
      </c>
      <c r="AK9" s="1">
        <f t="shared" si="20"/>
        <v>100</v>
      </c>
      <c r="AL9" s="1">
        <f t="shared" si="21"/>
        <v>0</v>
      </c>
      <c r="AS9" s="1" t="e">
        <f t="shared" si="22"/>
        <v>#N/A</v>
      </c>
      <c r="AT9" s="1" t="e">
        <f t="shared" si="3"/>
        <v>#N/A</v>
      </c>
      <c r="AU9" s="1" t="e">
        <f t="shared" si="23"/>
        <v>#N/A</v>
      </c>
      <c r="AV9" s="8" t="e" cm="1">
        <f t="array" ref="AV9">IF(AS9="","", IFERROR(((IF(AS$5&lt;&gt;"", AS$5*AK$5, 0) + SUMPRODUCT(--(AS$6:AS9&lt;&gt;""), AS$6:AS9, (AK$6:AK9-AK$5:AK8)))/1000)/AR$3, ""))</f>
        <v>#N/A</v>
      </c>
      <c r="AW9" s="1">
        <f t="shared" si="24"/>
        <v>100</v>
      </c>
      <c r="AX9" s="1">
        <f t="shared" si="25"/>
        <v>0</v>
      </c>
      <c r="BE9" s="1" t="e">
        <f t="shared" si="26"/>
        <v>#N/A</v>
      </c>
      <c r="BF9" s="1" t="e">
        <f t="shared" si="4"/>
        <v>#N/A</v>
      </c>
      <c r="BG9" s="1" t="e">
        <f t="shared" si="27"/>
        <v>#N/A</v>
      </c>
      <c r="BH9" s="8" t="e" cm="1">
        <f t="array" ref="BH9">IF(BE9="","", IFERROR(((IF(BE$5&lt;&gt;"", BE$5*AW$5, 0) + SUMPRODUCT(--(BE$6:BE9&lt;&gt;""), BE$6:BE9, (AW$6:AW9-AW$5:AW8)))/1000)/BD$3, ""))</f>
        <v>#N/A</v>
      </c>
      <c r="BI9" s="1">
        <f t="shared" si="28"/>
        <v>100</v>
      </c>
      <c r="BJ9" s="1">
        <f t="shared" si="29"/>
        <v>0</v>
      </c>
      <c r="BQ9" s="1" t="e">
        <f t="shared" si="30"/>
        <v>#N/A</v>
      </c>
      <c r="BR9" s="1" t="e">
        <f t="shared" si="5"/>
        <v>#N/A</v>
      </c>
      <c r="BS9" s="1" t="e">
        <f t="shared" si="31"/>
        <v>#N/A</v>
      </c>
      <c r="BT9" s="8" t="e" cm="1">
        <f t="array" ref="BT9">IF(BQ9="","", IFERROR(((IF(BQ$5&lt;&gt;"", BQ$5*BI$5, 0) + SUMPRODUCT(--(BQ$6:BQ9&lt;&gt;""), BQ$6:BQ9, (BI$6:BI9-BI$5:BI8)))/1000)/BP$3, ""))</f>
        <v>#N/A</v>
      </c>
      <c r="BU9" s="1">
        <f t="shared" si="32"/>
        <v>100</v>
      </c>
      <c r="BV9" s="1">
        <f t="shared" si="33"/>
        <v>0</v>
      </c>
      <c r="CC9" s="1" t="e">
        <f t="shared" si="34"/>
        <v>#N/A</v>
      </c>
      <c r="CD9" s="1" t="e">
        <f t="shared" si="6"/>
        <v>#N/A</v>
      </c>
      <c r="CE9" s="1" t="e">
        <f t="shared" si="35"/>
        <v>#N/A</v>
      </c>
      <c r="CF9" s="8" t="e" cm="1">
        <f t="array" ref="CF9">IF(CC9="","", IFERROR(((IF(CC$5&lt;&gt;"", CC$5*BU$5, 0) + SUMPRODUCT(--(CC$6:CC9&lt;&gt;""), CC$6:CC9, (BU$6:BU9-BU$5:BU8)))/1000)/CB$3, ""))</f>
        <v>#N/A</v>
      </c>
      <c r="CG9" s="1">
        <f t="shared" si="36"/>
        <v>100</v>
      </c>
      <c r="CH9" s="1">
        <f t="shared" si="37"/>
        <v>0</v>
      </c>
      <c r="CO9" s="1" t="e">
        <f t="shared" si="38"/>
        <v>#N/A</v>
      </c>
      <c r="CP9" s="1" t="e">
        <f t="shared" si="7"/>
        <v>#N/A</v>
      </c>
      <c r="CQ9" s="1" t="e">
        <f t="shared" si="39"/>
        <v>#N/A</v>
      </c>
      <c r="CR9" s="8" t="e" cm="1">
        <f t="array" ref="CR9">IF(CO9="","", IFERROR(((IF(CO$5&lt;&gt;"", CO$5*CG$5, 0) + SUMPRODUCT(--(CO$6:CO9&lt;&gt;""), CO$6:CO9, (CG$6:CG9-CG$5:CG8)))/1000)/CN$3, ""))</f>
        <v>#N/A</v>
      </c>
    </row>
    <row r="10" spans="1:96" x14ac:dyDescent="0.25">
      <c r="A10" s="1">
        <f t="shared" si="8"/>
        <v>120</v>
      </c>
      <c r="B10" s="1">
        <f t="shared" si="9"/>
        <v>0</v>
      </c>
      <c r="I10" s="1" t="e">
        <f t="shared" si="10"/>
        <v>#N/A</v>
      </c>
      <c r="J10" s="1" t="e">
        <f t="shared" si="0"/>
        <v>#N/A</v>
      </c>
      <c r="K10" s="1" t="e">
        <f t="shared" si="11"/>
        <v>#N/A</v>
      </c>
      <c r="L10" s="8" t="e" cm="1">
        <f t="array" ref="L10">IF(I10="","", IFERROR(((IF(I$5&lt;&gt;"", I$5*A$5, 0) + SUMPRODUCT(--(I$6:I10&lt;&gt;""), I$6:I10, (A$6:A10-A$5:A9)))/1000)/H$3, ""))</f>
        <v>#N/A</v>
      </c>
      <c r="M10" s="1">
        <f t="shared" si="12"/>
        <v>120</v>
      </c>
      <c r="N10" s="1">
        <f t="shared" si="13"/>
        <v>0</v>
      </c>
      <c r="U10" s="1" t="e">
        <f t="shared" si="14"/>
        <v>#N/A</v>
      </c>
      <c r="V10" s="1" t="e">
        <f t="shared" si="1"/>
        <v>#N/A</v>
      </c>
      <c r="W10" s="1" t="e">
        <f t="shared" si="15"/>
        <v>#N/A</v>
      </c>
      <c r="X10" s="8" t="e" cm="1">
        <f t="array" ref="X10">IF(U10="","", IFERROR(((IF(U$5&lt;&gt;"", U$5*M$5, 0) + SUMPRODUCT(--(U$6:U10&lt;&gt;""), U$6:U10, (M$6:M10-M$5:M9)))/1000)/T$3, ""))</f>
        <v>#N/A</v>
      </c>
      <c r="Y10" s="1">
        <f t="shared" si="16"/>
        <v>120</v>
      </c>
      <c r="Z10" s="1">
        <f t="shared" si="17"/>
        <v>0</v>
      </c>
      <c r="AG10" s="1" t="e">
        <f t="shared" si="18"/>
        <v>#N/A</v>
      </c>
      <c r="AH10" s="1" t="e">
        <f t="shared" si="2"/>
        <v>#N/A</v>
      </c>
      <c r="AI10" s="1" t="e">
        <f t="shared" si="19"/>
        <v>#N/A</v>
      </c>
      <c r="AJ10" s="8" t="e" cm="1">
        <f t="array" ref="AJ10">IF(AG10="","", IFERROR(((IF(AG$5&lt;&gt;"", AG$5*Y$5, 0) + SUMPRODUCT(--(AG$6:AG10&lt;&gt;""), AG$6:AG10, (Y$6:Y10-Y$5:Y9)))/1000)/AF$3, ""))</f>
        <v>#N/A</v>
      </c>
      <c r="AK10" s="1">
        <f t="shared" si="20"/>
        <v>120</v>
      </c>
      <c r="AL10" s="1">
        <f t="shared" si="21"/>
        <v>0</v>
      </c>
      <c r="AS10" s="1" t="e">
        <f t="shared" si="22"/>
        <v>#N/A</v>
      </c>
      <c r="AT10" s="1" t="e">
        <f t="shared" si="3"/>
        <v>#N/A</v>
      </c>
      <c r="AU10" s="1" t="e">
        <f t="shared" si="23"/>
        <v>#N/A</v>
      </c>
      <c r="AV10" s="8" t="e" cm="1">
        <f t="array" ref="AV10">IF(AS10="","", IFERROR(((IF(AS$5&lt;&gt;"", AS$5*AK$5, 0) + SUMPRODUCT(--(AS$6:AS10&lt;&gt;""), AS$6:AS10, (AK$6:AK10-AK$5:AK9)))/1000)/AR$3, ""))</f>
        <v>#N/A</v>
      </c>
      <c r="AW10" s="1">
        <f t="shared" si="24"/>
        <v>120</v>
      </c>
      <c r="AX10" s="1">
        <f t="shared" si="25"/>
        <v>0</v>
      </c>
      <c r="BE10" s="1" t="e">
        <f t="shared" si="26"/>
        <v>#N/A</v>
      </c>
      <c r="BF10" s="1" t="e">
        <f t="shared" si="4"/>
        <v>#N/A</v>
      </c>
      <c r="BG10" s="1" t="e">
        <f t="shared" si="27"/>
        <v>#N/A</v>
      </c>
      <c r="BH10" s="8" t="e" cm="1">
        <f t="array" ref="BH10">IF(BE10="","", IFERROR(((IF(BE$5&lt;&gt;"", BE$5*AW$5, 0) + SUMPRODUCT(--(BE$6:BE10&lt;&gt;""), BE$6:BE10, (AW$6:AW10-AW$5:AW9)))/1000)/BD$3, ""))</f>
        <v>#N/A</v>
      </c>
      <c r="BI10" s="1">
        <f t="shared" si="28"/>
        <v>120</v>
      </c>
      <c r="BJ10" s="1">
        <f t="shared" si="29"/>
        <v>0</v>
      </c>
      <c r="BQ10" s="1" t="e">
        <f t="shared" si="30"/>
        <v>#N/A</v>
      </c>
      <c r="BR10" s="1" t="e">
        <f t="shared" si="5"/>
        <v>#N/A</v>
      </c>
      <c r="BS10" s="1" t="e">
        <f t="shared" si="31"/>
        <v>#N/A</v>
      </c>
      <c r="BT10" s="8" t="e" cm="1">
        <f t="array" ref="BT10">IF(BQ10="","", IFERROR(((IF(BQ$5&lt;&gt;"", BQ$5*BI$5, 0) + SUMPRODUCT(--(BQ$6:BQ10&lt;&gt;""), BQ$6:BQ10, (BI$6:BI10-BI$5:BI9)))/1000)/BP$3, ""))</f>
        <v>#N/A</v>
      </c>
      <c r="BU10" s="1">
        <f t="shared" si="32"/>
        <v>120</v>
      </c>
      <c r="BV10" s="1">
        <f t="shared" si="33"/>
        <v>0</v>
      </c>
      <c r="CC10" s="1" t="e">
        <f t="shared" si="34"/>
        <v>#N/A</v>
      </c>
      <c r="CD10" s="1" t="e">
        <f t="shared" si="6"/>
        <v>#N/A</v>
      </c>
      <c r="CE10" s="1" t="e">
        <f t="shared" si="35"/>
        <v>#N/A</v>
      </c>
      <c r="CF10" s="8" t="e" cm="1">
        <f t="array" ref="CF10">IF(CC10="","", IFERROR(((IF(CC$5&lt;&gt;"", CC$5*BU$5, 0) + SUMPRODUCT(--(CC$6:CC10&lt;&gt;""), CC$6:CC10, (BU$6:BU10-BU$5:BU9)))/1000)/CB$3, ""))</f>
        <v>#N/A</v>
      </c>
      <c r="CG10" s="1">
        <f t="shared" si="36"/>
        <v>120</v>
      </c>
      <c r="CH10" s="1">
        <f t="shared" si="37"/>
        <v>0</v>
      </c>
      <c r="CO10" s="1" t="e">
        <f t="shared" si="38"/>
        <v>#N/A</v>
      </c>
      <c r="CP10" s="1" t="e">
        <f t="shared" si="7"/>
        <v>#N/A</v>
      </c>
      <c r="CQ10" s="1" t="e">
        <f t="shared" si="39"/>
        <v>#N/A</v>
      </c>
      <c r="CR10" s="8" t="e" cm="1">
        <f t="array" ref="CR10">IF(CO10="","", IFERROR(((IF(CO$5&lt;&gt;"", CO$5*CG$5, 0) + SUMPRODUCT(--(CO$6:CO10&lt;&gt;""), CO$6:CO10, (CG$6:CG10-CG$5:CG9)))/1000)/CN$3, ""))</f>
        <v>#N/A</v>
      </c>
    </row>
    <row r="11" spans="1:96" x14ac:dyDescent="0.25">
      <c r="A11" s="1">
        <f t="shared" si="8"/>
        <v>140</v>
      </c>
      <c r="B11" s="1">
        <f t="shared" si="9"/>
        <v>0</v>
      </c>
      <c r="I11" s="1" t="e">
        <f t="shared" si="10"/>
        <v>#N/A</v>
      </c>
      <c r="J11" s="1" t="e">
        <f t="shared" si="0"/>
        <v>#N/A</v>
      </c>
      <c r="K11" s="1" t="e">
        <f t="shared" si="11"/>
        <v>#N/A</v>
      </c>
      <c r="L11" s="8" t="e" cm="1">
        <f t="array" ref="L11">IF(I11="","", IFERROR(((IF(I$5&lt;&gt;"", I$5*A$5, 0) + SUMPRODUCT(--(I$6:I11&lt;&gt;""), I$6:I11, (A$6:A11-A$5:A10)))/1000)/H$3, ""))</f>
        <v>#N/A</v>
      </c>
      <c r="M11" s="1">
        <f t="shared" si="12"/>
        <v>140</v>
      </c>
      <c r="N11" s="1">
        <f t="shared" si="13"/>
        <v>0</v>
      </c>
      <c r="U11" s="1" t="e">
        <f t="shared" si="14"/>
        <v>#N/A</v>
      </c>
      <c r="V11" s="1" t="e">
        <f t="shared" si="1"/>
        <v>#N/A</v>
      </c>
      <c r="W11" s="1" t="e">
        <f t="shared" si="15"/>
        <v>#N/A</v>
      </c>
      <c r="X11" s="8" t="e" cm="1">
        <f t="array" ref="X11">IF(U11="","", IFERROR(((IF(U$5&lt;&gt;"", U$5*M$5, 0) + SUMPRODUCT(--(U$6:U11&lt;&gt;""), U$6:U11, (M$6:M11-M$5:M10)))/1000)/T$3, ""))</f>
        <v>#N/A</v>
      </c>
      <c r="Y11" s="1">
        <f t="shared" si="16"/>
        <v>140</v>
      </c>
      <c r="Z11" s="1">
        <f t="shared" si="17"/>
        <v>0</v>
      </c>
      <c r="AG11" s="1" t="e">
        <f t="shared" si="18"/>
        <v>#N/A</v>
      </c>
      <c r="AH11" s="1" t="e">
        <f t="shared" si="2"/>
        <v>#N/A</v>
      </c>
      <c r="AI11" s="1" t="e">
        <f t="shared" si="19"/>
        <v>#N/A</v>
      </c>
      <c r="AJ11" s="8" t="e" cm="1">
        <f t="array" ref="AJ11">IF(AG11="","", IFERROR(((IF(AG$5&lt;&gt;"", AG$5*Y$5, 0) + SUMPRODUCT(--(AG$6:AG11&lt;&gt;""), AG$6:AG11, (Y$6:Y11-Y$5:Y10)))/1000)/AF$3, ""))</f>
        <v>#N/A</v>
      </c>
      <c r="AK11" s="1">
        <f t="shared" si="20"/>
        <v>140</v>
      </c>
      <c r="AL11" s="1">
        <f t="shared" si="21"/>
        <v>0</v>
      </c>
      <c r="AS11" s="1" t="e">
        <f t="shared" si="22"/>
        <v>#N/A</v>
      </c>
      <c r="AT11" s="1" t="e">
        <f t="shared" si="3"/>
        <v>#N/A</v>
      </c>
      <c r="AU11" s="1" t="e">
        <f t="shared" si="23"/>
        <v>#N/A</v>
      </c>
      <c r="AV11" s="8" t="e" cm="1">
        <f t="array" ref="AV11">IF(AS11="","", IFERROR(((IF(AS$5&lt;&gt;"", AS$5*AK$5, 0) + SUMPRODUCT(--(AS$6:AS11&lt;&gt;""), AS$6:AS11, (AK$6:AK11-AK$5:AK10)))/1000)/AR$3, ""))</f>
        <v>#N/A</v>
      </c>
      <c r="AW11" s="1">
        <f t="shared" si="24"/>
        <v>140</v>
      </c>
      <c r="AX11" s="1">
        <f t="shared" si="25"/>
        <v>0</v>
      </c>
      <c r="BE11" s="1" t="e">
        <f t="shared" si="26"/>
        <v>#N/A</v>
      </c>
      <c r="BF11" s="1" t="e">
        <f t="shared" si="4"/>
        <v>#N/A</v>
      </c>
      <c r="BG11" s="1" t="e">
        <f t="shared" si="27"/>
        <v>#N/A</v>
      </c>
      <c r="BH11" s="8" t="e" cm="1">
        <f t="array" ref="BH11">IF(BE11="","", IFERROR(((IF(BE$5&lt;&gt;"", BE$5*AW$5, 0) + SUMPRODUCT(--(BE$6:BE11&lt;&gt;""), BE$6:BE11, (AW$6:AW11-AW$5:AW10)))/1000)/BD$3, ""))</f>
        <v>#N/A</v>
      </c>
      <c r="BI11" s="1">
        <f t="shared" si="28"/>
        <v>140</v>
      </c>
      <c r="BJ11" s="1">
        <f t="shared" si="29"/>
        <v>0</v>
      </c>
      <c r="BQ11" s="1" t="e">
        <f t="shared" si="30"/>
        <v>#N/A</v>
      </c>
      <c r="BR11" s="1" t="e">
        <f t="shared" si="5"/>
        <v>#N/A</v>
      </c>
      <c r="BS11" s="1" t="e">
        <f t="shared" si="31"/>
        <v>#N/A</v>
      </c>
      <c r="BT11" s="8" t="e" cm="1">
        <f t="array" ref="BT11">IF(BQ11="","", IFERROR(((IF(BQ$5&lt;&gt;"", BQ$5*BI$5, 0) + SUMPRODUCT(--(BQ$6:BQ11&lt;&gt;""), BQ$6:BQ11, (BI$6:BI11-BI$5:BI10)))/1000)/BP$3, ""))</f>
        <v>#N/A</v>
      </c>
      <c r="BU11" s="1">
        <f t="shared" si="32"/>
        <v>140</v>
      </c>
      <c r="BV11" s="1">
        <f t="shared" si="33"/>
        <v>0</v>
      </c>
      <c r="CC11" s="1" t="e">
        <f t="shared" si="34"/>
        <v>#N/A</v>
      </c>
      <c r="CD11" s="1" t="e">
        <f t="shared" si="6"/>
        <v>#N/A</v>
      </c>
      <c r="CE11" s="1" t="e">
        <f t="shared" si="35"/>
        <v>#N/A</v>
      </c>
      <c r="CF11" s="8" t="e" cm="1">
        <f t="array" ref="CF11">IF(CC11="","", IFERROR(((IF(CC$5&lt;&gt;"", CC$5*BU$5, 0) + SUMPRODUCT(--(CC$6:CC11&lt;&gt;""), CC$6:CC11, (BU$6:BU11-BU$5:BU10)))/1000)/CB$3, ""))</f>
        <v>#N/A</v>
      </c>
      <c r="CG11" s="1">
        <f t="shared" si="36"/>
        <v>140</v>
      </c>
      <c r="CH11" s="1">
        <f t="shared" si="37"/>
        <v>0</v>
      </c>
      <c r="CO11" s="1" t="e">
        <f t="shared" si="38"/>
        <v>#N/A</v>
      </c>
      <c r="CP11" s="1" t="e">
        <f t="shared" si="7"/>
        <v>#N/A</v>
      </c>
      <c r="CQ11" s="1" t="e">
        <f t="shared" si="39"/>
        <v>#N/A</v>
      </c>
      <c r="CR11" s="8" t="e" cm="1">
        <f t="array" ref="CR11">IF(CO11="","", IFERROR(((IF(CO$5&lt;&gt;"", CO$5*CG$5, 0) + SUMPRODUCT(--(CO$6:CO11&lt;&gt;""), CO$6:CO11, (CG$6:CG11-CG$5:CG10)))/1000)/CN$3, ""))</f>
        <v>#N/A</v>
      </c>
    </row>
    <row r="12" spans="1:96" x14ac:dyDescent="0.25">
      <c r="A12" s="1">
        <f t="shared" si="8"/>
        <v>160</v>
      </c>
      <c r="B12" s="1">
        <f t="shared" si="9"/>
        <v>0</v>
      </c>
      <c r="I12" s="1" t="e">
        <f t="shared" si="10"/>
        <v>#N/A</v>
      </c>
      <c r="J12" s="1" t="e">
        <f t="shared" si="0"/>
        <v>#N/A</v>
      </c>
      <c r="K12" s="1" t="e">
        <f t="shared" si="11"/>
        <v>#N/A</v>
      </c>
      <c r="L12" s="8" t="e" cm="1">
        <f t="array" ref="L12">IF(I12="","", IFERROR(((IF(I$5&lt;&gt;"", I$5*A$5, 0) + SUMPRODUCT(--(I$6:I12&lt;&gt;""), I$6:I12, (A$6:A12-A$5:A11)))/1000)/H$3, ""))</f>
        <v>#N/A</v>
      </c>
      <c r="M12" s="1">
        <f t="shared" si="12"/>
        <v>160</v>
      </c>
      <c r="N12" s="1">
        <f t="shared" si="13"/>
        <v>0</v>
      </c>
      <c r="U12" s="1" t="e">
        <f t="shared" si="14"/>
        <v>#N/A</v>
      </c>
      <c r="V12" s="1" t="e">
        <f t="shared" si="1"/>
        <v>#N/A</v>
      </c>
      <c r="W12" s="1" t="e">
        <f t="shared" si="15"/>
        <v>#N/A</v>
      </c>
      <c r="X12" s="8" t="e" cm="1">
        <f t="array" ref="X12">IF(U12="","", IFERROR(((IF(U$5&lt;&gt;"", U$5*M$5, 0) + SUMPRODUCT(--(U$6:U12&lt;&gt;""), U$6:U12, (M$6:M12-M$5:M11)))/1000)/T$3, ""))</f>
        <v>#N/A</v>
      </c>
      <c r="Y12" s="1">
        <f t="shared" si="16"/>
        <v>160</v>
      </c>
      <c r="Z12" s="1">
        <f t="shared" si="17"/>
        <v>0</v>
      </c>
      <c r="AG12" s="1" t="e">
        <f t="shared" si="18"/>
        <v>#N/A</v>
      </c>
      <c r="AH12" s="1" t="e">
        <f t="shared" si="2"/>
        <v>#N/A</v>
      </c>
      <c r="AI12" s="1" t="e">
        <f t="shared" si="19"/>
        <v>#N/A</v>
      </c>
      <c r="AJ12" s="8" t="e" cm="1">
        <f t="array" ref="AJ12">IF(AG12="","", IFERROR(((IF(AG$5&lt;&gt;"", AG$5*Y$5, 0) + SUMPRODUCT(--(AG$6:AG12&lt;&gt;""), AG$6:AG12, (Y$6:Y12-Y$5:Y11)))/1000)/AF$3, ""))</f>
        <v>#N/A</v>
      </c>
      <c r="AK12" s="1">
        <f t="shared" si="20"/>
        <v>160</v>
      </c>
      <c r="AL12" s="1">
        <f t="shared" si="21"/>
        <v>0</v>
      </c>
      <c r="AS12" s="1" t="e">
        <f t="shared" si="22"/>
        <v>#N/A</v>
      </c>
      <c r="AT12" s="1" t="e">
        <f t="shared" si="3"/>
        <v>#N/A</v>
      </c>
      <c r="AU12" s="1" t="e">
        <f t="shared" si="23"/>
        <v>#N/A</v>
      </c>
      <c r="AV12" s="8" t="e" cm="1">
        <f t="array" ref="AV12">IF(AS12="","", IFERROR(((IF(AS$5&lt;&gt;"", AS$5*AK$5, 0) + SUMPRODUCT(--(AS$6:AS12&lt;&gt;""), AS$6:AS12, (AK$6:AK12-AK$5:AK11)))/1000)/AR$3, ""))</f>
        <v>#N/A</v>
      </c>
      <c r="AW12" s="1">
        <f t="shared" si="24"/>
        <v>160</v>
      </c>
      <c r="AX12" s="1">
        <f t="shared" si="25"/>
        <v>0</v>
      </c>
      <c r="BE12" s="1" t="e">
        <f t="shared" si="26"/>
        <v>#N/A</v>
      </c>
      <c r="BF12" s="1" t="e">
        <f t="shared" si="4"/>
        <v>#N/A</v>
      </c>
      <c r="BG12" s="1" t="e">
        <f t="shared" si="27"/>
        <v>#N/A</v>
      </c>
      <c r="BH12" s="8" t="e" cm="1">
        <f t="array" ref="BH12">IF(BE12="","", IFERROR(((IF(BE$5&lt;&gt;"", BE$5*AW$5, 0) + SUMPRODUCT(--(BE$6:BE12&lt;&gt;""), BE$6:BE12, (AW$6:AW12-AW$5:AW11)))/1000)/BD$3, ""))</f>
        <v>#N/A</v>
      </c>
      <c r="BI12" s="1">
        <f t="shared" si="28"/>
        <v>160</v>
      </c>
      <c r="BJ12" s="1">
        <f t="shared" si="29"/>
        <v>0</v>
      </c>
      <c r="BQ12" s="1" t="e">
        <f t="shared" si="30"/>
        <v>#N/A</v>
      </c>
      <c r="BR12" s="1" t="e">
        <f t="shared" si="5"/>
        <v>#N/A</v>
      </c>
      <c r="BS12" s="1" t="e">
        <f t="shared" si="31"/>
        <v>#N/A</v>
      </c>
      <c r="BT12" s="8" t="e" cm="1">
        <f t="array" ref="BT12">IF(BQ12="","", IFERROR(((IF(BQ$5&lt;&gt;"", BQ$5*BI$5, 0) + SUMPRODUCT(--(BQ$6:BQ12&lt;&gt;""), BQ$6:BQ12, (BI$6:BI12-BI$5:BI11)))/1000)/BP$3, ""))</f>
        <v>#N/A</v>
      </c>
      <c r="BU12" s="1">
        <f t="shared" si="32"/>
        <v>160</v>
      </c>
      <c r="BV12" s="1">
        <f t="shared" si="33"/>
        <v>0</v>
      </c>
      <c r="CC12" s="1" t="e">
        <f t="shared" si="34"/>
        <v>#N/A</v>
      </c>
      <c r="CD12" s="1" t="e">
        <f t="shared" si="6"/>
        <v>#N/A</v>
      </c>
      <c r="CE12" s="1" t="e">
        <f t="shared" si="35"/>
        <v>#N/A</v>
      </c>
      <c r="CF12" s="8" t="e" cm="1">
        <f t="array" ref="CF12">IF(CC12="","", IFERROR(((IF(CC$5&lt;&gt;"", CC$5*BU$5, 0) + SUMPRODUCT(--(CC$6:CC12&lt;&gt;""), CC$6:CC12, (BU$6:BU12-BU$5:BU11)))/1000)/CB$3, ""))</f>
        <v>#N/A</v>
      </c>
      <c r="CG12" s="1">
        <f t="shared" si="36"/>
        <v>160</v>
      </c>
      <c r="CH12" s="1">
        <f t="shared" si="37"/>
        <v>0</v>
      </c>
      <c r="CO12" s="1" t="e">
        <f t="shared" si="38"/>
        <v>#N/A</v>
      </c>
      <c r="CP12" s="1" t="e">
        <f t="shared" si="7"/>
        <v>#N/A</v>
      </c>
      <c r="CQ12" s="1" t="e">
        <f t="shared" si="39"/>
        <v>#N/A</v>
      </c>
      <c r="CR12" s="8" t="e" cm="1">
        <f t="array" ref="CR12">IF(CO12="","", IFERROR(((IF(CO$5&lt;&gt;"", CO$5*CG$5, 0) + SUMPRODUCT(--(CO$6:CO12&lt;&gt;""), CO$6:CO12, (CG$6:CG12-CG$5:CG11)))/1000)/CN$3, ""))</f>
        <v>#N/A</v>
      </c>
    </row>
    <row r="13" spans="1:96" x14ac:dyDescent="0.25">
      <c r="A13" s="1">
        <f t="shared" si="8"/>
        <v>180</v>
      </c>
      <c r="B13" s="1">
        <f t="shared" si="9"/>
        <v>0</v>
      </c>
      <c r="I13" s="1" t="e">
        <f t="shared" si="10"/>
        <v>#N/A</v>
      </c>
      <c r="J13" s="1" t="e">
        <f t="shared" si="0"/>
        <v>#N/A</v>
      </c>
      <c r="K13" s="1" t="e">
        <f t="shared" si="11"/>
        <v>#N/A</v>
      </c>
      <c r="L13" s="8" t="e" cm="1">
        <f t="array" ref="L13">IF(I13="","", IFERROR(((IF(I$5&lt;&gt;"", I$5*A$5, 0) + SUMPRODUCT(--(I$6:I13&lt;&gt;""), I$6:I13, (A$6:A13-A$5:A12)))/1000)/H$3, ""))</f>
        <v>#N/A</v>
      </c>
      <c r="M13" s="1">
        <f t="shared" si="12"/>
        <v>180</v>
      </c>
      <c r="N13" s="1">
        <f t="shared" si="13"/>
        <v>0</v>
      </c>
      <c r="U13" s="1" t="e">
        <f t="shared" si="14"/>
        <v>#N/A</v>
      </c>
      <c r="V13" s="1" t="e">
        <f t="shared" si="1"/>
        <v>#N/A</v>
      </c>
      <c r="W13" s="1" t="e">
        <f t="shared" si="15"/>
        <v>#N/A</v>
      </c>
      <c r="X13" s="8" t="e" cm="1">
        <f t="array" ref="X13">IF(U13="","", IFERROR(((IF(U$5&lt;&gt;"", U$5*M$5, 0) + SUMPRODUCT(--(U$6:U13&lt;&gt;""), U$6:U13, (M$6:M13-M$5:M12)))/1000)/T$3, ""))</f>
        <v>#N/A</v>
      </c>
      <c r="Y13" s="1">
        <f t="shared" si="16"/>
        <v>180</v>
      </c>
      <c r="Z13" s="1">
        <f t="shared" si="17"/>
        <v>0</v>
      </c>
      <c r="AG13" s="1" t="e">
        <f t="shared" si="18"/>
        <v>#N/A</v>
      </c>
      <c r="AH13" s="1" t="e">
        <f t="shared" si="2"/>
        <v>#N/A</v>
      </c>
      <c r="AI13" s="1" t="e">
        <f t="shared" si="19"/>
        <v>#N/A</v>
      </c>
      <c r="AJ13" s="8" t="e" cm="1">
        <f t="array" ref="AJ13">IF(AG13="","", IFERROR(((IF(AG$5&lt;&gt;"", AG$5*Y$5, 0) + SUMPRODUCT(--(AG$6:AG13&lt;&gt;""), AG$6:AG13, (Y$6:Y13-Y$5:Y12)))/1000)/AF$3, ""))</f>
        <v>#N/A</v>
      </c>
      <c r="AK13" s="1">
        <f t="shared" si="20"/>
        <v>180</v>
      </c>
      <c r="AL13" s="1">
        <f t="shared" si="21"/>
        <v>0</v>
      </c>
      <c r="AS13" s="1" t="e">
        <f t="shared" si="22"/>
        <v>#N/A</v>
      </c>
      <c r="AT13" s="1" t="e">
        <f t="shared" si="3"/>
        <v>#N/A</v>
      </c>
      <c r="AU13" s="1" t="e">
        <f t="shared" si="23"/>
        <v>#N/A</v>
      </c>
      <c r="AV13" s="8" t="e" cm="1">
        <f t="array" ref="AV13">IF(AS13="","", IFERROR(((IF(AS$5&lt;&gt;"", AS$5*AK$5, 0) + SUMPRODUCT(--(AS$6:AS13&lt;&gt;""), AS$6:AS13, (AK$6:AK13-AK$5:AK12)))/1000)/AR$3, ""))</f>
        <v>#N/A</v>
      </c>
      <c r="AW13" s="1">
        <f t="shared" si="24"/>
        <v>180</v>
      </c>
      <c r="AX13" s="1">
        <f t="shared" si="25"/>
        <v>0</v>
      </c>
      <c r="BE13" s="1" t="e">
        <f t="shared" si="26"/>
        <v>#N/A</v>
      </c>
      <c r="BF13" s="1" t="e">
        <f t="shared" si="4"/>
        <v>#N/A</v>
      </c>
      <c r="BG13" s="1" t="e">
        <f t="shared" si="27"/>
        <v>#N/A</v>
      </c>
      <c r="BH13" s="8" t="e" cm="1">
        <f t="array" ref="BH13">IF(BE13="","", IFERROR(((IF(BE$5&lt;&gt;"", BE$5*AW$5, 0) + SUMPRODUCT(--(BE$6:BE13&lt;&gt;""), BE$6:BE13, (AW$6:AW13-AW$5:AW12)))/1000)/BD$3, ""))</f>
        <v>#N/A</v>
      </c>
      <c r="BI13" s="1">
        <f t="shared" si="28"/>
        <v>180</v>
      </c>
      <c r="BJ13" s="1">
        <f t="shared" si="29"/>
        <v>0</v>
      </c>
      <c r="BQ13" s="1" t="e">
        <f t="shared" si="30"/>
        <v>#N/A</v>
      </c>
      <c r="BR13" s="1" t="e">
        <f t="shared" si="5"/>
        <v>#N/A</v>
      </c>
      <c r="BS13" s="1" t="e">
        <f t="shared" si="31"/>
        <v>#N/A</v>
      </c>
      <c r="BT13" s="8" t="e" cm="1">
        <f t="array" ref="BT13">IF(BQ13="","", IFERROR(((IF(BQ$5&lt;&gt;"", BQ$5*BI$5, 0) + SUMPRODUCT(--(BQ$6:BQ13&lt;&gt;""), BQ$6:BQ13, (BI$6:BI13-BI$5:BI12)))/1000)/BP$3, ""))</f>
        <v>#N/A</v>
      </c>
      <c r="BU13" s="1">
        <f t="shared" si="32"/>
        <v>180</v>
      </c>
      <c r="BV13" s="1">
        <f t="shared" si="33"/>
        <v>0</v>
      </c>
      <c r="CC13" s="1" t="e">
        <f t="shared" si="34"/>
        <v>#N/A</v>
      </c>
      <c r="CD13" s="1" t="e">
        <f t="shared" si="6"/>
        <v>#N/A</v>
      </c>
      <c r="CE13" s="1" t="e">
        <f t="shared" si="35"/>
        <v>#N/A</v>
      </c>
      <c r="CF13" s="8" t="e" cm="1">
        <f t="array" ref="CF13">IF(CC13="","", IFERROR(((IF(CC$5&lt;&gt;"", CC$5*BU$5, 0) + SUMPRODUCT(--(CC$6:CC13&lt;&gt;""), CC$6:CC13, (BU$6:BU13-BU$5:BU12)))/1000)/CB$3, ""))</f>
        <v>#N/A</v>
      </c>
      <c r="CG13" s="1">
        <f t="shared" si="36"/>
        <v>180</v>
      </c>
      <c r="CH13" s="1">
        <f t="shared" si="37"/>
        <v>0</v>
      </c>
      <c r="CO13" s="1" t="e">
        <f t="shared" si="38"/>
        <v>#N/A</v>
      </c>
      <c r="CP13" s="1" t="e">
        <f t="shared" si="7"/>
        <v>#N/A</v>
      </c>
      <c r="CQ13" s="1" t="e">
        <f t="shared" si="39"/>
        <v>#N/A</v>
      </c>
      <c r="CR13" s="8" t="e" cm="1">
        <f t="array" ref="CR13">IF(CO13="","", IFERROR(((IF(CO$5&lt;&gt;"", CO$5*CG$5, 0) + SUMPRODUCT(--(CO$6:CO13&lt;&gt;""), CO$6:CO13, (CG$6:CG13-CG$5:CG12)))/1000)/CN$3, ""))</f>
        <v>#N/A</v>
      </c>
    </row>
    <row r="14" spans="1:96" x14ac:dyDescent="0.25">
      <c r="A14" s="1">
        <f t="shared" si="8"/>
        <v>200</v>
      </c>
      <c r="B14" s="1">
        <f t="shared" si="9"/>
        <v>0</v>
      </c>
      <c r="I14" s="1" t="e">
        <f t="shared" si="10"/>
        <v>#N/A</v>
      </c>
      <c r="J14" s="1" t="e">
        <f t="shared" si="0"/>
        <v>#N/A</v>
      </c>
      <c r="K14" s="1" t="e">
        <f t="shared" si="11"/>
        <v>#N/A</v>
      </c>
      <c r="L14" s="8" t="e" cm="1">
        <f t="array" ref="L14">IF(I14="","", IFERROR(((IF(I$5&lt;&gt;"", I$5*A$5, 0) + SUMPRODUCT(--(I$6:I14&lt;&gt;""), I$6:I14, (A$6:A14-A$5:A13)))/1000)/H$3, ""))</f>
        <v>#N/A</v>
      </c>
      <c r="M14" s="1">
        <f t="shared" si="12"/>
        <v>200</v>
      </c>
      <c r="N14" s="1">
        <f t="shared" si="13"/>
        <v>0</v>
      </c>
      <c r="U14" s="1" t="e">
        <f t="shared" si="14"/>
        <v>#N/A</v>
      </c>
      <c r="V14" s="1" t="e">
        <f t="shared" si="1"/>
        <v>#N/A</v>
      </c>
      <c r="W14" s="1" t="e">
        <f t="shared" si="15"/>
        <v>#N/A</v>
      </c>
      <c r="X14" s="8" t="e" cm="1">
        <f t="array" ref="X14">IF(U14="","", IFERROR(((IF(U$5&lt;&gt;"", U$5*M$5, 0) + SUMPRODUCT(--(U$6:U14&lt;&gt;""), U$6:U14, (M$6:M14-M$5:M13)))/1000)/T$3, ""))</f>
        <v>#N/A</v>
      </c>
      <c r="Y14" s="1">
        <f t="shared" si="16"/>
        <v>200</v>
      </c>
      <c r="Z14" s="1">
        <f t="shared" si="17"/>
        <v>0</v>
      </c>
      <c r="AG14" s="1" t="e">
        <f t="shared" si="18"/>
        <v>#N/A</v>
      </c>
      <c r="AH14" s="1" t="e">
        <f t="shared" si="2"/>
        <v>#N/A</v>
      </c>
      <c r="AI14" s="1" t="e">
        <f t="shared" si="19"/>
        <v>#N/A</v>
      </c>
      <c r="AJ14" s="8" t="e" cm="1">
        <f t="array" ref="AJ14">IF(AG14="","", IFERROR(((IF(AG$5&lt;&gt;"", AG$5*Y$5, 0) + SUMPRODUCT(--(AG$6:AG14&lt;&gt;""), AG$6:AG14, (Y$6:Y14-Y$5:Y13)))/1000)/AF$3, ""))</f>
        <v>#N/A</v>
      </c>
      <c r="AK14" s="1">
        <f t="shared" si="20"/>
        <v>200</v>
      </c>
      <c r="AL14" s="1">
        <f t="shared" si="21"/>
        <v>0</v>
      </c>
      <c r="AS14" s="1" t="e">
        <f t="shared" si="22"/>
        <v>#N/A</v>
      </c>
      <c r="AT14" s="1" t="e">
        <f t="shared" si="3"/>
        <v>#N/A</v>
      </c>
      <c r="AU14" s="1" t="e">
        <f t="shared" si="23"/>
        <v>#N/A</v>
      </c>
      <c r="AV14" s="8" t="e" cm="1">
        <f t="array" ref="AV14">IF(AS14="","", IFERROR(((IF(AS$5&lt;&gt;"", AS$5*AK$5, 0) + SUMPRODUCT(--(AS$6:AS14&lt;&gt;""), AS$6:AS14, (AK$6:AK14-AK$5:AK13)))/1000)/AR$3, ""))</f>
        <v>#N/A</v>
      </c>
      <c r="AW14" s="1">
        <f t="shared" si="24"/>
        <v>200</v>
      </c>
      <c r="AX14" s="1">
        <f t="shared" si="25"/>
        <v>0</v>
      </c>
      <c r="BE14" s="1" t="e">
        <f t="shared" si="26"/>
        <v>#N/A</v>
      </c>
      <c r="BF14" s="1" t="e">
        <f t="shared" si="4"/>
        <v>#N/A</v>
      </c>
      <c r="BG14" s="1" t="e">
        <f t="shared" si="27"/>
        <v>#N/A</v>
      </c>
      <c r="BH14" s="8" t="e" cm="1">
        <f t="array" ref="BH14">IF(BE14="","", IFERROR(((IF(BE$5&lt;&gt;"", BE$5*AW$5, 0) + SUMPRODUCT(--(BE$6:BE14&lt;&gt;""), BE$6:BE14, (AW$6:AW14-AW$5:AW13)))/1000)/BD$3, ""))</f>
        <v>#N/A</v>
      </c>
      <c r="BI14" s="1">
        <f t="shared" si="28"/>
        <v>200</v>
      </c>
      <c r="BJ14" s="1">
        <f t="shared" si="29"/>
        <v>0</v>
      </c>
      <c r="BQ14" s="1" t="e">
        <f t="shared" si="30"/>
        <v>#N/A</v>
      </c>
      <c r="BR14" s="1" t="e">
        <f t="shared" si="5"/>
        <v>#N/A</v>
      </c>
      <c r="BS14" s="1" t="e">
        <f t="shared" si="31"/>
        <v>#N/A</v>
      </c>
      <c r="BT14" s="8" t="e" cm="1">
        <f t="array" ref="BT14">IF(BQ14="","", IFERROR(((IF(BQ$5&lt;&gt;"", BQ$5*BI$5, 0) + SUMPRODUCT(--(BQ$6:BQ14&lt;&gt;""), BQ$6:BQ14, (BI$6:BI14-BI$5:BI13)))/1000)/BP$3, ""))</f>
        <v>#N/A</v>
      </c>
      <c r="BU14" s="1">
        <f t="shared" si="32"/>
        <v>200</v>
      </c>
      <c r="BV14" s="1">
        <f t="shared" si="33"/>
        <v>0</v>
      </c>
      <c r="CC14" s="1" t="e">
        <f t="shared" si="34"/>
        <v>#N/A</v>
      </c>
      <c r="CD14" s="1" t="e">
        <f t="shared" si="6"/>
        <v>#N/A</v>
      </c>
      <c r="CE14" s="1" t="e">
        <f t="shared" si="35"/>
        <v>#N/A</v>
      </c>
      <c r="CF14" s="8" t="e" cm="1">
        <f t="array" ref="CF14">IF(CC14="","", IFERROR(((IF(CC$5&lt;&gt;"", CC$5*BU$5, 0) + SUMPRODUCT(--(CC$6:CC14&lt;&gt;""), CC$6:CC14, (BU$6:BU14-BU$5:BU13)))/1000)/CB$3, ""))</f>
        <v>#N/A</v>
      </c>
      <c r="CG14" s="1">
        <f t="shared" si="36"/>
        <v>200</v>
      </c>
      <c r="CH14" s="1">
        <f t="shared" si="37"/>
        <v>0</v>
      </c>
      <c r="CO14" s="1" t="e">
        <f t="shared" si="38"/>
        <v>#N/A</v>
      </c>
      <c r="CP14" s="1" t="e">
        <f t="shared" si="7"/>
        <v>#N/A</v>
      </c>
      <c r="CQ14" s="1" t="e">
        <f t="shared" si="39"/>
        <v>#N/A</v>
      </c>
      <c r="CR14" s="8" t="e" cm="1">
        <f t="array" ref="CR14">IF(CO14="","", IFERROR(((IF(CO$5&lt;&gt;"", CO$5*CG$5, 0) + SUMPRODUCT(--(CO$6:CO14&lt;&gt;""), CO$6:CO14, (CG$6:CG14-CG$5:CG13)))/1000)/CN$3, ""))</f>
        <v>#N/A</v>
      </c>
    </row>
    <row r="15" spans="1:96" x14ac:dyDescent="0.25">
      <c r="A15" s="1">
        <f t="shared" si="8"/>
        <v>220</v>
      </c>
      <c r="B15" s="1">
        <f t="shared" si="9"/>
        <v>0</v>
      </c>
      <c r="I15" s="1" t="e">
        <f t="shared" si="10"/>
        <v>#N/A</v>
      </c>
      <c r="J15" s="1" t="e">
        <f t="shared" si="0"/>
        <v>#N/A</v>
      </c>
      <c r="K15" s="1" t="e">
        <f t="shared" si="11"/>
        <v>#N/A</v>
      </c>
      <c r="L15" s="8" t="e" cm="1">
        <f t="array" ref="L15">IF(I15="","", IFERROR(((IF(I$5&lt;&gt;"", I$5*A$5, 0) + SUMPRODUCT(--(I$6:I15&lt;&gt;""), I$6:I15, (A$6:A15-A$5:A14)))/1000)/H$3, ""))</f>
        <v>#N/A</v>
      </c>
      <c r="M15" s="1">
        <f t="shared" si="12"/>
        <v>220</v>
      </c>
      <c r="N15" s="1">
        <f t="shared" si="13"/>
        <v>0</v>
      </c>
      <c r="U15" s="1" t="e">
        <f t="shared" si="14"/>
        <v>#N/A</v>
      </c>
      <c r="V15" s="1" t="e">
        <f t="shared" si="1"/>
        <v>#N/A</v>
      </c>
      <c r="W15" s="1" t="e">
        <f t="shared" si="15"/>
        <v>#N/A</v>
      </c>
      <c r="X15" s="8" t="e" cm="1">
        <f t="array" ref="X15">IF(U15="","", IFERROR(((IF(U$5&lt;&gt;"", U$5*M$5, 0) + SUMPRODUCT(--(U$6:U15&lt;&gt;""), U$6:U15, (M$6:M15-M$5:M14)))/1000)/T$3, ""))</f>
        <v>#N/A</v>
      </c>
      <c r="Y15" s="1">
        <f t="shared" si="16"/>
        <v>220</v>
      </c>
      <c r="Z15" s="1">
        <f t="shared" si="17"/>
        <v>0</v>
      </c>
      <c r="AG15" s="1" t="e">
        <f t="shared" si="18"/>
        <v>#N/A</v>
      </c>
      <c r="AH15" s="1" t="e">
        <f t="shared" si="2"/>
        <v>#N/A</v>
      </c>
      <c r="AI15" s="1" t="e">
        <f t="shared" si="19"/>
        <v>#N/A</v>
      </c>
      <c r="AJ15" s="8" t="e" cm="1">
        <f t="array" ref="AJ15">IF(AG15="","", IFERROR(((IF(AG$5&lt;&gt;"", AG$5*Y$5, 0) + SUMPRODUCT(--(AG$6:AG15&lt;&gt;""), AG$6:AG15, (Y$6:Y15-Y$5:Y14)))/1000)/AF$3, ""))</f>
        <v>#N/A</v>
      </c>
      <c r="AK15" s="1">
        <f t="shared" si="20"/>
        <v>220</v>
      </c>
      <c r="AL15" s="1">
        <f t="shared" si="21"/>
        <v>0</v>
      </c>
      <c r="AS15" s="1" t="e">
        <f t="shared" si="22"/>
        <v>#N/A</v>
      </c>
      <c r="AT15" s="1" t="e">
        <f t="shared" si="3"/>
        <v>#N/A</v>
      </c>
      <c r="AU15" s="1" t="e">
        <f t="shared" si="23"/>
        <v>#N/A</v>
      </c>
      <c r="AV15" s="8" t="e" cm="1">
        <f t="array" ref="AV15">IF(AS15="","", IFERROR(((IF(AS$5&lt;&gt;"", AS$5*AK$5, 0) + SUMPRODUCT(--(AS$6:AS15&lt;&gt;""), AS$6:AS15, (AK$6:AK15-AK$5:AK14)))/1000)/AR$3, ""))</f>
        <v>#N/A</v>
      </c>
      <c r="AW15" s="1">
        <f t="shared" si="24"/>
        <v>220</v>
      </c>
      <c r="AX15" s="1">
        <f t="shared" si="25"/>
        <v>0</v>
      </c>
      <c r="BE15" s="1" t="e">
        <f t="shared" si="26"/>
        <v>#N/A</v>
      </c>
      <c r="BF15" s="1" t="e">
        <f t="shared" si="4"/>
        <v>#N/A</v>
      </c>
      <c r="BG15" s="1" t="e">
        <f t="shared" si="27"/>
        <v>#N/A</v>
      </c>
      <c r="BH15" s="8" t="e" cm="1">
        <f t="array" ref="BH15">IF(BE15="","", IFERROR(((IF(BE$5&lt;&gt;"", BE$5*AW$5, 0) + SUMPRODUCT(--(BE$6:BE15&lt;&gt;""), BE$6:BE15, (AW$6:AW15-AW$5:AW14)))/1000)/BD$3, ""))</f>
        <v>#N/A</v>
      </c>
      <c r="BI15" s="1">
        <f t="shared" si="28"/>
        <v>220</v>
      </c>
      <c r="BJ15" s="1">
        <f t="shared" si="29"/>
        <v>0</v>
      </c>
      <c r="BQ15" s="1" t="e">
        <f t="shared" si="30"/>
        <v>#N/A</v>
      </c>
      <c r="BR15" s="1" t="e">
        <f t="shared" si="5"/>
        <v>#N/A</v>
      </c>
      <c r="BS15" s="1" t="e">
        <f t="shared" si="31"/>
        <v>#N/A</v>
      </c>
      <c r="BT15" s="8" t="e" cm="1">
        <f t="array" ref="BT15">IF(BQ15="","", IFERROR(((IF(BQ$5&lt;&gt;"", BQ$5*BI$5, 0) + SUMPRODUCT(--(BQ$6:BQ15&lt;&gt;""), BQ$6:BQ15, (BI$6:BI15-BI$5:BI14)))/1000)/BP$3, ""))</f>
        <v>#N/A</v>
      </c>
      <c r="BU15" s="1">
        <f t="shared" si="32"/>
        <v>220</v>
      </c>
      <c r="BV15" s="1">
        <f t="shared" si="33"/>
        <v>0</v>
      </c>
      <c r="CC15" s="1" t="e">
        <f t="shared" si="34"/>
        <v>#N/A</v>
      </c>
      <c r="CD15" s="1" t="e">
        <f t="shared" si="6"/>
        <v>#N/A</v>
      </c>
      <c r="CE15" s="1" t="e">
        <f t="shared" si="35"/>
        <v>#N/A</v>
      </c>
      <c r="CF15" s="8" t="e" cm="1">
        <f t="array" ref="CF15">IF(CC15="","", IFERROR(((IF(CC$5&lt;&gt;"", CC$5*BU$5, 0) + SUMPRODUCT(--(CC$6:CC15&lt;&gt;""), CC$6:CC15, (BU$6:BU15-BU$5:BU14)))/1000)/CB$3, ""))</f>
        <v>#N/A</v>
      </c>
      <c r="CG15" s="1">
        <f t="shared" si="36"/>
        <v>220</v>
      </c>
      <c r="CH15" s="1">
        <f t="shared" si="37"/>
        <v>0</v>
      </c>
      <c r="CO15" s="1" t="e">
        <f t="shared" si="38"/>
        <v>#N/A</v>
      </c>
      <c r="CP15" s="1" t="e">
        <f t="shared" si="7"/>
        <v>#N/A</v>
      </c>
      <c r="CQ15" s="1" t="e">
        <f t="shared" si="39"/>
        <v>#N/A</v>
      </c>
      <c r="CR15" s="8" t="e" cm="1">
        <f t="array" ref="CR15">IF(CO15="","", IFERROR(((IF(CO$5&lt;&gt;"", CO$5*CG$5, 0) + SUMPRODUCT(--(CO$6:CO15&lt;&gt;""), CO$6:CO15, (CG$6:CG15-CG$5:CG14)))/1000)/CN$3, ""))</f>
        <v>#N/A</v>
      </c>
    </row>
    <row r="16" spans="1:96" x14ac:dyDescent="0.25">
      <c r="A16" s="1">
        <f t="shared" si="8"/>
        <v>240</v>
      </c>
      <c r="B16" s="1">
        <f t="shared" si="9"/>
        <v>0</v>
      </c>
      <c r="I16" s="1" t="e">
        <f t="shared" si="10"/>
        <v>#N/A</v>
      </c>
      <c r="J16" s="1" t="e">
        <f t="shared" si="0"/>
        <v>#N/A</v>
      </c>
      <c r="K16" s="1" t="e">
        <f t="shared" si="11"/>
        <v>#N/A</v>
      </c>
      <c r="L16" s="8" t="e" cm="1">
        <f t="array" ref="L16">IF(I16="","", IFERROR(((IF(I$5&lt;&gt;"", I$5*A$5, 0) + SUMPRODUCT(--(I$6:I16&lt;&gt;""), I$6:I16, (A$6:A16-A$5:A15)))/1000)/H$3, ""))</f>
        <v>#N/A</v>
      </c>
      <c r="M16" s="1">
        <f t="shared" si="12"/>
        <v>240</v>
      </c>
      <c r="N16" s="1">
        <f t="shared" si="13"/>
        <v>0</v>
      </c>
      <c r="U16" s="1" t="e">
        <f t="shared" si="14"/>
        <v>#N/A</v>
      </c>
      <c r="V16" s="1" t="e">
        <f t="shared" si="1"/>
        <v>#N/A</v>
      </c>
      <c r="W16" s="1" t="e">
        <f t="shared" si="15"/>
        <v>#N/A</v>
      </c>
      <c r="X16" s="8" t="e" cm="1">
        <f t="array" ref="X16">IF(U16="","", IFERROR(((IF(U$5&lt;&gt;"", U$5*M$5, 0) + SUMPRODUCT(--(U$6:U16&lt;&gt;""), U$6:U16, (M$6:M16-M$5:M15)))/1000)/T$3, ""))</f>
        <v>#N/A</v>
      </c>
      <c r="Y16" s="1">
        <f t="shared" si="16"/>
        <v>240</v>
      </c>
      <c r="Z16" s="1">
        <f t="shared" si="17"/>
        <v>0</v>
      </c>
      <c r="AG16" s="1" t="e">
        <f t="shared" si="18"/>
        <v>#N/A</v>
      </c>
      <c r="AH16" s="1" t="e">
        <f t="shared" si="2"/>
        <v>#N/A</v>
      </c>
      <c r="AI16" s="1" t="e">
        <f t="shared" si="19"/>
        <v>#N/A</v>
      </c>
      <c r="AJ16" s="8" t="e" cm="1">
        <f t="array" ref="AJ16">IF(AG16="","", IFERROR(((IF(AG$5&lt;&gt;"", AG$5*Y$5, 0) + SUMPRODUCT(--(AG$6:AG16&lt;&gt;""), AG$6:AG16, (Y$6:Y16-Y$5:Y15)))/1000)/AF$3, ""))</f>
        <v>#N/A</v>
      </c>
      <c r="AK16" s="1">
        <f t="shared" si="20"/>
        <v>240</v>
      </c>
      <c r="AL16" s="1">
        <f t="shared" si="21"/>
        <v>0</v>
      </c>
      <c r="AS16" s="1" t="e">
        <f t="shared" si="22"/>
        <v>#N/A</v>
      </c>
      <c r="AT16" s="1" t="e">
        <f t="shared" si="3"/>
        <v>#N/A</v>
      </c>
      <c r="AU16" s="1" t="e">
        <f t="shared" si="23"/>
        <v>#N/A</v>
      </c>
      <c r="AV16" s="8" t="e" cm="1">
        <f t="array" ref="AV16">IF(AS16="","", IFERROR(((IF(AS$5&lt;&gt;"", AS$5*AK$5, 0) + SUMPRODUCT(--(AS$6:AS16&lt;&gt;""), AS$6:AS16, (AK$6:AK16-AK$5:AK15)))/1000)/AR$3, ""))</f>
        <v>#N/A</v>
      </c>
      <c r="AW16" s="1">
        <f t="shared" si="24"/>
        <v>240</v>
      </c>
      <c r="AX16" s="1">
        <f t="shared" si="25"/>
        <v>0</v>
      </c>
      <c r="BE16" s="1" t="e">
        <f t="shared" si="26"/>
        <v>#N/A</v>
      </c>
      <c r="BF16" s="1" t="e">
        <f t="shared" si="4"/>
        <v>#N/A</v>
      </c>
      <c r="BG16" s="1" t="e">
        <f t="shared" si="27"/>
        <v>#N/A</v>
      </c>
      <c r="BH16" s="8" t="e" cm="1">
        <f t="array" ref="BH16">IF(BE16="","", IFERROR(((IF(BE$5&lt;&gt;"", BE$5*AW$5, 0) + SUMPRODUCT(--(BE$6:BE16&lt;&gt;""), BE$6:BE16, (AW$6:AW16-AW$5:AW15)))/1000)/BD$3, ""))</f>
        <v>#N/A</v>
      </c>
      <c r="BI16" s="1">
        <f t="shared" si="28"/>
        <v>240</v>
      </c>
      <c r="BJ16" s="1">
        <f t="shared" si="29"/>
        <v>0</v>
      </c>
      <c r="BQ16" s="1" t="e">
        <f t="shared" si="30"/>
        <v>#N/A</v>
      </c>
      <c r="BR16" s="1" t="e">
        <f t="shared" si="5"/>
        <v>#N/A</v>
      </c>
      <c r="BS16" s="1" t="e">
        <f t="shared" si="31"/>
        <v>#N/A</v>
      </c>
      <c r="BT16" s="8" t="e" cm="1">
        <f t="array" ref="BT16">IF(BQ16="","", IFERROR(((IF(BQ$5&lt;&gt;"", BQ$5*BI$5, 0) + SUMPRODUCT(--(BQ$6:BQ16&lt;&gt;""), BQ$6:BQ16, (BI$6:BI16-BI$5:BI15)))/1000)/BP$3, ""))</f>
        <v>#N/A</v>
      </c>
      <c r="BU16" s="1">
        <f t="shared" si="32"/>
        <v>240</v>
      </c>
      <c r="BV16" s="1">
        <f t="shared" si="33"/>
        <v>0</v>
      </c>
      <c r="CC16" s="1" t="e">
        <f t="shared" si="34"/>
        <v>#N/A</v>
      </c>
      <c r="CD16" s="1" t="e">
        <f t="shared" si="6"/>
        <v>#N/A</v>
      </c>
      <c r="CE16" s="1" t="e">
        <f t="shared" si="35"/>
        <v>#N/A</v>
      </c>
      <c r="CF16" s="8" t="e" cm="1">
        <f t="array" ref="CF16">IF(CC16="","", IFERROR(((IF(CC$5&lt;&gt;"", CC$5*BU$5, 0) + SUMPRODUCT(--(CC$6:CC16&lt;&gt;""), CC$6:CC16, (BU$6:BU16-BU$5:BU15)))/1000)/CB$3, ""))</f>
        <v>#N/A</v>
      </c>
      <c r="CG16" s="1">
        <f t="shared" si="36"/>
        <v>240</v>
      </c>
      <c r="CH16" s="1">
        <f t="shared" si="37"/>
        <v>0</v>
      </c>
      <c r="CO16" s="1" t="e">
        <f t="shared" si="38"/>
        <v>#N/A</v>
      </c>
      <c r="CP16" s="1" t="e">
        <f t="shared" si="7"/>
        <v>#N/A</v>
      </c>
      <c r="CQ16" s="1" t="e">
        <f t="shared" si="39"/>
        <v>#N/A</v>
      </c>
      <c r="CR16" s="8" t="e" cm="1">
        <f t="array" ref="CR16">IF(CO16="","", IFERROR(((IF(CO$5&lt;&gt;"", CO$5*CG$5, 0) + SUMPRODUCT(--(CO$6:CO16&lt;&gt;""), CO$6:CO16, (CG$6:CG16-CG$5:CG15)))/1000)/CN$3, ""))</f>
        <v>#N/A</v>
      </c>
    </row>
    <row r="17" spans="1:96" x14ac:dyDescent="0.25">
      <c r="A17" s="1">
        <f t="shared" si="8"/>
        <v>260</v>
      </c>
      <c r="B17" s="1">
        <f t="shared" si="9"/>
        <v>0</v>
      </c>
      <c r="I17" s="1" t="e">
        <f t="shared" si="10"/>
        <v>#N/A</v>
      </c>
      <c r="J17" s="1" t="e">
        <f t="shared" si="0"/>
        <v>#N/A</v>
      </c>
      <c r="K17" s="1" t="e">
        <f t="shared" si="11"/>
        <v>#N/A</v>
      </c>
      <c r="L17" s="8" t="e" cm="1">
        <f t="array" ref="L17">IF(I17="","", IFERROR(((IF(I$5&lt;&gt;"", I$5*A$5, 0) + SUMPRODUCT(--(I$6:I17&lt;&gt;""), I$6:I17, (A$6:A17-A$5:A16)))/1000)/H$3, ""))</f>
        <v>#N/A</v>
      </c>
      <c r="M17" s="1">
        <f t="shared" si="12"/>
        <v>260</v>
      </c>
      <c r="N17" s="1">
        <f t="shared" si="13"/>
        <v>0</v>
      </c>
      <c r="U17" s="1" t="e">
        <f t="shared" si="14"/>
        <v>#N/A</v>
      </c>
      <c r="V17" s="1" t="e">
        <f t="shared" si="1"/>
        <v>#N/A</v>
      </c>
      <c r="W17" s="1" t="e">
        <f t="shared" si="15"/>
        <v>#N/A</v>
      </c>
      <c r="X17" s="8" t="e" cm="1">
        <f t="array" ref="X17">IF(U17="","", IFERROR(((IF(U$5&lt;&gt;"", U$5*M$5, 0) + SUMPRODUCT(--(U$6:U17&lt;&gt;""), U$6:U17, (M$6:M17-M$5:M16)))/1000)/T$3, ""))</f>
        <v>#N/A</v>
      </c>
      <c r="Y17" s="1">
        <f t="shared" si="16"/>
        <v>260</v>
      </c>
      <c r="Z17" s="1">
        <f t="shared" si="17"/>
        <v>0</v>
      </c>
      <c r="AG17" s="1" t="e">
        <f t="shared" si="18"/>
        <v>#N/A</v>
      </c>
      <c r="AH17" s="1" t="e">
        <f t="shared" si="2"/>
        <v>#N/A</v>
      </c>
      <c r="AI17" s="1" t="e">
        <f t="shared" si="19"/>
        <v>#N/A</v>
      </c>
      <c r="AJ17" s="8" t="e" cm="1">
        <f t="array" ref="AJ17">IF(AG17="","", IFERROR(((IF(AG$5&lt;&gt;"", AG$5*Y$5, 0) + SUMPRODUCT(--(AG$6:AG17&lt;&gt;""), AG$6:AG17, (Y$6:Y17-Y$5:Y16)))/1000)/AF$3, ""))</f>
        <v>#N/A</v>
      </c>
      <c r="AK17" s="1">
        <f t="shared" si="20"/>
        <v>260</v>
      </c>
      <c r="AL17" s="1">
        <f t="shared" si="21"/>
        <v>0</v>
      </c>
      <c r="AS17" s="1" t="e">
        <f t="shared" si="22"/>
        <v>#N/A</v>
      </c>
      <c r="AT17" s="1" t="e">
        <f t="shared" si="3"/>
        <v>#N/A</v>
      </c>
      <c r="AU17" s="1" t="e">
        <f t="shared" si="23"/>
        <v>#N/A</v>
      </c>
      <c r="AV17" s="8" t="e" cm="1">
        <f t="array" ref="AV17">IF(AS17="","", IFERROR(((IF(AS$5&lt;&gt;"", AS$5*AK$5, 0) + SUMPRODUCT(--(AS$6:AS17&lt;&gt;""), AS$6:AS17, (AK$6:AK17-AK$5:AK16)))/1000)/AR$3, ""))</f>
        <v>#N/A</v>
      </c>
      <c r="AW17" s="1">
        <f t="shared" si="24"/>
        <v>260</v>
      </c>
      <c r="AX17" s="1">
        <f t="shared" si="25"/>
        <v>0</v>
      </c>
      <c r="BE17" s="1" t="e">
        <f t="shared" si="26"/>
        <v>#N/A</v>
      </c>
      <c r="BF17" s="1" t="e">
        <f t="shared" si="4"/>
        <v>#N/A</v>
      </c>
      <c r="BG17" s="1" t="e">
        <f t="shared" si="27"/>
        <v>#N/A</v>
      </c>
      <c r="BH17" s="8" t="e" cm="1">
        <f t="array" ref="BH17">IF(BE17="","", IFERROR(((IF(BE$5&lt;&gt;"", BE$5*AW$5, 0) + SUMPRODUCT(--(BE$6:BE17&lt;&gt;""), BE$6:BE17, (AW$6:AW17-AW$5:AW16)))/1000)/BD$3, ""))</f>
        <v>#N/A</v>
      </c>
      <c r="BI17" s="1">
        <f t="shared" si="28"/>
        <v>260</v>
      </c>
      <c r="BJ17" s="1">
        <f t="shared" si="29"/>
        <v>0</v>
      </c>
      <c r="BQ17" s="1" t="e">
        <f t="shared" si="30"/>
        <v>#N/A</v>
      </c>
      <c r="BR17" s="1" t="e">
        <f t="shared" si="5"/>
        <v>#N/A</v>
      </c>
      <c r="BS17" s="1" t="e">
        <f t="shared" si="31"/>
        <v>#N/A</v>
      </c>
      <c r="BT17" s="8" t="e" cm="1">
        <f t="array" ref="BT17">IF(BQ17="","", IFERROR(((IF(BQ$5&lt;&gt;"", BQ$5*BI$5, 0) + SUMPRODUCT(--(BQ$6:BQ17&lt;&gt;""), BQ$6:BQ17, (BI$6:BI17-BI$5:BI16)))/1000)/BP$3, ""))</f>
        <v>#N/A</v>
      </c>
      <c r="BU17" s="1">
        <f t="shared" si="32"/>
        <v>260</v>
      </c>
      <c r="BV17" s="1">
        <f t="shared" si="33"/>
        <v>0</v>
      </c>
      <c r="CC17" s="1" t="e">
        <f t="shared" si="34"/>
        <v>#N/A</v>
      </c>
      <c r="CD17" s="1" t="e">
        <f t="shared" si="6"/>
        <v>#N/A</v>
      </c>
      <c r="CE17" s="1" t="e">
        <f t="shared" si="35"/>
        <v>#N/A</v>
      </c>
      <c r="CF17" s="8" t="e" cm="1">
        <f t="array" ref="CF17">IF(CC17="","", IFERROR(((IF(CC$5&lt;&gt;"", CC$5*BU$5, 0) + SUMPRODUCT(--(CC$6:CC17&lt;&gt;""), CC$6:CC17, (BU$6:BU17-BU$5:BU16)))/1000)/CB$3, ""))</f>
        <v>#N/A</v>
      </c>
      <c r="CG17" s="1">
        <f t="shared" si="36"/>
        <v>260</v>
      </c>
      <c r="CH17" s="1">
        <f t="shared" si="37"/>
        <v>0</v>
      </c>
      <c r="CO17" s="1" t="e">
        <f t="shared" si="38"/>
        <v>#N/A</v>
      </c>
      <c r="CP17" s="1" t="e">
        <f t="shared" si="7"/>
        <v>#N/A</v>
      </c>
      <c r="CQ17" s="1" t="e">
        <f t="shared" si="39"/>
        <v>#N/A</v>
      </c>
      <c r="CR17" s="8" t="e" cm="1">
        <f t="array" ref="CR17">IF(CO17="","", IFERROR(((IF(CO$5&lt;&gt;"", CO$5*CG$5, 0) + SUMPRODUCT(--(CO$6:CO17&lt;&gt;""), CO$6:CO17, (CG$6:CG17-CG$5:CG16)))/1000)/CN$3, ""))</f>
        <v>#N/A</v>
      </c>
    </row>
    <row r="18" spans="1:96" x14ac:dyDescent="0.25">
      <c r="A18" s="1">
        <f t="shared" si="8"/>
        <v>280</v>
      </c>
      <c r="B18" s="1">
        <f t="shared" si="9"/>
        <v>0</v>
      </c>
      <c r="I18" s="1" t="e">
        <f t="shared" si="10"/>
        <v>#N/A</v>
      </c>
      <c r="J18" s="1" t="e">
        <f t="shared" si="0"/>
        <v>#N/A</v>
      </c>
      <c r="K18" s="1" t="e">
        <f t="shared" si="11"/>
        <v>#N/A</v>
      </c>
      <c r="L18" s="8" t="e" cm="1">
        <f t="array" ref="L18">IF(I18="","", IFERROR(((IF(I$5&lt;&gt;"", I$5*A$5, 0) + SUMPRODUCT(--(I$6:I18&lt;&gt;""), I$6:I18, (A$6:A18-A$5:A17)))/1000)/H$3, ""))</f>
        <v>#N/A</v>
      </c>
      <c r="M18" s="1">
        <f t="shared" si="12"/>
        <v>280</v>
      </c>
      <c r="N18" s="1">
        <f t="shared" si="13"/>
        <v>0</v>
      </c>
      <c r="U18" s="1" t="e">
        <f t="shared" si="14"/>
        <v>#N/A</v>
      </c>
      <c r="V18" s="1" t="e">
        <f t="shared" si="1"/>
        <v>#N/A</v>
      </c>
      <c r="W18" s="1" t="e">
        <f t="shared" si="15"/>
        <v>#N/A</v>
      </c>
      <c r="X18" s="8" t="e" cm="1">
        <f t="array" ref="X18">IF(U18="","", IFERROR(((IF(U$5&lt;&gt;"", U$5*M$5, 0) + SUMPRODUCT(--(U$6:U18&lt;&gt;""), U$6:U18, (M$6:M18-M$5:M17)))/1000)/T$3, ""))</f>
        <v>#N/A</v>
      </c>
      <c r="Y18" s="1">
        <f t="shared" si="16"/>
        <v>280</v>
      </c>
      <c r="Z18" s="1">
        <f t="shared" si="17"/>
        <v>0</v>
      </c>
      <c r="AG18" s="1" t="e">
        <f t="shared" si="18"/>
        <v>#N/A</v>
      </c>
      <c r="AH18" s="1" t="e">
        <f t="shared" si="2"/>
        <v>#N/A</v>
      </c>
      <c r="AI18" s="1" t="e">
        <f t="shared" si="19"/>
        <v>#N/A</v>
      </c>
      <c r="AJ18" s="8" t="e" cm="1">
        <f t="array" ref="AJ18">IF(AG18="","", IFERROR(((IF(AG$5&lt;&gt;"", AG$5*Y$5, 0) + SUMPRODUCT(--(AG$6:AG18&lt;&gt;""), AG$6:AG18, (Y$6:Y18-Y$5:Y17)))/1000)/AF$3, ""))</f>
        <v>#N/A</v>
      </c>
      <c r="AK18" s="1">
        <f t="shared" si="20"/>
        <v>280</v>
      </c>
      <c r="AL18" s="1">
        <f t="shared" si="21"/>
        <v>0</v>
      </c>
      <c r="AS18" s="1" t="e">
        <f t="shared" si="22"/>
        <v>#N/A</v>
      </c>
      <c r="AT18" s="1" t="e">
        <f t="shared" si="3"/>
        <v>#N/A</v>
      </c>
      <c r="AU18" s="1" t="e">
        <f t="shared" si="23"/>
        <v>#N/A</v>
      </c>
      <c r="AV18" s="8" t="e" cm="1">
        <f t="array" ref="AV18">IF(AS18="","", IFERROR(((IF(AS$5&lt;&gt;"", AS$5*AK$5, 0) + SUMPRODUCT(--(AS$6:AS18&lt;&gt;""), AS$6:AS18, (AK$6:AK18-AK$5:AK17)))/1000)/AR$3, ""))</f>
        <v>#N/A</v>
      </c>
      <c r="AW18" s="1">
        <f t="shared" si="24"/>
        <v>280</v>
      </c>
      <c r="AX18" s="1">
        <f t="shared" si="25"/>
        <v>0</v>
      </c>
      <c r="BE18" s="1" t="e">
        <f t="shared" si="26"/>
        <v>#N/A</v>
      </c>
      <c r="BF18" s="1" t="e">
        <f t="shared" si="4"/>
        <v>#N/A</v>
      </c>
      <c r="BG18" s="1" t="e">
        <f t="shared" si="27"/>
        <v>#N/A</v>
      </c>
      <c r="BH18" s="8" t="e" cm="1">
        <f t="array" ref="BH18">IF(BE18="","", IFERROR(((IF(BE$5&lt;&gt;"", BE$5*AW$5, 0) + SUMPRODUCT(--(BE$6:BE18&lt;&gt;""), BE$6:BE18, (AW$6:AW18-AW$5:AW17)))/1000)/BD$3, ""))</f>
        <v>#N/A</v>
      </c>
      <c r="BI18" s="1">
        <f t="shared" si="28"/>
        <v>280</v>
      </c>
      <c r="BJ18" s="1">
        <f t="shared" si="29"/>
        <v>0</v>
      </c>
      <c r="BQ18" s="1" t="e">
        <f t="shared" si="30"/>
        <v>#N/A</v>
      </c>
      <c r="BR18" s="1" t="e">
        <f t="shared" si="5"/>
        <v>#N/A</v>
      </c>
      <c r="BS18" s="1" t="e">
        <f t="shared" si="31"/>
        <v>#N/A</v>
      </c>
      <c r="BT18" s="8" t="e" cm="1">
        <f t="array" ref="BT18">IF(BQ18="","", IFERROR(((IF(BQ$5&lt;&gt;"", BQ$5*BI$5, 0) + SUMPRODUCT(--(BQ$6:BQ18&lt;&gt;""), BQ$6:BQ18, (BI$6:BI18-BI$5:BI17)))/1000)/BP$3, ""))</f>
        <v>#N/A</v>
      </c>
      <c r="BU18" s="1">
        <f t="shared" si="32"/>
        <v>280</v>
      </c>
      <c r="BV18" s="1">
        <f t="shared" si="33"/>
        <v>0</v>
      </c>
      <c r="CC18" s="1" t="e">
        <f t="shared" si="34"/>
        <v>#N/A</v>
      </c>
      <c r="CD18" s="1" t="e">
        <f t="shared" si="6"/>
        <v>#N/A</v>
      </c>
      <c r="CE18" s="1" t="e">
        <f t="shared" si="35"/>
        <v>#N/A</v>
      </c>
      <c r="CF18" s="8" t="e" cm="1">
        <f t="array" ref="CF18">IF(CC18="","", IFERROR(((IF(CC$5&lt;&gt;"", CC$5*BU$5, 0) + SUMPRODUCT(--(CC$6:CC18&lt;&gt;""), CC$6:CC18, (BU$6:BU18-BU$5:BU17)))/1000)/CB$3, ""))</f>
        <v>#N/A</v>
      </c>
      <c r="CG18" s="1">
        <f t="shared" si="36"/>
        <v>280</v>
      </c>
      <c r="CH18" s="1">
        <f t="shared" si="37"/>
        <v>0</v>
      </c>
      <c r="CO18" s="1" t="e">
        <f t="shared" si="38"/>
        <v>#N/A</v>
      </c>
      <c r="CP18" s="1" t="e">
        <f t="shared" si="7"/>
        <v>#N/A</v>
      </c>
      <c r="CQ18" s="1" t="e">
        <f t="shared" si="39"/>
        <v>#N/A</v>
      </c>
      <c r="CR18" s="8" t="e" cm="1">
        <f t="array" ref="CR18">IF(CO18="","", IFERROR(((IF(CO$5&lt;&gt;"", CO$5*CG$5, 0) + SUMPRODUCT(--(CO$6:CO18&lt;&gt;""), CO$6:CO18, (CG$6:CG18-CG$5:CG17)))/1000)/CN$3, ""))</f>
        <v>#N/A</v>
      </c>
    </row>
    <row r="19" spans="1:96" x14ac:dyDescent="0.25">
      <c r="A19" s="1">
        <f t="shared" si="8"/>
        <v>300</v>
      </c>
      <c r="B19" s="1">
        <f t="shared" si="9"/>
        <v>0</v>
      </c>
      <c r="I19" s="1" t="e">
        <f t="shared" si="10"/>
        <v>#N/A</v>
      </c>
      <c r="J19" s="1" t="e">
        <f t="shared" si="0"/>
        <v>#N/A</v>
      </c>
      <c r="K19" s="1" t="e">
        <f t="shared" si="11"/>
        <v>#N/A</v>
      </c>
      <c r="L19" s="8" t="e" cm="1">
        <f t="array" ref="L19">IF(I19="","", IFERROR(((IF(I$5&lt;&gt;"", I$5*A$5, 0) + SUMPRODUCT(--(I$6:I19&lt;&gt;""), I$6:I19, (A$6:A19-A$5:A18)))/1000)/H$3, ""))</f>
        <v>#N/A</v>
      </c>
      <c r="M19" s="1">
        <f t="shared" si="12"/>
        <v>300</v>
      </c>
      <c r="N19" s="1">
        <f t="shared" si="13"/>
        <v>0</v>
      </c>
      <c r="U19" s="1" t="e">
        <f t="shared" si="14"/>
        <v>#N/A</v>
      </c>
      <c r="V19" s="1" t="e">
        <f t="shared" si="1"/>
        <v>#N/A</v>
      </c>
      <c r="W19" s="1" t="e">
        <f t="shared" si="15"/>
        <v>#N/A</v>
      </c>
      <c r="X19" s="8" t="e" cm="1">
        <f t="array" ref="X19">IF(U19="","", IFERROR(((IF(U$5&lt;&gt;"", U$5*M$5, 0) + SUMPRODUCT(--(U$6:U19&lt;&gt;""), U$6:U19, (M$6:M19-M$5:M18)))/1000)/T$3, ""))</f>
        <v>#N/A</v>
      </c>
      <c r="Y19" s="1">
        <f t="shared" si="16"/>
        <v>300</v>
      </c>
      <c r="Z19" s="1">
        <f t="shared" si="17"/>
        <v>0</v>
      </c>
      <c r="AG19" s="1" t="e">
        <f t="shared" si="18"/>
        <v>#N/A</v>
      </c>
      <c r="AH19" s="1" t="e">
        <f t="shared" si="2"/>
        <v>#N/A</v>
      </c>
      <c r="AI19" s="1" t="e">
        <f t="shared" si="19"/>
        <v>#N/A</v>
      </c>
      <c r="AJ19" s="8" t="e" cm="1">
        <f t="array" ref="AJ19">IF(AG19="","", IFERROR(((IF(AG$5&lt;&gt;"", AG$5*Y$5, 0) + SUMPRODUCT(--(AG$6:AG19&lt;&gt;""), AG$6:AG19, (Y$6:Y19-Y$5:Y18)))/1000)/AF$3, ""))</f>
        <v>#N/A</v>
      </c>
      <c r="AK19" s="1">
        <f t="shared" si="20"/>
        <v>300</v>
      </c>
      <c r="AL19" s="1">
        <f t="shared" si="21"/>
        <v>0</v>
      </c>
      <c r="AS19" s="1" t="e">
        <f t="shared" si="22"/>
        <v>#N/A</v>
      </c>
      <c r="AT19" s="1" t="e">
        <f t="shared" si="3"/>
        <v>#N/A</v>
      </c>
      <c r="AU19" s="1" t="e">
        <f t="shared" si="23"/>
        <v>#N/A</v>
      </c>
      <c r="AV19" s="8" t="e" cm="1">
        <f t="array" ref="AV19">IF(AS19="","", IFERROR(((IF(AS$5&lt;&gt;"", AS$5*AK$5, 0) + SUMPRODUCT(--(AS$6:AS19&lt;&gt;""), AS$6:AS19, (AK$6:AK19-AK$5:AK18)))/1000)/AR$3, ""))</f>
        <v>#N/A</v>
      </c>
      <c r="AW19" s="1">
        <f t="shared" si="24"/>
        <v>300</v>
      </c>
      <c r="AX19" s="1">
        <f t="shared" si="25"/>
        <v>0</v>
      </c>
      <c r="BE19" s="1" t="e">
        <f t="shared" si="26"/>
        <v>#N/A</v>
      </c>
      <c r="BF19" s="1" t="e">
        <f t="shared" si="4"/>
        <v>#N/A</v>
      </c>
      <c r="BG19" s="1" t="e">
        <f t="shared" si="27"/>
        <v>#N/A</v>
      </c>
      <c r="BH19" s="8" t="e" cm="1">
        <f t="array" ref="BH19">IF(BE19="","", IFERROR(((IF(BE$5&lt;&gt;"", BE$5*AW$5, 0) + SUMPRODUCT(--(BE$6:BE19&lt;&gt;""), BE$6:BE19, (AW$6:AW19-AW$5:AW18)))/1000)/BD$3, ""))</f>
        <v>#N/A</v>
      </c>
      <c r="BI19" s="1">
        <f t="shared" si="28"/>
        <v>300</v>
      </c>
      <c r="BJ19" s="1">
        <f t="shared" si="29"/>
        <v>0</v>
      </c>
      <c r="BQ19" s="1" t="e">
        <f t="shared" si="30"/>
        <v>#N/A</v>
      </c>
      <c r="BR19" s="1" t="e">
        <f t="shared" si="5"/>
        <v>#N/A</v>
      </c>
      <c r="BS19" s="1" t="e">
        <f t="shared" si="31"/>
        <v>#N/A</v>
      </c>
      <c r="BT19" s="8" t="e" cm="1">
        <f t="array" ref="BT19">IF(BQ19="","", IFERROR(((IF(BQ$5&lt;&gt;"", BQ$5*BI$5, 0) + SUMPRODUCT(--(BQ$6:BQ19&lt;&gt;""), BQ$6:BQ19, (BI$6:BI19-BI$5:BI18)))/1000)/BP$3, ""))</f>
        <v>#N/A</v>
      </c>
      <c r="BU19" s="1">
        <f t="shared" si="32"/>
        <v>300</v>
      </c>
      <c r="BV19" s="1">
        <f t="shared" si="33"/>
        <v>0</v>
      </c>
      <c r="CC19" s="1" t="e">
        <f t="shared" si="34"/>
        <v>#N/A</v>
      </c>
      <c r="CD19" s="1" t="e">
        <f t="shared" si="6"/>
        <v>#N/A</v>
      </c>
      <c r="CE19" s="1" t="e">
        <f t="shared" si="35"/>
        <v>#N/A</v>
      </c>
      <c r="CF19" s="8" t="e" cm="1">
        <f t="array" ref="CF19">IF(CC19="","", IFERROR(((IF(CC$5&lt;&gt;"", CC$5*BU$5, 0) + SUMPRODUCT(--(CC$6:CC19&lt;&gt;""), CC$6:CC19, (BU$6:BU19-BU$5:BU18)))/1000)/CB$3, ""))</f>
        <v>#N/A</v>
      </c>
      <c r="CG19" s="1">
        <f t="shared" si="36"/>
        <v>300</v>
      </c>
      <c r="CH19" s="1">
        <f t="shared" si="37"/>
        <v>0</v>
      </c>
      <c r="CO19" s="1" t="e">
        <f t="shared" si="38"/>
        <v>#N/A</v>
      </c>
      <c r="CP19" s="1" t="e">
        <f t="shared" si="7"/>
        <v>#N/A</v>
      </c>
      <c r="CQ19" s="1" t="e">
        <f t="shared" si="39"/>
        <v>#N/A</v>
      </c>
      <c r="CR19" s="8" t="e" cm="1">
        <f t="array" ref="CR19">IF(CO19="","", IFERROR(((IF(CO$5&lt;&gt;"", CO$5*CG$5, 0) + SUMPRODUCT(--(CO$6:CO19&lt;&gt;""), CO$6:CO19, (CG$6:CG19-CG$5:CG18)))/1000)/CN$3, ""))</f>
        <v>#N/A</v>
      </c>
    </row>
    <row r="20" spans="1:96" x14ac:dyDescent="0.25">
      <c r="A20" s="1">
        <f t="shared" si="8"/>
        <v>320</v>
      </c>
      <c r="B20" s="1">
        <f t="shared" si="9"/>
        <v>0</v>
      </c>
      <c r="I20" s="1" t="e">
        <f t="shared" si="10"/>
        <v>#N/A</v>
      </c>
      <c r="J20" s="1" t="e">
        <f t="shared" si="0"/>
        <v>#N/A</v>
      </c>
      <c r="K20" s="1" t="e">
        <f t="shared" si="11"/>
        <v>#N/A</v>
      </c>
      <c r="L20" s="8" t="e" cm="1">
        <f t="array" ref="L20">IF(I20="","", IFERROR(((IF(I$5&lt;&gt;"", I$5*A$5, 0) + SUMPRODUCT(--(I$6:I20&lt;&gt;""), I$6:I20, (A$6:A20-A$5:A19)))/1000)/H$3, ""))</f>
        <v>#N/A</v>
      </c>
      <c r="M20" s="1">
        <f t="shared" si="12"/>
        <v>320</v>
      </c>
      <c r="N20" s="1">
        <f t="shared" si="13"/>
        <v>0</v>
      </c>
      <c r="U20" s="1" t="e">
        <f t="shared" si="14"/>
        <v>#N/A</v>
      </c>
      <c r="V20" s="1" t="e">
        <f t="shared" si="1"/>
        <v>#N/A</v>
      </c>
      <c r="W20" s="1" t="e">
        <f t="shared" si="15"/>
        <v>#N/A</v>
      </c>
      <c r="X20" s="8" t="e" cm="1">
        <f t="array" ref="X20">IF(U20="","", IFERROR(((IF(U$5&lt;&gt;"", U$5*M$5, 0) + SUMPRODUCT(--(U$6:U20&lt;&gt;""), U$6:U20, (M$6:M20-M$5:M19)))/1000)/T$3, ""))</f>
        <v>#N/A</v>
      </c>
      <c r="Y20" s="1">
        <f t="shared" si="16"/>
        <v>320</v>
      </c>
      <c r="Z20" s="1">
        <f t="shared" si="17"/>
        <v>0</v>
      </c>
      <c r="AG20" s="1" t="e">
        <f t="shared" si="18"/>
        <v>#N/A</v>
      </c>
      <c r="AH20" s="1" t="e">
        <f t="shared" si="2"/>
        <v>#N/A</v>
      </c>
      <c r="AI20" s="1" t="e">
        <f t="shared" si="19"/>
        <v>#N/A</v>
      </c>
      <c r="AJ20" s="8" t="e" cm="1">
        <f t="array" ref="AJ20">IF(AG20="","", IFERROR(((IF(AG$5&lt;&gt;"", AG$5*Y$5, 0) + SUMPRODUCT(--(AG$6:AG20&lt;&gt;""), AG$6:AG20, (Y$6:Y20-Y$5:Y19)))/1000)/AF$3, ""))</f>
        <v>#N/A</v>
      </c>
      <c r="AK20" s="1">
        <f t="shared" si="20"/>
        <v>320</v>
      </c>
      <c r="AL20" s="1">
        <f t="shared" si="21"/>
        <v>0</v>
      </c>
      <c r="AS20" s="1" t="e">
        <f t="shared" si="22"/>
        <v>#N/A</v>
      </c>
      <c r="AT20" s="1" t="e">
        <f t="shared" si="3"/>
        <v>#N/A</v>
      </c>
      <c r="AU20" s="1" t="e">
        <f t="shared" si="23"/>
        <v>#N/A</v>
      </c>
      <c r="AV20" s="8" t="e" cm="1">
        <f t="array" ref="AV20">IF(AS20="","", IFERROR(((IF(AS$5&lt;&gt;"", AS$5*AK$5, 0) + SUMPRODUCT(--(AS$6:AS20&lt;&gt;""), AS$6:AS20, (AK$6:AK20-AK$5:AK19)))/1000)/AR$3, ""))</f>
        <v>#N/A</v>
      </c>
      <c r="AW20" s="1">
        <f t="shared" si="24"/>
        <v>320</v>
      </c>
      <c r="AX20" s="1">
        <f t="shared" si="25"/>
        <v>0</v>
      </c>
      <c r="BE20" s="1" t="e">
        <f t="shared" si="26"/>
        <v>#N/A</v>
      </c>
      <c r="BF20" s="1" t="e">
        <f t="shared" si="4"/>
        <v>#N/A</v>
      </c>
      <c r="BG20" s="1" t="e">
        <f t="shared" si="27"/>
        <v>#N/A</v>
      </c>
      <c r="BH20" s="8" t="e" cm="1">
        <f t="array" ref="BH20">IF(BE20="","", IFERROR(((IF(BE$5&lt;&gt;"", BE$5*AW$5, 0) + SUMPRODUCT(--(BE$6:BE20&lt;&gt;""), BE$6:BE20, (AW$6:AW20-AW$5:AW19)))/1000)/BD$3, ""))</f>
        <v>#N/A</v>
      </c>
      <c r="BI20" s="1">
        <f t="shared" si="28"/>
        <v>320</v>
      </c>
      <c r="BJ20" s="1">
        <f t="shared" si="29"/>
        <v>0</v>
      </c>
      <c r="BQ20" s="1" t="e">
        <f t="shared" si="30"/>
        <v>#N/A</v>
      </c>
      <c r="BR20" s="1" t="e">
        <f t="shared" si="5"/>
        <v>#N/A</v>
      </c>
      <c r="BS20" s="1" t="e">
        <f t="shared" si="31"/>
        <v>#N/A</v>
      </c>
      <c r="BT20" s="8" t="e" cm="1">
        <f t="array" ref="BT20">IF(BQ20="","", IFERROR(((IF(BQ$5&lt;&gt;"", BQ$5*BI$5, 0) + SUMPRODUCT(--(BQ$6:BQ20&lt;&gt;""), BQ$6:BQ20, (BI$6:BI20-BI$5:BI19)))/1000)/BP$3, ""))</f>
        <v>#N/A</v>
      </c>
      <c r="BU20" s="1">
        <f t="shared" si="32"/>
        <v>320</v>
      </c>
      <c r="BV20" s="1">
        <f t="shared" si="33"/>
        <v>0</v>
      </c>
      <c r="CC20" s="1" t="e">
        <f t="shared" si="34"/>
        <v>#N/A</v>
      </c>
      <c r="CD20" s="1" t="e">
        <f t="shared" si="6"/>
        <v>#N/A</v>
      </c>
      <c r="CE20" s="1" t="e">
        <f t="shared" si="35"/>
        <v>#N/A</v>
      </c>
      <c r="CF20" s="8" t="e" cm="1">
        <f t="array" ref="CF20">IF(CC20="","", IFERROR(((IF(CC$5&lt;&gt;"", CC$5*BU$5, 0) + SUMPRODUCT(--(CC$6:CC20&lt;&gt;""), CC$6:CC20, (BU$6:BU20-BU$5:BU19)))/1000)/CB$3, ""))</f>
        <v>#N/A</v>
      </c>
      <c r="CG20" s="1">
        <f t="shared" si="36"/>
        <v>320</v>
      </c>
      <c r="CH20" s="1">
        <f t="shared" si="37"/>
        <v>0</v>
      </c>
      <c r="CO20" s="1" t="e">
        <f t="shared" si="38"/>
        <v>#N/A</v>
      </c>
      <c r="CP20" s="1" t="e">
        <f t="shared" si="7"/>
        <v>#N/A</v>
      </c>
      <c r="CQ20" s="1" t="e">
        <f t="shared" si="39"/>
        <v>#N/A</v>
      </c>
      <c r="CR20" s="8" t="e" cm="1">
        <f t="array" ref="CR20">IF(CO20="","", IFERROR(((IF(CO$5&lt;&gt;"", CO$5*CG$5, 0) + SUMPRODUCT(--(CO$6:CO20&lt;&gt;""), CO$6:CO20, (CG$6:CG20-CG$5:CG19)))/1000)/CN$3, ""))</f>
        <v>#N/A</v>
      </c>
    </row>
    <row r="21" spans="1:96" x14ac:dyDescent="0.25">
      <c r="A21" s="1">
        <f t="shared" si="8"/>
        <v>340</v>
      </c>
      <c r="B21" s="1">
        <f t="shared" si="9"/>
        <v>0</v>
      </c>
      <c r="I21" s="1" t="e">
        <f t="shared" si="10"/>
        <v>#N/A</v>
      </c>
      <c r="J21" s="1" t="e">
        <f t="shared" si="0"/>
        <v>#N/A</v>
      </c>
      <c r="K21" s="1" t="e">
        <f t="shared" si="11"/>
        <v>#N/A</v>
      </c>
      <c r="L21" s="8" t="e" cm="1">
        <f t="array" ref="L21">IF(I21="","", IFERROR(((IF(I$5&lt;&gt;"", I$5*A$5, 0) + SUMPRODUCT(--(I$6:I21&lt;&gt;""), I$6:I21, (A$6:A21-A$5:A20)))/1000)/H$3, ""))</f>
        <v>#N/A</v>
      </c>
      <c r="M21" s="1">
        <f t="shared" si="12"/>
        <v>340</v>
      </c>
      <c r="N21" s="1">
        <f t="shared" si="13"/>
        <v>0</v>
      </c>
      <c r="U21" s="1" t="e">
        <f t="shared" si="14"/>
        <v>#N/A</v>
      </c>
      <c r="V21" s="1" t="e">
        <f t="shared" si="1"/>
        <v>#N/A</v>
      </c>
      <c r="W21" s="1" t="e">
        <f t="shared" si="15"/>
        <v>#N/A</v>
      </c>
      <c r="X21" s="8" t="e" cm="1">
        <f t="array" ref="X21">IF(U21="","", IFERROR(((IF(U$5&lt;&gt;"", U$5*M$5, 0) + SUMPRODUCT(--(U$6:U21&lt;&gt;""), U$6:U21, (M$6:M21-M$5:M20)))/1000)/T$3, ""))</f>
        <v>#N/A</v>
      </c>
      <c r="Y21" s="1">
        <f t="shared" si="16"/>
        <v>340</v>
      </c>
      <c r="Z21" s="1">
        <f t="shared" si="17"/>
        <v>0</v>
      </c>
      <c r="AG21" s="1" t="e">
        <f t="shared" si="18"/>
        <v>#N/A</v>
      </c>
      <c r="AH21" s="1" t="e">
        <f t="shared" si="2"/>
        <v>#N/A</v>
      </c>
      <c r="AI21" s="1" t="e">
        <f t="shared" si="19"/>
        <v>#N/A</v>
      </c>
      <c r="AJ21" s="8" t="e" cm="1">
        <f t="array" ref="AJ21">IF(AG21="","", IFERROR(((IF(AG$5&lt;&gt;"", AG$5*Y$5, 0) + SUMPRODUCT(--(AG$6:AG21&lt;&gt;""), AG$6:AG21, (Y$6:Y21-Y$5:Y20)))/1000)/AF$3, ""))</f>
        <v>#N/A</v>
      </c>
      <c r="AK21" s="1">
        <f t="shared" si="20"/>
        <v>340</v>
      </c>
      <c r="AL21" s="1">
        <f t="shared" si="21"/>
        <v>0</v>
      </c>
      <c r="AS21" s="1" t="e">
        <f t="shared" si="22"/>
        <v>#N/A</v>
      </c>
      <c r="AT21" s="1" t="e">
        <f t="shared" si="3"/>
        <v>#N/A</v>
      </c>
      <c r="AU21" s="1" t="e">
        <f t="shared" si="23"/>
        <v>#N/A</v>
      </c>
      <c r="AV21" s="8" t="e" cm="1">
        <f t="array" ref="AV21">IF(AS21="","", IFERROR(((IF(AS$5&lt;&gt;"", AS$5*AK$5, 0) + SUMPRODUCT(--(AS$6:AS21&lt;&gt;""), AS$6:AS21, (AK$6:AK21-AK$5:AK20)))/1000)/AR$3, ""))</f>
        <v>#N/A</v>
      </c>
      <c r="AW21" s="1">
        <f t="shared" si="24"/>
        <v>340</v>
      </c>
      <c r="AX21" s="1">
        <f t="shared" si="25"/>
        <v>0</v>
      </c>
      <c r="BE21" s="1" t="e">
        <f t="shared" si="26"/>
        <v>#N/A</v>
      </c>
      <c r="BF21" s="1" t="e">
        <f t="shared" si="4"/>
        <v>#N/A</v>
      </c>
      <c r="BG21" s="1" t="e">
        <f t="shared" si="27"/>
        <v>#N/A</v>
      </c>
      <c r="BH21" s="8" t="e" cm="1">
        <f t="array" ref="BH21">IF(BE21="","", IFERROR(((IF(BE$5&lt;&gt;"", BE$5*AW$5, 0) + SUMPRODUCT(--(BE$6:BE21&lt;&gt;""), BE$6:BE21, (AW$6:AW21-AW$5:AW20)))/1000)/BD$3, ""))</f>
        <v>#N/A</v>
      </c>
      <c r="BI21" s="1">
        <f t="shared" si="28"/>
        <v>340</v>
      </c>
      <c r="BJ21" s="1">
        <f t="shared" si="29"/>
        <v>0</v>
      </c>
      <c r="BQ21" s="1" t="e">
        <f t="shared" si="30"/>
        <v>#N/A</v>
      </c>
      <c r="BR21" s="1" t="e">
        <f t="shared" si="5"/>
        <v>#N/A</v>
      </c>
      <c r="BS21" s="1" t="e">
        <f t="shared" si="31"/>
        <v>#N/A</v>
      </c>
      <c r="BT21" s="8" t="e" cm="1">
        <f t="array" ref="BT21">IF(BQ21="","", IFERROR(((IF(BQ$5&lt;&gt;"", BQ$5*BI$5, 0) + SUMPRODUCT(--(BQ$6:BQ21&lt;&gt;""), BQ$6:BQ21, (BI$6:BI21-BI$5:BI20)))/1000)/BP$3, ""))</f>
        <v>#N/A</v>
      </c>
      <c r="BU21" s="1">
        <f t="shared" si="32"/>
        <v>340</v>
      </c>
      <c r="BV21" s="1">
        <f t="shared" si="33"/>
        <v>0</v>
      </c>
      <c r="CC21" s="1" t="e">
        <f t="shared" si="34"/>
        <v>#N/A</v>
      </c>
      <c r="CD21" s="1" t="e">
        <f t="shared" si="6"/>
        <v>#N/A</v>
      </c>
      <c r="CE21" s="1" t="e">
        <f t="shared" si="35"/>
        <v>#N/A</v>
      </c>
      <c r="CF21" s="8" t="e" cm="1">
        <f t="array" ref="CF21">IF(CC21="","", IFERROR(((IF(CC$5&lt;&gt;"", CC$5*BU$5, 0) + SUMPRODUCT(--(CC$6:CC21&lt;&gt;""), CC$6:CC21, (BU$6:BU21-BU$5:BU20)))/1000)/CB$3, ""))</f>
        <v>#N/A</v>
      </c>
      <c r="CG21" s="1">
        <f t="shared" si="36"/>
        <v>340</v>
      </c>
      <c r="CH21" s="1">
        <f t="shared" si="37"/>
        <v>0</v>
      </c>
      <c r="CO21" s="1" t="e">
        <f t="shared" si="38"/>
        <v>#N/A</v>
      </c>
      <c r="CP21" s="1" t="e">
        <f t="shared" si="7"/>
        <v>#N/A</v>
      </c>
      <c r="CQ21" s="1" t="e">
        <f t="shared" si="39"/>
        <v>#N/A</v>
      </c>
      <c r="CR21" s="8" t="e" cm="1">
        <f t="array" ref="CR21">IF(CO21="","", IFERROR(((IF(CO$5&lt;&gt;"", CO$5*CG$5, 0) + SUMPRODUCT(--(CO$6:CO21&lt;&gt;""), CO$6:CO21, (CG$6:CG21-CG$5:CG20)))/1000)/CN$3, ""))</f>
        <v>#N/A</v>
      </c>
    </row>
    <row r="22" spans="1:96" x14ac:dyDescent="0.25">
      <c r="A22" s="1">
        <f t="shared" si="8"/>
        <v>360</v>
      </c>
      <c r="B22" s="1">
        <f t="shared" si="9"/>
        <v>0</v>
      </c>
      <c r="I22" s="1" t="e">
        <f t="shared" si="10"/>
        <v>#N/A</v>
      </c>
      <c r="J22" s="1" t="e">
        <f t="shared" si="0"/>
        <v>#N/A</v>
      </c>
      <c r="K22" s="1" t="e">
        <f t="shared" si="11"/>
        <v>#N/A</v>
      </c>
      <c r="L22" s="8" t="e" cm="1">
        <f t="array" ref="L22">IF(I22="","", IFERROR(((IF(I$5&lt;&gt;"", I$5*A$5, 0) + SUMPRODUCT(--(I$6:I22&lt;&gt;""), I$6:I22, (A$6:A22-A$5:A21)))/1000)/H$3, ""))</f>
        <v>#N/A</v>
      </c>
      <c r="M22" s="1">
        <f t="shared" si="12"/>
        <v>360</v>
      </c>
      <c r="N22" s="1">
        <f t="shared" si="13"/>
        <v>0</v>
      </c>
      <c r="U22" s="1" t="e">
        <f t="shared" si="14"/>
        <v>#N/A</v>
      </c>
      <c r="V22" s="1" t="e">
        <f t="shared" si="1"/>
        <v>#N/A</v>
      </c>
      <c r="W22" s="1" t="e">
        <f t="shared" si="15"/>
        <v>#N/A</v>
      </c>
      <c r="X22" s="8" t="e" cm="1">
        <f t="array" ref="X22">IF(U22="","", IFERROR(((IF(U$5&lt;&gt;"", U$5*M$5, 0) + SUMPRODUCT(--(U$6:U22&lt;&gt;""), U$6:U22, (M$6:M22-M$5:M21)))/1000)/T$3, ""))</f>
        <v>#N/A</v>
      </c>
      <c r="Y22" s="1">
        <f t="shared" si="16"/>
        <v>360</v>
      </c>
      <c r="Z22" s="1">
        <f t="shared" si="17"/>
        <v>0</v>
      </c>
      <c r="AG22" s="1" t="e">
        <f t="shared" si="18"/>
        <v>#N/A</v>
      </c>
      <c r="AH22" s="1" t="e">
        <f t="shared" si="2"/>
        <v>#N/A</v>
      </c>
      <c r="AI22" s="1" t="e">
        <f t="shared" si="19"/>
        <v>#N/A</v>
      </c>
      <c r="AJ22" s="8" t="e" cm="1">
        <f t="array" ref="AJ22">IF(AG22="","", IFERROR(((IF(AG$5&lt;&gt;"", AG$5*Y$5, 0) + SUMPRODUCT(--(AG$6:AG22&lt;&gt;""), AG$6:AG22, (Y$6:Y22-Y$5:Y21)))/1000)/AF$3, ""))</f>
        <v>#N/A</v>
      </c>
      <c r="AK22" s="1">
        <f t="shared" si="20"/>
        <v>360</v>
      </c>
      <c r="AL22" s="1">
        <f t="shared" si="21"/>
        <v>0</v>
      </c>
      <c r="AS22" s="1" t="e">
        <f t="shared" si="22"/>
        <v>#N/A</v>
      </c>
      <c r="AT22" s="1" t="e">
        <f t="shared" si="3"/>
        <v>#N/A</v>
      </c>
      <c r="AU22" s="1" t="e">
        <f t="shared" si="23"/>
        <v>#N/A</v>
      </c>
      <c r="AV22" s="8" t="e" cm="1">
        <f t="array" ref="AV22">IF(AS22="","", IFERROR(((IF(AS$5&lt;&gt;"", AS$5*AK$5, 0) + SUMPRODUCT(--(AS$6:AS22&lt;&gt;""), AS$6:AS22, (AK$6:AK22-AK$5:AK21)))/1000)/AR$3, ""))</f>
        <v>#N/A</v>
      </c>
      <c r="AW22" s="1">
        <f t="shared" si="24"/>
        <v>360</v>
      </c>
      <c r="AX22" s="1">
        <f t="shared" si="25"/>
        <v>0</v>
      </c>
      <c r="BE22" s="1" t="e">
        <f t="shared" si="26"/>
        <v>#N/A</v>
      </c>
      <c r="BF22" s="1" t="e">
        <f t="shared" si="4"/>
        <v>#N/A</v>
      </c>
      <c r="BG22" s="1" t="e">
        <f t="shared" si="27"/>
        <v>#N/A</v>
      </c>
      <c r="BH22" s="8" t="e" cm="1">
        <f t="array" ref="BH22">IF(BE22="","", IFERROR(((IF(BE$5&lt;&gt;"", BE$5*AW$5, 0) + SUMPRODUCT(--(BE$6:BE22&lt;&gt;""), BE$6:BE22, (AW$6:AW22-AW$5:AW21)))/1000)/BD$3, ""))</f>
        <v>#N/A</v>
      </c>
      <c r="BI22" s="1">
        <f t="shared" si="28"/>
        <v>360</v>
      </c>
      <c r="BJ22" s="1">
        <f t="shared" si="29"/>
        <v>0</v>
      </c>
      <c r="BQ22" s="1" t="e">
        <f t="shared" si="30"/>
        <v>#N/A</v>
      </c>
      <c r="BR22" s="1" t="e">
        <f t="shared" si="5"/>
        <v>#N/A</v>
      </c>
      <c r="BS22" s="1" t="e">
        <f t="shared" si="31"/>
        <v>#N/A</v>
      </c>
      <c r="BT22" s="8" t="e" cm="1">
        <f t="array" ref="BT22">IF(BQ22="","", IFERROR(((IF(BQ$5&lt;&gt;"", BQ$5*BI$5, 0) + SUMPRODUCT(--(BQ$6:BQ22&lt;&gt;""), BQ$6:BQ22, (BI$6:BI22-BI$5:BI21)))/1000)/BP$3, ""))</f>
        <v>#N/A</v>
      </c>
      <c r="BU22" s="1">
        <f t="shared" si="32"/>
        <v>360</v>
      </c>
      <c r="BV22" s="1">
        <f t="shared" si="33"/>
        <v>0</v>
      </c>
      <c r="CC22" s="1" t="e">
        <f t="shared" si="34"/>
        <v>#N/A</v>
      </c>
      <c r="CD22" s="1" t="e">
        <f t="shared" si="6"/>
        <v>#N/A</v>
      </c>
      <c r="CE22" s="1" t="e">
        <f t="shared" si="35"/>
        <v>#N/A</v>
      </c>
      <c r="CF22" s="8" t="e" cm="1">
        <f t="array" ref="CF22">IF(CC22="","", IFERROR(((IF(CC$5&lt;&gt;"", CC$5*BU$5, 0) + SUMPRODUCT(--(CC$6:CC22&lt;&gt;""), CC$6:CC22, (BU$6:BU22-BU$5:BU21)))/1000)/CB$3, ""))</f>
        <v>#N/A</v>
      </c>
      <c r="CG22" s="1">
        <f t="shared" si="36"/>
        <v>360</v>
      </c>
      <c r="CH22" s="1">
        <f t="shared" si="37"/>
        <v>0</v>
      </c>
      <c r="CO22" s="1" t="e">
        <f t="shared" si="38"/>
        <v>#N/A</v>
      </c>
      <c r="CP22" s="1" t="e">
        <f t="shared" si="7"/>
        <v>#N/A</v>
      </c>
      <c r="CQ22" s="1" t="e">
        <f t="shared" si="39"/>
        <v>#N/A</v>
      </c>
      <c r="CR22" s="8" t="e" cm="1">
        <f t="array" ref="CR22">IF(CO22="","", IFERROR(((IF(CO$5&lt;&gt;"", CO$5*CG$5, 0) + SUMPRODUCT(--(CO$6:CO22&lt;&gt;""), CO$6:CO22, (CG$6:CG22-CG$5:CG21)))/1000)/CN$3, ""))</f>
        <v>#N/A</v>
      </c>
    </row>
    <row r="23" spans="1:96" x14ac:dyDescent="0.25">
      <c r="A23" s="1">
        <f t="shared" si="8"/>
        <v>380</v>
      </c>
      <c r="B23" s="1">
        <f t="shared" si="9"/>
        <v>0</v>
      </c>
      <c r="I23" s="1" t="e">
        <f t="shared" si="10"/>
        <v>#N/A</v>
      </c>
      <c r="J23" s="1" t="e">
        <f t="shared" si="0"/>
        <v>#N/A</v>
      </c>
      <c r="K23" s="1" t="e">
        <f t="shared" si="11"/>
        <v>#N/A</v>
      </c>
      <c r="L23" s="8" t="e" cm="1">
        <f t="array" ref="L23">IF(I23="","", IFERROR(((IF(I$5&lt;&gt;"", I$5*A$5, 0) + SUMPRODUCT(--(I$6:I23&lt;&gt;""), I$6:I23, (A$6:A23-A$5:A22)))/1000)/H$3, ""))</f>
        <v>#N/A</v>
      </c>
      <c r="M23" s="1">
        <f t="shared" si="12"/>
        <v>380</v>
      </c>
      <c r="N23" s="1">
        <f t="shared" si="13"/>
        <v>0</v>
      </c>
      <c r="U23" s="1" t="e">
        <f t="shared" si="14"/>
        <v>#N/A</v>
      </c>
      <c r="V23" s="1" t="e">
        <f t="shared" si="1"/>
        <v>#N/A</v>
      </c>
      <c r="W23" s="1" t="e">
        <f t="shared" si="15"/>
        <v>#N/A</v>
      </c>
      <c r="X23" s="8" t="e" cm="1">
        <f t="array" ref="X23">IF(U23="","", IFERROR(((IF(U$5&lt;&gt;"", U$5*M$5, 0) + SUMPRODUCT(--(U$6:U23&lt;&gt;""), U$6:U23, (M$6:M23-M$5:M22)))/1000)/T$3, ""))</f>
        <v>#N/A</v>
      </c>
      <c r="Y23" s="1">
        <f t="shared" si="16"/>
        <v>380</v>
      </c>
      <c r="Z23" s="1">
        <f t="shared" si="17"/>
        <v>0</v>
      </c>
      <c r="AG23" s="1" t="e">
        <f t="shared" si="18"/>
        <v>#N/A</v>
      </c>
      <c r="AH23" s="1" t="e">
        <f t="shared" si="2"/>
        <v>#N/A</v>
      </c>
      <c r="AI23" s="1" t="e">
        <f t="shared" si="19"/>
        <v>#N/A</v>
      </c>
      <c r="AJ23" s="8" t="e" cm="1">
        <f t="array" ref="AJ23">IF(AG23="","", IFERROR(((IF(AG$5&lt;&gt;"", AG$5*Y$5, 0) + SUMPRODUCT(--(AG$6:AG23&lt;&gt;""), AG$6:AG23, (Y$6:Y23-Y$5:Y22)))/1000)/AF$3, ""))</f>
        <v>#N/A</v>
      </c>
      <c r="AK23" s="1">
        <f t="shared" si="20"/>
        <v>380</v>
      </c>
      <c r="AL23" s="1">
        <f t="shared" si="21"/>
        <v>0</v>
      </c>
      <c r="AS23" s="1" t="e">
        <f t="shared" si="22"/>
        <v>#N/A</v>
      </c>
      <c r="AT23" s="1" t="e">
        <f t="shared" si="3"/>
        <v>#N/A</v>
      </c>
      <c r="AU23" s="1" t="e">
        <f t="shared" si="23"/>
        <v>#N/A</v>
      </c>
      <c r="AV23" s="8" t="e" cm="1">
        <f t="array" ref="AV23">IF(AS23="","", IFERROR(((IF(AS$5&lt;&gt;"", AS$5*AK$5, 0) + SUMPRODUCT(--(AS$6:AS23&lt;&gt;""), AS$6:AS23, (AK$6:AK23-AK$5:AK22)))/1000)/AR$3, ""))</f>
        <v>#N/A</v>
      </c>
      <c r="AW23" s="1">
        <f t="shared" si="24"/>
        <v>380</v>
      </c>
      <c r="AX23" s="1">
        <f t="shared" si="25"/>
        <v>0</v>
      </c>
      <c r="BE23" s="1" t="e">
        <f t="shared" si="26"/>
        <v>#N/A</v>
      </c>
      <c r="BF23" s="1" t="e">
        <f t="shared" si="4"/>
        <v>#N/A</v>
      </c>
      <c r="BG23" s="1" t="e">
        <f t="shared" si="27"/>
        <v>#N/A</v>
      </c>
      <c r="BH23" s="8" t="e" cm="1">
        <f t="array" ref="BH23">IF(BE23="","", IFERROR(((IF(BE$5&lt;&gt;"", BE$5*AW$5, 0) + SUMPRODUCT(--(BE$6:BE23&lt;&gt;""), BE$6:BE23, (AW$6:AW23-AW$5:AW22)))/1000)/BD$3, ""))</f>
        <v>#N/A</v>
      </c>
      <c r="BI23" s="1">
        <f t="shared" si="28"/>
        <v>380</v>
      </c>
      <c r="BJ23" s="1">
        <f t="shared" si="29"/>
        <v>0</v>
      </c>
      <c r="BQ23" s="1" t="e">
        <f t="shared" si="30"/>
        <v>#N/A</v>
      </c>
      <c r="BR23" s="1" t="e">
        <f t="shared" si="5"/>
        <v>#N/A</v>
      </c>
      <c r="BS23" s="1" t="e">
        <f t="shared" si="31"/>
        <v>#N/A</v>
      </c>
      <c r="BT23" s="8" t="e" cm="1">
        <f t="array" ref="BT23">IF(BQ23="","", IFERROR(((IF(BQ$5&lt;&gt;"", BQ$5*BI$5, 0) + SUMPRODUCT(--(BQ$6:BQ23&lt;&gt;""), BQ$6:BQ23, (BI$6:BI23-BI$5:BI22)))/1000)/BP$3, ""))</f>
        <v>#N/A</v>
      </c>
      <c r="BU23" s="1">
        <f t="shared" si="32"/>
        <v>380</v>
      </c>
      <c r="BV23" s="1">
        <f t="shared" si="33"/>
        <v>0</v>
      </c>
      <c r="CC23" s="1" t="e">
        <f t="shared" si="34"/>
        <v>#N/A</v>
      </c>
      <c r="CD23" s="1" t="e">
        <f t="shared" si="6"/>
        <v>#N/A</v>
      </c>
      <c r="CE23" s="1" t="e">
        <f t="shared" si="35"/>
        <v>#N/A</v>
      </c>
      <c r="CF23" s="8" t="e" cm="1">
        <f t="array" ref="CF23">IF(CC23="","", IFERROR(((IF(CC$5&lt;&gt;"", CC$5*BU$5, 0) + SUMPRODUCT(--(CC$6:CC23&lt;&gt;""), CC$6:CC23, (BU$6:BU23-BU$5:BU22)))/1000)/CB$3, ""))</f>
        <v>#N/A</v>
      </c>
      <c r="CG23" s="1">
        <f t="shared" si="36"/>
        <v>380</v>
      </c>
      <c r="CH23" s="1">
        <f t="shared" si="37"/>
        <v>0</v>
      </c>
      <c r="CO23" s="1" t="e">
        <f t="shared" si="38"/>
        <v>#N/A</v>
      </c>
      <c r="CP23" s="1" t="e">
        <f t="shared" si="7"/>
        <v>#N/A</v>
      </c>
      <c r="CQ23" s="1" t="e">
        <f t="shared" si="39"/>
        <v>#N/A</v>
      </c>
      <c r="CR23" s="8" t="e" cm="1">
        <f t="array" ref="CR23">IF(CO23="","", IFERROR(((IF(CO$5&lt;&gt;"", CO$5*CG$5, 0) + SUMPRODUCT(--(CO$6:CO23&lt;&gt;""), CO$6:CO23, (CG$6:CG23-CG$5:CG22)))/1000)/CN$3, ""))</f>
        <v>#N/A</v>
      </c>
    </row>
    <row r="24" spans="1:96" x14ac:dyDescent="0.25">
      <c r="A24" s="1">
        <f t="shared" si="8"/>
        <v>400</v>
      </c>
      <c r="B24" s="1">
        <f t="shared" si="9"/>
        <v>0</v>
      </c>
      <c r="I24" s="1" t="e">
        <f t="shared" si="10"/>
        <v>#N/A</v>
      </c>
      <c r="J24" s="1" t="e">
        <f t="shared" si="0"/>
        <v>#N/A</v>
      </c>
      <c r="K24" s="1" t="e">
        <f t="shared" si="11"/>
        <v>#N/A</v>
      </c>
      <c r="L24" s="8" t="e" cm="1">
        <f t="array" ref="L24">IF(I24="","", IFERROR(((IF(I$5&lt;&gt;"", I$5*A$5, 0) + SUMPRODUCT(--(I$6:I24&lt;&gt;""), I$6:I24, (A$6:A24-A$5:A23)))/1000)/H$3, ""))</f>
        <v>#N/A</v>
      </c>
      <c r="M24" s="1">
        <f t="shared" si="12"/>
        <v>400</v>
      </c>
      <c r="N24" s="1">
        <f t="shared" si="13"/>
        <v>0</v>
      </c>
      <c r="U24" s="1" t="e">
        <f t="shared" si="14"/>
        <v>#N/A</v>
      </c>
      <c r="V24" s="1" t="e">
        <f t="shared" si="1"/>
        <v>#N/A</v>
      </c>
      <c r="W24" s="1" t="e">
        <f t="shared" si="15"/>
        <v>#N/A</v>
      </c>
      <c r="X24" s="8" t="e" cm="1">
        <f t="array" ref="X24">IF(U24="","", IFERROR(((IF(U$5&lt;&gt;"", U$5*M$5, 0) + SUMPRODUCT(--(U$6:U24&lt;&gt;""), U$6:U24, (M$6:M24-M$5:M23)))/1000)/T$3, ""))</f>
        <v>#N/A</v>
      </c>
      <c r="Y24" s="1">
        <f t="shared" si="16"/>
        <v>400</v>
      </c>
      <c r="Z24" s="1">
        <f t="shared" si="17"/>
        <v>0</v>
      </c>
      <c r="AG24" s="1" t="e">
        <f t="shared" si="18"/>
        <v>#N/A</v>
      </c>
      <c r="AH24" s="1" t="e">
        <f t="shared" si="2"/>
        <v>#N/A</v>
      </c>
      <c r="AI24" s="1" t="e">
        <f t="shared" si="19"/>
        <v>#N/A</v>
      </c>
      <c r="AJ24" s="8" t="e" cm="1">
        <f t="array" ref="AJ24">IF(AG24="","", IFERROR(((IF(AG$5&lt;&gt;"", AG$5*Y$5, 0) + SUMPRODUCT(--(AG$6:AG24&lt;&gt;""), AG$6:AG24, (Y$6:Y24-Y$5:Y23)))/1000)/AF$3, ""))</f>
        <v>#N/A</v>
      </c>
      <c r="AK24" s="1">
        <f t="shared" si="20"/>
        <v>400</v>
      </c>
      <c r="AL24" s="1">
        <f t="shared" si="21"/>
        <v>0</v>
      </c>
      <c r="AS24" s="1" t="e">
        <f t="shared" si="22"/>
        <v>#N/A</v>
      </c>
      <c r="AT24" s="1" t="e">
        <f t="shared" si="3"/>
        <v>#N/A</v>
      </c>
      <c r="AU24" s="1" t="e">
        <f t="shared" si="23"/>
        <v>#N/A</v>
      </c>
      <c r="AV24" s="8" t="e" cm="1">
        <f t="array" ref="AV24">IF(AS24="","", IFERROR(((IF(AS$5&lt;&gt;"", AS$5*AK$5, 0) + SUMPRODUCT(--(AS$6:AS24&lt;&gt;""), AS$6:AS24, (AK$6:AK24-AK$5:AK23)))/1000)/AR$3, ""))</f>
        <v>#N/A</v>
      </c>
      <c r="AW24" s="1">
        <f t="shared" si="24"/>
        <v>400</v>
      </c>
      <c r="AX24" s="1">
        <f t="shared" si="25"/>
        <v>0</v>
      </c>
      <c r="BE24" s="1" t="e">
        <f t="shared" si="26"/>
        <v>#N/A</v>
      </c>
      <c r="BF24" s="1" t="e">
        <f t="shared" si="4"/>
        <v>#N/A</v>
      </c>
      <c r="BG24" s="1" t="e">
        <f t="shared" si="27"/>
        <v>#N/A</v>
      </c>
      <c r="BH24" s="8" t="e" cm="1">
        <f t="array" ref="BH24">IF(BE24="","", IFERROR(((IF(BE$5&lt;&gt;"", BE$5*AW$5, 0) + SUMPRODUCT(--(BE$6:BE24&lt;&gt;""), BE$6:BE24, (AW$6:AW24-AW$5:AW23)))/1000)/BD$3, ""))</f>
        <v>#N/A</v>
      </c>
      <c r="BI24" s="1">
        <f t="shared" si="28"/>
        <v>400</v>
      </c>
      <c r="BJ24" s="1">
        <f t="shared" si="29"/>
        <v>0</v>
      </c>
      <c r="BQ24" s="1" t="e">
        <f t="shared" si="30"/>
        <v>#N/A</v>
      </c>
      <c r="BR24" s="1" t="e">
        <f t="shared" si="5"/>
        <v>#N/A</v>
      </c>
      <c r="BS24" s="1" t="e">
        <f t="shared" si="31"/>
        <v>#N/A</v>
      </c>
      <c r="BT24" s="8" t="e" cm="1">
        <f t="array" ref="BT24">IF(BQ24="","", IFERROR(((IF(BQ$5&lt;&gt;"", BQ$5*BI$5, 0) + SUMPRODUCT(--(BQ$6:BQ24&lt;&gt;""), BQ$6:BQ24, (BI$6:BI24-BI$5:BI23)))/1000)/BP$3, ""))</f>
        <v>#N/A</v>
      </c>
      <c r="BU24" s="1">
        <f t="shared" si="32"/>
        <v>400</v>
      </c>
      <c r="BV24" s="1">
        <f t="shared" si="33"/>
        <v>0</v>
      </c>
      <c r="CC24" s="1" t="e">
        <f t="shared" si="34"/>
        <v>#N/A</v>
      </c>
      <c r="CD24" s="1" t="e">
        <f t="shared" si="6"/>
        <v>#N/A</v>
      </c>
      <c r="CE24" s="1" t="e">
        <f t="shared" si="35"/>
        <v>#N/A</v>
      </c>
      <c r="CF24" s="8" t="e" cm="1">
        <f t="array" ref="CF24">IF(CC24="","", IFERROR(((IF(CC$5&lt;&gt;"", CC$5*BU$5, 0) + SUMPRODUCT(--(CC$6:CC24&lt;&gt;""), CC$6:CC24, (BU$6:BU24-BU$5:BU23)))/1000)/CB$3, ""))</f>
        <v>#N/A</v>
      </c>
      <c r="CG24" s="1">
        <f t="shared" si="36"/>
        <v>400</v>
      </c>
      <c r="CH24" s="1">
        <f t="shared" si="37"/>
        <v>0</v>
      </c>
      <c r="CO24" s="1" t="e">
        <f t="shared" si="38"/>
        <v>#N/A</v>
      </c>
      <c r="CP24" s="1" t="e">
        <f t="shared" si="7"/>
        <v>#N/A</v>
      </c>
      <c r="CQ24" s="1" t="e">
        <f t="shared" si="39"/>
        <v>#N/A</v>
      </c>
      <c r="CR24" s="8" t="e" cm="1">
        <f t="array" ref="CR24">IF(CO24="","", IFERROR(((IF(CO$5&lt;&gt;"", CO$5*CG$5, 0) + SUMPRODUCT(--(CO$6:CO24&lt;&gt;""), CO$6:CO24, (CG$6:CG24-CG$5:CG23)))/1000)/CN$3, ""))</f>
        <v>#N/A</v>
      </c>
    </row>
    <row r="25" spans="1:96" x14ac:dyDescent="0.25">
      <c r="A25" s="1">
        <f t="shared" si="8"/>
        <v>420</v>
      </c>
      <c r="B25" s="1">
        <f t="shared" si="9"/>
        <v>0</v>
      </c>
      <c r="I25" s="1" t="e">
        <f t="shared" si="10"/>
        <v>#N/A</v>
      </c>
      <c r="J25" s="1" t="e">
        <f t="shared" si="0"/>
        <v>#N/A</v>
      </c>
      <c r="K25" s="1" t="e">
        <f t="shared" si="11"/>
        <v>#N/A</v>
      </c>
      <c r="L25" s="8" t="e" cm="1">
        <f t="array" ref="L25">IF(I25="","", IFERROR(((IF(I$5&lt;&gt;"", I$5*A$5, 0) + SUMPRODUCT(--(I$6:I25&lt;&gt;""), I$6:I25, (A$6:A25-A$5:A24)))/1000)/H$3, ""))</f>
        <v>#N/A</v>
      </c>
      <c r="M25" s="1">
        <f t="shared" si="12"/>
        <v>420</v>
      </c>
      <c r="N25" s="1">
        <f t="shared" si="13"/>
        <v>0</v>
      </c>
      <c r="U25" s="1" t="e">
        <f t="shared" si="14"/>
        <v>#N/A</v>
      </c>
      <c r="V25" s="1" t="e">
        <f t="shared" si="1"/>
        <v>#N/A</v>
      </c>
      <c r="W25" s="1" t="e">
        <f t="shared" si="15"/>
        <v>#N/A</v>
      </c>
      <c r="X25" s="8" t="e" cm="1">
        <f t="array" ref="X25">IF(U25="","", IFERROR(((IF(U$5&lt;&gt;"", U$5*M$5, 0) + SUMPRODUCT(--(U$6:U25&lt;&gt;""), U$6:U25, (M$6:M25-M$5:M24)))/1000)/T$3, ""))</f>
        <v>#N/A</v>
      </c>
      <c r="Y25" s="1">
        <f t="shared" si="16"/>
        <v>420</v>
      </c>
      <c r="Z25" s="1">
        <f t="shared" si="17"/>
        <v>0</v>
      </c>
      <c r="AG25" s="1" t="e">
        <f t="shared" si="18"/>
        <v>#N/A</v>
      </c>
      <c r="AH25" s="1" t="e">
        <f t="shared" si="2"/>
        <v>#N/A</v>
      </c>
      <c r="AI25" s="1" t="e">
        <f t="shared" si="19"/>
        <v>#N/A</v>
      </c>
      <c r="AJ25" s="8" t="e" cm="1">
        <f t="array" ref="AJ25">IF(AG25="","", IFERROR(((IF(AG$5&lt;&gt;"", AG$5*Y$5, 0) + SUMPRODUCT(--(AG$6:AG25&lt;&gt;""), AG$6:AG25, (Y$6:Y25-Y$5:Y24)))/1000)/AF$3, ""))</f>
        <v>#N/A</v>
      </c>
      <c r="AK25" s="1">
        <f t="shared" si="20"/>
        <v>420</v>
      </c>
      <c r="AL25" s="1">
        <f t="shared" si="21"/>
        <v>0</v>
      </c>
      <c r="AS25" s="1" t="e">
        <f t="shared" si="22"/>
        <v>#N/A</v>
      </c>
      <c r="AT25" s="1" t="e">
        <f t="shared" si="3"/>
        <v>#N/A</v>
      </c>
      <c r="AU25" s="1" t="e">
        <f t="shared" si="23"/>
        <v>#N/A</v>
      </c>
      <c r="AV25" s="8" t="e" cm="1">
        <f t="array" ref="AV25">IF(AS25="","", IFERROR(((IF(AS$5&lt;&gt;"", AS$5*AK$5, 0) + SUMPRODUCT(--(AS$6:AS25&lt;&gt;""), AS$6:AS25, (AK$6:AK25-AK$5:AK24)))/1000)/AR$3, ""))</f>
        <v>#N/A</v>
      </c>
      <c r="AW25" s="1">
        <f t="shared" si="24"/>
        <v>420</v>
      </c>
      <c r="AX25" s="1">
        <f t="shared" si="25"/>
        <v>0</v>
      </c>
      <c r="BE25" s="1" t="e">
        <f t="shared" si="26"/>
        <v>#N/A</v>
      </c>
      <c r="BF25" s="1" t="e">
        <f t="shared" si="4"/>
        <v>#N/A</v>
      </c>
      <c r="BG25" s="1" t="e">
        <f t="shared" si="27"/>
        <v>#N/A</v>
      </c>
      <c r="BH25" s="8" t="e" cm="1">
        <f t="array" ref="BH25">IF(BE25="","", IFERROR(((IF(BE$5&lt;&gt;"", BE$5*AW$5, 0) + SUMPRODUCT(--(BE$6:BE25&lt;&gt;""), BE$6:BE25, (AW$6:AW25-AW$5:AW24)))/1000)/BD$3, ""))</f>
        <v>#N/A</v>
      </c>
      <c r="BI25" s="1">
        <f t="shared" si="28"/>
        <v>420</v>
      </c>
      <c r="BJ25" s="1">
        <f t="shared" si="29"/>
        <v>0</v>
      </c>
      <c r="BQ25" s="1" t="e">
        <f t="shared" si="30"/>
        <v>#N/A</v>
      </c>
      <c r="BR25" s="1" t="e">
        <f t="shared" si="5"/>
        <v>#N/A</v>
      </c>
      <c r="BS25" s="1" t="e">
        <f t="shared" si="31"/>
        <v>#N/A</v>
      </c>
      <c r="BT25" s="8" t="e" cm="1">
        <f t="array" ref="BT25">IF(BQ25="","", IFERROR(((IF(BQ$5&lt;&gt;"", BQ$5*BI$5, 0) + SUMPRODUCT(--(BQ$6:BQ25&lt;&gt;""), BQ$6:BQ25, (BI$6:BI25-BI$5:BI24)))/1000)/BP$3, ""))</f>
        <v>#N/A</v>
      </c>
      <c r="BU25" s="1">
        <f t="shared" si="32"/>
        <v>420</v>
      </c>
      <c r="BV25" s="1">
        <f t="shared" si="33"/>
        <v>0</v>
      </c>
      <c r="CC25" s="1" t="e">
        <f t="shared" si="34"/>
        <v>#N/A</v>
      </c>
      <c r="CD25" s="1" t="e">
        <f t="shared" si="6"/>
        <v>#N/A</v>
      </c>
      <c r="CE25" s="1" t="e">
        <f t="shared" si="35"/>
        <v>#N/A</v>
      </c>
      <c r="CF25" s="8" t="e" cm="1">
        <f t="array" ref="CF25">IF(CC25="","", IFERROR(((IF(CC$5&lt;&gt;"", CC$5*BU$5, 0) + SUMPRODUCT(--(CC$6:CC25&lt;&gt;""), CC$6:CC25, (BU$6:BU25-BU$5:BU24)))/1000)/CB$3, ""))</f>
        <v>#N/A</v>
      </c>
      <c r="CG25" s="1">
        <f t="shared" si="36"/>
        <v>420</v>
      </c>
      <c r="CH25" s="1">
        <f t="shared" si="37"/>
        <v>0</v>
      </c>
      <c r="CO25" s="1" t="e">
        <f t="shared" si="38"/>
        <v>#N/A</v>
      </c>
      <c r="CP25" s="1" t="e">
        <f t="shared" si="7"/>
        <v>#N/A</v>
      </c>
      <c r="CQ25" s="1" t="e">
        <f t="shared" si="39"/>
        <v>#N/A</v>
      </c>
      <c r="CR25" s="8" t="e" cm="1">
        <f t="array" ref="CR25">IF(CO25="","", IFERROR(((IF(CO$5&lt;&gt;"", CO$5*CG$5, 0) + SUMPRODUCT(--(CO$6:CO25&lt;&gt;""), CO$6:CO25, (CG$6:CG25-CG$5:CG24)))/1000)/CN$3, ""))</f>
        <v>#N/A</v>
      </c>
    </row>
    <row r="26" spans="1:96" x14ac:dyDescent="0.25">
      <c r="A26" s="1">
        <f t="shared" si="8"/>
        <v>440</v>
      </c>
      <c r="B26" s="1">
        <f t="shared" si="9"/>
        <v>0</v>
      </c>
      <c r="I26" s="1" t="e">
        <f t="shared" si="10"/>
        <v>#N/A</v>
      </c>
      <c r="J26" s="1" t="e">
        <f t="shared" si="0"/>
        <v>#N/A</v>
      </c>
      <c r="K26" s="1" t="e">
        <f t="shared" si="11"/>
        <v>#N/A</v>
      </c>
      <c r="L26" s="8" t="e" cm="1">
        <f t="array" ref="L26">IF(I26="","", IFERROR(((IF(I$5&lt;&gt;"", I$5*A$5, 0) + SUMPRODUCT(--(I$6:I26&lt;&gt;""), I$6:I26, (A$6:A26-A$5:A25)))/1000)/H$3, ""))</f>
        <v>#N/A</v>
      </c>
      <c r="M26" s="1">
        <f t="shared" si="12"/>
        <v>440</v>
      </c>
      <c r="N26" s="1">
        <f t="shared" si="13"/>
        <v>0</v>
      </c>
      <c r="U26" s="1" t="e">
        <f t="shared" si="14"/>
        <v>#N/A</v>
      </c>
      <c r="V26" s="1" t="e">
        <f t="shared" si="1"/>
        <v>#N/A</v>
      </c>
      <c r="W26" s="1" t="e">
        <f t="shared" si="15"/>
        <v>#N/A</v>
      </c>
      <c r="X26" s="8" t="e" cm="1">
        <f t="array" ref="X26">IF(U26="","", IFERROR(((IF(U$5&lt;&gt;"", U$5*M$5, 0) + SUMPRODUCT(--(U$6:U26&lt;&gt;""), U$6:U26, (M$6:M26-M$5:M25)))/1000)/T$3, ""))</f>
        <v>#N/A</v>
      </c>
      <c r="Y26" s="1">
        <f t="shared" si="16"/>
        <v>440</v>
      </c>
      <c r="Z26" s="1">
        <f t="shared" si="17"/>
        <v>0</v>
      </c>
      <c r="AG26" s="1" t="e">
        <f t="shared" si="18"/>
        <v>#N/A</v>
      </c>
      <c r="AH26" s="1" t="e">
        <f t="shared" si="2"/>
        <v>#N/A</v>
      </c>
      <c r="AI26" s="1" t="e">
        <f t="shared" si="19"/>
        <v>#N/A</v>
      </c>
      <c r="AJ26" s="8" t="e" cm="1">
        <f t="array" ref="AJ26">IF(AG26="","", IFERROR(((IF(AG$5&lt;&gt;"", AG$5*Y$5, 0) + SUMPRODUCT(--(AG$6:AG26&lt;&gt;""), AG$6:AG26, (Y$6:Y26-Y$5:Y25)))/1000)/AF$3, ""))</f>
        <v>#N/A</v>
      </c>
      <c r="AK26" s="1">
        <f t="shared" si="20"/>
        <v>440</v>
      </c>
      <c r="AL26" s="1">
        <f t="shared" si="21"/>
        <v>0</v>
      </c>
      <c r="AS26" s="1" t="e">
        <f t="shared" si="22"/>
        <v>#N/A</v>
      </c>
      <c r="AT26" s="1" t="e">
        <f t="shared" si="3"/>
        <v>#N/A</v>
      </c>
      <c r="AU26" s="1" t="e">
        <f t="shared" si="23"/>
        <v>#N/A</v>
      </c>
      <c r="AV26" s="8" t="e" cm="1">
        <f t="array" ref="AV26">IF(AS26="","", IFERROR(((IF(AS$5&lt;&gt;"", AS$5*AK$5, 0) + SUMPRODUCT(--(AS$6:AS26&lt;&gt;""), AS$6:AS26, (AK$6:AK26-AK$5:AK25)))/1000)/AR$3, ""))</f>
        <v>#N/A</v>
      </c>
      <c r="AW26" s="1">
        <f t="shared" si="24"/>
        <v>440</v>
      </c>
      <c r="AX26" s="1">
        <f t="shared" si="25"/>
        <v>0</v>
      </c>
      <c r="BE26" s="1" t="e">
        <f t="shared" si="26"/>
        <v>#N/A</v>
      </c>
      <c r="BF26" s="1" t="e">
        <f t="shared" si="4"/>
        <v>#N/A</v>
      </c>
      <c r="BG26" s="1" t="e">
        <f t="shared" si="27"/>
        <v>#N/A</v>
      </c>
      <c r="BH26" s="8" t="e" cm="1">
        <f t="array" ref="BH26">IF(BE26="","", IFERROR(((IF(BE$5&lt;&gt;"", BE$5*AW$5, 0) + SUMPRODUCT(--(BE$6:BE26&lt;&gt;""), BE$6:BE26, (AW$6:AW26-AW$5:AW25)))/1000)/BD$3, ""))</f>
        <v>#N/A</v>
      </c>
      <c r="BI26" s="1">
        <f t="shared" si="28"/>
        <v>440</v>
      </c>
      <c r="BJ26" s="1">
        <f t="shared" si="29"/>
        <v>0</v>
      </c>
      <c r="BQ26" s="1" t="e">
        <f t="shared" si="30"/>
        <v>#N/A</v>
      </c>
      <c r="BR26" s="1" t="e">
        <f t="shared" si="5"/>
        <v>#N/A</v>
      </c>
      <c r="BS26" s="1" t="e">
        <f t="shared" si="31"/>
        <v>#N/A</v>
      </c>
      <c r="BT26" s="8" t="e" cm="1">
        <f t="array" ref="BT26">IF(BQ26="","", IFERROR(((IF(BQ$5&lt;&gt;"", BQ$5*BI$5, 0) + SUMPRODUCT(--(BQ$6:BQ26&lt;&gt;""), BQ$6:BQ26, (BI$6:BI26-BI$5:BI25)))/1000)/BP$3, ""))</f>
        <v>#N/A</v>
      </c>
      <c r="BU26" s="1">
        <f t="shared" si="32"/>
        <v>440</v>
      </c>
      <c r="BV26" s="1">
        <f t="shared" si="33"/>
        <v>0</v>
      </c>
      <c r="CC26" s="1" t="e">
        <f t="shared" si="34"/>
        <v>#N/A</v>
      </c>
      <c r="CD26" s="1" t="e">
        <f t="shared" si="6"/>
        <v>#N/A</v>
      </c>
      <c r="CE26" s="1" t="e">
        <f t="shared" si="35"/>
        <v>#N/A</v>
      </c>
      <c r="CF26" s="8" t="e" cm="1">
        <f t="array" ref="CF26">IF(CC26="","", IFERROR(((IF(CC$5&lt;&gt;"", CC$5*BU$5, 0) + SUMPRODUCT(--(CC$6:CC26&lt;&gt;""), CC$6:CC26, (BU$6:BU26-BU$5:BU25)))/1000)/CB$3, ""))</f>
        <v>#N/A</v>
      </c>
      <c r="CG26" s="1">
        <f t="shared" si="36"/>
        <v>440</v>
      </c>
      <c r="CH26" s="1">
        <f t="shared" si="37"/>
        <v>0</v>
      </c>
      <c r="CO26" s="1" t="e">
        <f t="shared" si="38"/>
        <v>#N/A</v>
      </c>
      <c r="CP26" s="1" t="e">
        <f t="shared" si="7"/>
        <v>#N/A</v>
      </c>
      <c r="CQ26" s="1" t="e">
        <f t="shared" si="39"/>
        <v>#N/A</v>
      </c>
      <c r="CR26" s="8" t="e" cm="1">
        <f t="array" ref="CR26">IF(CO26="","", IFERROR(((IF(CO$5&lt;&gt;"", CO$5*CG$5, 0) + SUMPRODUCT(--(CO$6:CO26&lt;&gt;""), CO$6:CO26, (CG$6:CG26-CG$5:CG25)))/1000)/CN$3, ""))</f>
        <v>#N/A</v>
      </c>
    </row>
    <row r="27" spans="1:96" x14ac:dyDescent="0.25">
      <c r="A27" s="1">
        <f t="shared" si="8"/>
        <v>460</v>
      </c>
      <c r="B27" s="1">
        <f t="shared" si="9"/>
        <v>0</v>
      </c>
      <c r="I27" s="1" t="e">
        <f t="shared" si="10"/>
        <v>#N/A</v>
      </c>
      <c r="J27" s="1" t="e">
        <f t="shared" si="0"/>
        <v>#N/A</v>
      </c>
      <c r="K27" s="1" t="e">
        <f t="shared" si="11"/>
        <v>#N/A</v>
      </c>
      <c r="L27" s="8" t="e" cm="1">
        <f t="array" ref="L27">IF(I27="","", IFERROR(((IF(I$5&lt;&gt;"", I$5*A$5, 0) + SUMPRODUCT(--(I$6:I27&lt;&gt;""), I$6:I27, (A$6:A27-A$5:A26)))/1000)/H$3, ""))</f>
        <v>#N/A</v>
      </c>
      <c r="M27" s="1">
        <f t="shared" si="12"/>
        <v>460</v>
      </c>
      <c r="N27" s="1">
        <f t="shared" si="13"/>
        <v>0</v>
      </c>
      <c r="U27" s="1" t="e">
        <f t="shared" si="14"/>
        <v>#N/A</v>
      </c>
      <c r="V27" s="1" t="e">
        <f t="shared" si="1"/>
        <v>#N/A</v>
      </c>
      <c r="W27" s="1" t="e">
        <f t="shared" si="15"/>
        <v>#N/A</v>
      </c>
      <c r="X27" s="8" t="e" cm="1">
        <f t="array" ref="X27">IF(U27="","", IFERROR(((IF(U$5&lt;&gt;"", U$5*M$5, 0) + SUMPRODUCT(--(U$6:U27&lt;&gt;""), U$6:U27, (M$6:M27-M$5:M26)))/1000)/T$3, ""))</f>
        <v>#N/A</v>
      </c>
      <c r="Y27" s="1">
        <f t="shared" si="16"/>
        <v>460</v>
      </c>
      <c r="Z27" s="1">
        <f t="shared" si="17"/>
        <v>0</v>
      </c>
      <c r="AG27" s="1" t="e">
        <f t="shared" si="18"/>
        <v>#N/A</v>
      </c>
      <c r="AH27" s="1" t="e">
        <f t="shared" si="2"/>
        <v>#N/A</v>
      </c>
      <c r="AI27" s="1" t="e">
        <f t="shared" si="19"/>
        <v>#N/A</v>
      </c>
      <c r="AJ27" s="8" t="e" cm="1">
        <f t="array" ref="AJ27">IF(AG27="","", IFERROR(((IF(AG$5&lt;&gt;"", AG$5*Y$5, 0) + SUMPRODUCT(--(AG$6:AG27&lt;&gt;""), AG$6:AG27, (Y$6:Y27-Y$5:Y26)))/1000)/AF$3, ""))</f>
        <v>#N/A</v>
      </c>
      <c r="AK27" s="1">
        <f t="shared" si="20"/>
        <v>460</v>
      </c>
      <c r="AL27" s="1">
        <f t="shared" si="21"/>
        <v>0</v>
      </c>
      <c r="AS27" s="1" t="e">
        <f t="shared" si="22"/>
        <v>#N/A</v>
      </c>
      <c r="AT27" s="1" t="e">
        <f t="shared" si="3"/>
        <v>#N/A</v>
      </c>
      <c r="AU27" s="1" t="e">
        <f t="shared" si="23"/>
        <v>#N/A</v>
      </c>
      <c r="AV27" s="8" t="e" cm="1">
        <f t="array" ref="AV27">IF(AS27="","", IFERROR(((IF(AS$5&lt;&gt;"", AS$5*AK$5, 0) + SUMPRODUCT(--(AS$6:AS27&lt;&gt;""), AS$6:AS27, (AK$6:AK27-AK$5:AK26)))/1000)/AR$3, ""))</f>
        <v>#N/A</v>
      </c>
      <c r="AW27" s="1">
        <f t="shared" si="24"/>
        <v>460</v>
      </c>
      <c r="AX27" s="1">
        <f t="shared" si="25"/>
        <v>0</v>
      </c>
      <c r="BE27" s="1" t="e">
        <f t="shared" si="26"/>
        <v>#N/A</v>
      </c>
      <c r="BF27" s="1" t="e">
        <f t="shared" si="4"/>
        <v>#N/A</v>
      </c>
      <c r="BG27" s="1" t="e">
        <f t="shared" si="27"/>
        <v>#N/A</v>
      </c>
      <c r="BH27" s="8" t="e" cm="1">
        <f t="array" ref="BH27">IF(BE27="","", IFERROR(((IF(BE$5&lt;&gt;"", BE$5*AW$5, 0) + SUMPRODUCT(--(BE$6:BE27&lt;&gt;""), BE$6:BE27, (AW$6:AW27-AW$5:AW26)))/1000)/BD$3, ""))</f>
        <v>#N/A</v>
      </c>
      <c r="BI27" s="1">
        <f t="shared" si="28"/>
        <v>460</v>
      </c>
      <c r="BJ27" s="1">
        <f t="shared" si="29"/>
        <v>0</v>
      </c>
      <c r="BQ27" s="1" t="e">
        <f t="shared" si="30"/>
        <v>#N/A</v>
      </c>
      <c r="BR27" s="1" t="e">
        <f t="shared" si="5"/>
        <v>#N/A</v>
      </c>
      <c r="BS27" s="1" t="e">
        <f t="shared" si="31"/>
        <v>#N/A</v>
      </c>
      <c r="BT27" s="8" t="e" cm="1">
        <f t="array" ref="BT27">IF(BQ27="","", IFERROR(((IF(BQ$5&lt;&gt;"", BQ$5*BI$5, 0) + SUMPRODUCT(--(BQ$6:BQ27&lt;&gt;""), BQ$6:BQ27, (BI$6:BI27-BI$5:BI26)))/1000)/BP$3, ""))</f>
        <v>#N/A</v>
      </c>
      <c r="BU27" s="1">
        <f t="shared" si="32"/>
        <v>460</v>
      </c>
      <c r="BV27" s="1">
        <f t="shared" si="33"/>
        <v>0</v>
      </c>
      <c r="CC27" s="1" t="e">
        <f t="shared" si="34"/>
        <v>#N/A</v>
      </c>
      <c r="CD27" s="1" t="e">
        <f t="shared" si="6"/>
        <v>#N/A</v>
      </c>
      <c r="CE27" s="1" t="e">
        <f t="shared" si="35"/>
        <v>#N/A</v>
      </c>
      <c r="CF27" s="8" t="e" cm="1">
        <f t="array" ref="CF27">IF(CC27="","", IFERROR(((IF(CC$5&lt;&gt;"", CC$5*BU$5, 0) + SUMPRODUCT(--(CC$6:CC27&lt;&gt;""), CC$6:CC27, (BU$6:BU27-BU$5:BU26)))/1000)/CB$3, ""))</f>
        <v>#N/A</v>
      </c>
      <c r="CG27" s="1">
        <f t="shared" si="36"/>
        <v>460</v>
      </c>
      <c r="CH27" s="1">
        <f t="shared" si="37"/>
        <v>0</v>
      </c>
      <c r="CO27" s="1" t="e">
        <f t="shared" si="38"/>
        <v>#N/A</v>
      </c>
      <c r="CP27" s="1" t="e">
        <f t="shared" si="7"/>
        <v>#N/A</v>
      </c>
      <c r="CQ27" s="1" t="e">
        <f t="shared" si="39"/>
        <v>#N/A</v>
      </c>
      <c r="CR27" s="8" t="e" cm="1">
        <f t="array" ref="CR27">IF(CO27="","", IFERROR(((IF(CO$5&lt;&gt;"", CO$5*CG$5, 0) + SUMPRODUCT(--(CO$6:CO27&lt;&gt;""), CO$6:CO27, (CG$6:CG27-CG$5:CG26)))/1000)/CN$3, ""))</f>
        <v>#N/A</v>
      </c>
    </row>
    <row r="28" spans="1:96" x14ac:dyDescent="0.25">
      <c r="A28" s="1">
        <f t="shared" si="8"/>
        <v>480</v>
      </c>
      <c r="B28" s="1">
        <f t="shared" si="9"/>
        <v>0</v>
      </c>
      <c r="I28" s="1" t="e">
        <f t="shared" si="10"/>
        <v>#N/A</v>
      </c>
      <c r="J28" s="1" t="e">
        <f t="shared" si="0"/>
        <v>#N/A</v>
      </c>
      <c r="K28" s="1" t="e">
        <f t="shared" si="11"/>
        <v>#N/A</v>
      </c>
      <c r="L28" s="8" t="e" cm="1">
        <f t="array" ref="L28">IF(I28="","", IFERROR(((IF(I$5&lt;&gt;"", I$5*A$5, 0) + SUMPRODUCT(--(I$6:I28&lt;&gt;""), I$6:I28, (A$6:A28-A$5:A27)))/1000)/H$3, ""))</f>
        <v>#N/A</v>
      </c>
      <c r="M28" s="1">
        <f t="shared" si="12"/>
        <v>480</v>
      </c>
      <c r="N28" s="1">
        <f t="shared" si="13"/>
        <v>0</v>
      </c>
      <c r="U28" s="1" t="e">
        <f t="shared" si="14"/>
        <v>#N/A</v>
      </c>
      <c r="V28" s="1" t="e">
        <f t="shared" si="1"/>
        <v>#N/A</v>
      </c>
      <c r="W28" s="1" t="e">
        <f t="shared" si="15"/>
        <v>#N/A</v>
      </c>
      <c r="X28" s="8" t="e" cm="1">
        <f t="array" ref="X28">IF(U28="","", IFERROR(((IF(U$5&lt;&gt;"", U$5*M$5, 0) + SUMPRODUCT(--(U$6:U28&lt;&gt;""), U$6:U28, (M$6:M28-M$5:M27)))/1000)/T$3, ""))</f>
        <v>#N/A</v>
      </c>
      <c r="Y28" s="1">
        <f t="shared" si="16"/>
        <v>480</v>
      </c>
      <c r="Z28" s="1">
        <f t="shared" si="17"/>
        <v>0</v>
      </c>
      <c r="AG28" s="1" t="e">
        <f t="shared" si="18"/>
        <v>#N/A</v>
      </c>
      <c r="AH28" s="1" t="e">
        <f t="shared" si="2"/>
        <v>#N/A</v>
      </c>
      <c r="AI28" s="1" t="e">
        <f t="shared" si="19"/>
        <v>#N/A</v>
      </c>
      <c r="AJ28" s="8" t="e" cm="1">
        <f t="array" ref="AJ28">IF(AG28="","", IFERROR(((IF(AG$5&lt;&gt;"", AG$5*Y$5, 0) + SUMPRODUCT(--(AG$6:AG28&lt;&gt;""), AG$6:AG28, (Y$6:Y28-Y$5:Y27)))/1000)/AF$3, ""))</f>
        <v>#N/A</v>
      </c>
      <c r="AK28" s="1">
        <f t="shared" si="20"/>
        <v>480</v>
      </c>
      <c r="AL28" s="1">
        <f t="shared" si="21"/>
        <v>0</v>
      </c>
      <c r="AS28" s="1" t="e">
        <f t="shared" si="22"/>
        <v>#N/A</v>
      </c>
      <c r="AT28" s="1" t="e">
        <f t="shared" si="3"/>
        <v>#N/A</v>
      </c>
      <c r="AU28" s="1" t="e">
        <f t="shared" si="23"/>
        <v>#N/A</v>
      </c>
      <c r="AV28" s="8" t="e" cm="1">
        <f t="array" ref="AV28">IF(AS28="","", IFERROR(((IF(AS$5&lt;&gt;"", AS$5*AK$5, 0) + SUMPRODUCT(--(AS$6:AS28&lt;&gt;""), AS$6:AS28, (AK$6:AK28-AK$5:AK27)))/1000)/AR$3, ""))</f>
        <v>#N/A</v>
      </c>
      <c r="AW28" s="1">
        <f t="shared" si="24"/>
        <v>480</v>
      </c>
      <c r="AX28" s="1">
        <f t="shared" si="25"/>
        <v>0</v>
      </c>
      <c r="BE28" s="1" t="e">
        <f t="shared" si="26"/>
        <v>#N/A</v>
      </c>
      <c r="BF28" s="1" t="e">
        <f t="shared" si="4"/>
        <v>#N/A</v>
      </c>
      <c r="BG28" s="1" t="e">
        <f t="shared" si="27"/>
        <v>#N/A</v>
      </c>
      <c r="BH28" s="8" t="e" cm="1">
        <f t="array" ref="BH28">IF(BE28="","", IFERROR(((IF(BE$5&lt;&gt;"", BE$5*AW$5, 0) + SUMPRODUCT(--(BE$6:BE28&lt;&gt;""), BE$6:BE28, (AW$6:AW28-AW$5:AW27)))/1000)/BD$3, ""))</f>
        <v>#N/A</v>
      </c>
      <c r="BI28" s="1">
        <f t="shared" si="28"/>
        <v>480</v>
      </c>
      <c r="BJ28" s="1">
        <f t="shared" si="29"/>
        <v>0</v>
      </c>
      <c r="BQ28" s="1" t="e">
        <f t="shared" si="30"/>
        <v>#N/A</v>
      </c>
      <c r="BR28" s="1" t="e">
        <f t="shared" si="5"/>
        <v>#N/A</v>
      </c>
      <c r="BS28" s="1" t="e">
        <f t="shared" si="31"/>
        <v>#N/A</v>
      </c>
      <c r="BT28" s="8" t="e" cm="1">
        <f t="array" ref="BT28">IF(BQ28="","", IFERROR(((IF(BQ$5&lt;&gt;"", BQ$5*BI$5, 0) + SUMPRODUCT(--(BQ$6:BQ28&lt;&gt;""), BQ$6:BQ28, (BI$6:BI28-BI$5:BI27)))/1000)/BP$3, ""))</f>
        <v>#N/A</v>
      </c>
      <c r="BU28" s="1">
        <f t="shared" si="32"/>
        <v>480</v>
      </c>
      <c r="BV28" s="1">
        <f t="shared" si="33"/>
        <v>0</v>
      </c>
      <c r="CC28" s="1" t="e">
        <f t="shared" si="34"/>
        <v>#N/A</v>
      </c>
      <c r="CD28" s="1" t="e">
        <f t="shared" si="6"/>
        <v>#N/A</v>
      </c>
      <c r="CE28" s="1" t="e">
        <f t="shared" si="35"/>
        <v>#N/A</v>
      </c>
      <c r="CF28" s="8" t="e" cm="1">
        <f t="array" ref="CF28">IF(CC28="","", IFERROR(((IF(CC$5&lt;&gt;"", CC$5*BU$5, 0) + SUMPRODUCT(--(CC$6:CC28&lt;&gt;""), CC$6:CC28, (BU$6:BU28-BU$5:BU27)))/1000)/CB$3, ""))</f>
        <v>#N/A</v>
      </c>
      <c r="CG28" s="1">
        <f t="shared" si="36"/>
        <v>480</v>
      </c>
      <c r="CH28" s="1">
        <f t="shared" si="37"/>
        <v>0</v>
      </c>
      <c r="CO28" s="1" t="e">
        <f t="shared" si="38"/>
        <v>#N/A</v>
      </c>
      <c r="CP28" s="1" t="e">
        <f t="shared" si="7"/>
        <v>#N/A</v>
      </c>
      <c r="CQ28" s="1" t="e">
        <f t="shared" si="39"/>
        <v>#N/A</v>
      </c>
      <c r="CR28" s="8" t="e" cm="1">
        <f t="array" ref="CR28">IF(CO28="","", IFERROR(((IF(CO$5&lt;&gt;"", CO$5*CG$5, 0) + SUMPRODUCT(--(CO$6:CO28&lt;&gt;""), CO$6:CO28, (CG$6:CG28-CG$5:CG27)))/1000)/CN$3, ""))</f>
        <v>#N/A</v>
      </c>
    </row>
    <row r="29" spans="1:96" x14ac:dyDescent="0.25">
      <c r="A29" s="1">
        <f t="shared" si="8"/>
        <v>500</v>
      </c>
      <c r="B29" s="1">
        <f t="shared" si="9"/>
        <v>0</v>
      </c>
      <c r="F29" s="9"/>
      <c r="G29" s="9"/>
      <c r="H29" s="9"/>
      <c r="I29" s="1" t="e">
        <f t="shared" si="10"/>
        <v>#N/A</v>
      </c>
      <c r="J29" s="1" t="e">
        <f t="shared" si="0"/>
        <v>#N/A</v>
      </c>
      <c r="K29" s="1" t="e">
        <f t="shared" si="11"/>
        <v>#N/A</v>
      </c>
      <c r="L29" s="8" t="e" cm="1">
        <f t="array" ref="L29">IF(I29="","", IFERROR(((IF(I$5&lt;&gt;"", I$5*A$5, 0) + SUMPRODUCT(--(I$6:I29&lt;&gt;""), I$6:I29, (A$6:A29-A$5:A28)))/1000)/H$3, ""))</f>
        <v>#N/A</v>
      </c>
      <c r="M29" s="1">
        <f t="shared" si="12"/>
        <v>500</v>
      </c>
      <c r="N29" s="1">
        <f t="shared" si="13"/>
        <v>0</v>
      </c>
      <c r="R29" s="9"/>
      <c r="S29" s="9"/>
      <c r="T29" s="9"/>
      <c r="U29" s="1" t="e">
        <f t="shared" si="14"/>
        <v>#N/A</v>
      </c>
      <c r="V29" s="1" t="e">
        <f t="shared" si="1"/>
        <v>#N/A</v>
      </c>
      <c r="W29" s="1" t="e">
        <f t="shared" si="15"/>
        <v>#N/A</v>
      </c>
      <c r="X29" s="8" t="e" cm="1">
        <f t="array" ref="X29">IF(U29="","", IFERROR(((IF(U$5&lt;&gt;"", U$5*M$5, 0) + SUMPRODUCT(--(U$6:U29&lt;&gt;""), U$6:U29, (M$6:M29-M$5:M28)))/1000)/T$3, ""))</f>
        <v>#N/A</v>
      </c>
      <c r="Y29" s="1">
        <f t="shared" si="16"/>
        <v>500</v>
      </c>
      <c r="Z29" s="1">
        <f t="shared" si="17"/>
        <v>0</v>
      </c>
      <c r="AD29" s="9"/>
      <c r="AE29" s="9"/>
      <c r="AF29" s="9"/>
      <c r="AG29" s="1" t="e">
        <f t="shared" si="18"/>
        <v>#N/A</v>
      </c>
      <c r="AH29" s="1" t="e">
        <f t="shared" si="2"/>
        <v>#N/A</v>
      </c>
      <c r="AI29" s="1" t="e">
        <f t="shared" si="19"/>
        <v>#N/A</v>
      </c>
      <c r="AJ29" s="8" t="e" cm="1">
        <f t="array" ref="AJ29">IF(AG29="","", IFERROR(((IF(AG$5&lt;&gt;"", AG$5*Y$5, 0) + SUMPRODUCT(--(AG$6:AG29&lt;&gt;""), AG$6:AG29, (Y$6:Y29-Y$5:Y28)))/1000)/AF$3, ""))</f>
        <v>#N/A</v>
      </c>
      <c r="AK29" s="1">
        <f t="shared" si="20"/>
        <v>500</v>
      </c>
      <c r="AL29" s="1">
        <f t="shared" si="21"/>
        <v>0</v>
      </c>
      <c r="AP29" s="9"/>
      <c r="AQ29" s="9"/>
      <c r="AR29" s="9"/>
      <c r="AS29" s="1" t="e">
        <f t="shared" si="22"/>
        <v>#N/A</v>
      </c>
      <c r="AT29" s="1" t="e">
        <f t="shared" si="3"/>
        <v>#N/A</v>
      </c>
      <c r="AU29" s="1" t="e">
        <f t="shared" si="23"/>
        <v>#N/A</v>
      </c>
      <c r="AV29" s="8" t="e" cm="1">
        <f t="array" ref="AV29">IF(AS29="","", IFERROR(((IF(AS$5&lt;&gt;"", AS$5*AK$5, 0) + SUMPRODUCT(--(AS$6:AS29&lt;&gt;""), AS$6:AS29, (AK$6:AK29-AK$5:AK28)))/1000)/AR$3, ""))</f>
        <v>#N/A</v>
      </c>
      <c r="AW29" s="1">
        <f t="shared" si="24"/>
        <v>500</v>
      </c>
      <c r="AX29" s="1">
        <f t="shared" si="25"/>
        <v>0</v>
      </c>
      <c r="BB29" s="9"/>
      <c r="BC29" s="9"/>
      <c r="BD29" s="9"/>
      <c r="BE29" s="1" t="e">
        <f t="shared" si="26"/>
        <v>#N/A</v>
      </c>
      <c r="BF29" s="1" t="e">
        <f t="shared" si="4"/>
        <v>#N/A</v>
      </c>
      <c r="BG29" s="1" t="e">
        <f t="shared" si="27"/>
        <v>#N/A</v>
      </c>
      <c r="BH29" s="8" t="e" cm="1">
        <f t="array" ref="BH29">IF(BE29="","", IFERROR(((IF(BE$5&lt;&gt;"", BE$5*AW$5, 0) + SUMPRODUCT(--(BE$6:BE29&lt;&gt;""), BE$6:BE29, (AW$6:AW29-AW$5:AW28)))/1000)/BD$3, ""))</f>
        <v>#N/A</v>
      </c>
      <c r="BI29" s="1">
        <f t="shared" si="28"/>
        <v>500</v>
      </c>
      <c r="BJ29" s="1">
        <f t="shared" si="29"/>
        <v>0</v>
      </c>
      <c r="BN29" s="9"/>
      <c r="BO29" s="9"/>
      <c r="BP29" s="9"/>
      <c r="BQ29" s="1" t="e">
        <f t="shared" si="30"/>
        <v>#N/A</v>
      </c>
      <c r="BR29" s="1" t="e">
        <f t="shared" si="5"/>
        <v>#N/A</v>
      </c>
      <c r="BS29" s="1" t="e">
        <f t="shared" si="31"/>
        <v>#N/A</v>
      </c>
      <c r="BT29" s="8" t="e" cm="1">
        <f t="array" ref="BT29">IF(BQ29="","", IFERROR(((IF(BQ$5&lt;&gt;"", BQ$5*BI$5, 0) + SUMPRODUCT(--(BQ$6:BQ29&lt;&gt;""), BQ$6:BQ29, (BI$6:BI29-BI$5:BI28)))/1000)/BP$3, ""))</f>
        <v>#N/A</v>
      </c>
      <c r="BU29" s="1">
        <f t="shared" si="32"/>
        <v>500</v>
      </c>
      <c r="BV29" s="1">
        <f t="shared" si="33"/>
        <v>0</v>
      </c>
      <c r="BZ29" s="9"/>
      <c r="CA29" s="9"/>
      <c r="CB29" s="9"/>
      <c r="CC29" s="1" t="e">
        <f t="shared" si="34"/>
        <v>#N/A</v>
      </c>
      <c r="CD29" s="1" t="e">
        <f t="shared" si="6"/>
        <v>#N/A</v>
      </c>
      <c r="CE29" s="1" t="e">
        <f t="shared" si="35"/>
        <v>#N/A</v>
      </c>
      <c r="CF29" s="8" t="e" cm="1">
        <f t="array" ref="CF29">IF(CC29="","", IFERROR(((IF(CC$5&lt;&gt;"", CC$5*BU$5, 0) + SUMPRODUCT(--(CC$6:CC29&lt;&gt;""), CC$6:CC29, (BU$6:BU29-BU$5:BU28)))/1000)/CB$3, ""))</f>
        <v>#N/A</v>
      </c>
      <c r="CG29" s="1">
        <f t="shared" si="36"/>
        <v>500</v>
      </c>
      <c r="CH29" s="1">
        <f t="shared" si="37"/>
        <v>0</v>
      </c>
      <c r="CL29" s="9"/>
      <c r="CM29" s="9"/>
      <c r="CN29" s="9"/>
      <c r="CO29" s="1" t="e">
        <f t="shared" si="38"/>
        <v>#N/A</v>
      </c>
      <c r="CP29" s="1" t="e">
        <f t="shared" si="7"/>
        <v>#N/A</v>
      </c>
      <c r="CQ29" s="1" t="e">
        <f t="shared" si="39"/>
        <v>#N/A</v>
      </c>
      <c r="CR29" s="8" t="e" cm="1">
        <f t="array" ref="CR29">IF(CO29="","", IFERROR(((IF(CO$5&lt;&gt;"", CO$5*CG$5, 0) + SUMPRODUCT(--(CO$6:CO29&lt;&gt;""), CO$6:CO29, (CG$6:CG29-CG$5:CG28)))/1000)/CN$3, ""))</f>
        <v>#N/A</v>
      </c>
    </row>
    <row r="30" spans="1:96" x14ac:dyDescent="0.25">
      <c r="A30" s="1">
        <f t="shared" si="8"/>
        <v>520</v>
      </c>
      <c r="B30" s="1">
        <f t="shared" si="9"/>
        <v>0</v>
      </c>
      <c r="I30" s="1" t="e">
        <f t="shared" si="10"/>
        <v>#N/A</v>
      </c>
      <c r="J30" s="1" t="e">
        <f t="shared" si="0"/>
        <v>#N/A</v>
      </c>
      <c r="K30" s="1" t="e">
        <f t="shared" si="11"/>
        <v>#N/A</v>
      </c>
      <c r="L30" s="8" t="e" cm="1">
        <f t="array" ref="L30">IF(I30="","", IFERROR(((IF(I$5&lt;&gt;"", I$5*A$5, 0) + SUMPRODUCT(--(I$6:I30&lt;&gt;""), I$6:I30, (A$6:A30-A$5:A29)))/1000)/H$3, ""))</f>
        <v>#N/A</v>
      </c>
      <c r="M30" s="1">
        <f t="shared" si="12"/>
        <v>520</v>
      </c>
      <c r="N30" s="1">
        <f t="shared" si="13"/>
        <v>0</v>
      </c>
      <c r="U30" s="1" t="e">
        <f t="shared" si="14"/>
        <v>#N/A</v>
      </c>
      <c r="V30" s="1" t="e">
        <f t="shared" si="1"/>
        <v>#N/A</v>
      </c>
      <c r="W30" s="1" t="e">
        <f t="shared" si="15"/>
        <v>#N/A</v>
      </c>
      <c r="X30" s="8" t="e" cm="1">
        <f t="array" ref="X30">IF(U30="","", IFERROR(((IF(U$5&lt;&gt;"", U$5*M$5, 0) + SUMPRODUCT(--(U$6:U30&lt;&gt;""), U$6:U30, (M$6:M30-M$5:M29)))/1000)/T$3, ""))</f>
        <v>#N/A</v>
      </c>
      <c r="Y30" s="1">
        <f t="shared" si="16"/>
        <v>520</v>
      </c>
      <c r="Z30" s="1">
        <f t="shared" si="17"/>
        <v>0</v>
      </c>
      <c r="AG30" s="1" t="e">
        <f t="shared" si="18"/>
        <v>#N/A</v>
      </c>
      <c r="AH30" s="1" t="e">
        <f t="shared" si="2"/>
        <v>#N/A</v>
      </c>
      <c r="AI30" s="1" t="e">
        <f t="shared" si="19"/>
        <v>#N/A</v>
      </c>
      <c r="AJ30" s="8" t="e" cm="1">
        <f t="array" ref="AJ30">IF(AG30="","", IFERROR(((IF(AG$5&lt;&gt;"", AG$5*Y$5, 0) + SUMPRODUCT(--(AG$6:AG30&lt;&gt;""), AG$6:AG30, (Y$6:Y30-Y$5:Y29)))/1000)/AF$3, ""))</f>
        <v>#N/A</v>
      </c>
      <c r="AK30" s="1">
        <f t="shared" si="20"/>
        <v>520</v>
      </c>
      <c r="AL30" s="1">
        <f t="shared" si="21"/>
        <v>0</v>
      </c>
      <c r="AS30" s="1" t="e">
        <f t="shared" si="22"/>
        <v>#N/A</v>
      </c>
      <c r="AT30" s="1" t="e">
        <f t="shared" si="3"/>
        <v>#N/A</v>
      </c>
      <c r="AU30" s="1" t="e">
        <f t="shared" si="23"/>
        <v>#N/A</v>
      </c>
      <c r="AV30" s="8" t="e" cm="1">
        <f t="array" ref="AV30">IF(AS30="","", IFERROR(((IF(AS$5&lt;&gt;"", AS$5*AK$5, 0) + SUMPRODUCT(--(AS$6:AS30&lt;&gt;""), AS$6:AS30, (AK$6:AK30-AK$5:AK29)))/1000)/AR$3, ""))</f>
        <v>#N/A</v>
      </c>
      <c r="AW30" s="1">
        <f t="shared" si="24"/>
        <v>520</v>
      </c>
      <c r="AX30" s="1">
        <f t="shared" si="25"/>
        <v>0</v>
      </c>
      <c r="BE30" s="1" t="e">
        <f t="shared" si="26"/>
        <v>#N/A</v>
      </c>
      <c r="BF30" s="1" t="e">
        <f t="shared" si="4"/>
        <v>#N/A</v>
      </c>
      <c r="BG30" s="1" t="e">
        <f t="shared" si="27"/>
        <v>#N/A</v>
      </c>
      <c r="BH30" s="8" t="e" cm="1">
        <f t="array" ref="BH30">IF(BE30="","", IFERROR(((IF(BE$5&lt;&gt;"", BE$5*AW$5, 0) + SUMPRODUCT(--(BE$6:BE30&lt;&gt;""), BE$6:BE30, (AW$6:AW30-AW$5:AW29)))/1000)/BD$3, ""))</f>
        <v>#N/A</v>
      </c>
      <c r="BI30" s="1">
        <f t="shared" si="28"/>
        <v>520</v>
      </c>
      <c r="BJ30" s="1">
        <f t="shared" si="29"/>
        <v>0</v>
      </c>
      <c r="BQ30" s="1" t="e">
        <f t="shared" si="30"/>
        <v>#N/A</v>
      </c>
      <c r="BR30" s="1" t="e">
        <f t="shared" si="5"/>
        <v>#N/A</v>
      </c>
      <c r="BS30" s="1" t="e">
        <f t="shared" si="31"/>
        <v>#N/A</v>
      </c>
      <c r="BT30" s="8" t="e" cm="1">
        <f t="array" ref="BT30">IF(BQ30="","", IFERROR(((IF(BQ$5&lt;&gt;"", BQ$5*BI$5, 0) + SUMPRODUCT(--(BQ$6:BQ30&lt;&gt;""), BQ$6:BQ30, (BI$6:BI30-BI$5:BI29)))/1000)/BP$3, ""))</f>
        <v>#N/A</v>
      </c>
      <c r="BU30" s="1">
        <f t="shared" si="32"/>
        <v>520</v>
      </c>
      <c r="BV30" s="1">
        <f t="shared" si="33"/>
        <v>0</v>
      </c>
      <c r="CC30" s="1" t="e">
        <f t="shared" si="34"/>
        <v>#N/A</v>
      </c>
      <c r="CD30" s="1" t="e">
        <f t="shared" si="6"/>
        <v>#N/A</v>
      </c>
      <c r="CE30" s="1" t="e">
        <f t="shared" si="35"/>
        <v>#N/A</v>
      </c>
      <c r="CF30" s="8" t="e" cm="1">
        <f t="array" ref="CF30">IF(CC30="","", IFERROR(((IF(CC$5&lt;&gt;"", CC$5*BU$5, 0) + SUMPRODUCT(--(CC$6:CC30&lt;&gt;""), CC$6:CC30, (BU$6:BU30-BU$5:BU29)))/1000)/CB$3, ""))</f>
        <v>#N/A</v>
      </c>
      <c r="CG30" s="1">
        <f t="shared" si="36"/>
        <v>520</v>
      </c>
      <c r="CH30" s="1">
        <f t="shared" si="37"/>
        <v>0</v>
      </c>
      <c r="CO30" s="1" t="e">
        <f t="shared" si="38"/>
        <v>#N/A</v>
      </c>
      <c r="CP30" s="1" t="e">
        <f t="shared" si="7"/>
        <v>#N/A</v>
      </c>
      <c r="CQ30" s="1" t="e">
        <f t="shared" si="39"/>
        <v>#N/A</v>
      </c>
      <c r="CR30" s="8" t="e" cm="1">
        <f t="array" ref="CR30">IF(CO30="","", IFERROR(((IF(CO$5&lt;&gt;"", CO$5*CG$5, 0) + SUMPRODUCT(--(CO$6:CO30&lt;&gt;""), CO$6:CO30, (CG$6:CG30-CG$5:CG29)))/1000)/CN$3, ""))</f>
        <v>#N/A</v>
      </c>
    </row>
    <row r="31" spans="1:96" x14ac:dyDescent="0.25">
      <c r="A31" s="1">
        <f t="shared" si="8"/>
        <v>540</v>
      </c>
      <c r="B31" s="1">
        <f t="shared" si="9"/>
        <v>0</v>
      </c>
      <c r="I31" s="1" t="e">
        <f t="shared" si="10"/>
        <v>#N/A</v>
      </c>
      <c r="J31" s="1" t="e">
        <f t="shared" si="0"/>
        <v>#N/A</v>
      </c>
      <c r="K31" s="1" t="e">
        <f t="shared" si="11"/>
        <v>#N/A</v>
      </c>
      <c r="L31" s="8" t="e" cm="1">
        <f t="array" ref="L31">IF(I31="","", IFERROR(((IF(I$5&lt;&gt;"", I$5*A$5, 0) + SUMPRODUCT(--(I$6:I31&lt;&gt;""), I$6:I31, (A$6:A31-A$5:A30)))/1000)/H$3, ""))</f>
        <v>#N/A</v>
      </c>
      <c r="M31" s="1">
        <f t="shared" si="12"/>
        <v>540</v>
      </c>
      <c r="N31" s="1">
        <f t="shared" si="13"/>
        <v>0</v>
      </c>
      <c r="U31" s="1" t="e">
        <f t="shared" si="14"/>
        <v>#N/A</v>
      </c>
      <c r="V31" s="1" t="e">
        <f t="shared" si="1"/>
        <v>#N/A</v>
      </c>
      <c r="W31" s="1" t="e">
        <f t="shared" si="15"/>
        <v>#N/A</v>
      </c>
      <c r="X31" s="8" t="e" cm="1">
        <f t="array" ref="X31">IF(U31="","", IFERROR(((IF(U$5&lt;&gt;"", U$5*M$5, 0) + SUMPRODUCT(--(U$6:U31&lt;&gt;""), U$6:U31, (M$6:M31-M$5:M30)))/1000)/T$3, ""))</f>
        <v>#N/A</v>
      </c>
      <c r="Y31" s="1">
        <f t="shared" si="16"/>
        <v>540</v>
      </c>
      <c r="Z31" s="1">
        <f t="shared" si="17"/>
        <v>0</v>
      </c>
      <c r="AG31" s="1" t="e">
        <f t="shared" si="18"/>
        <v>#N/A</v>
      </c>
      <c r="AH31" s="1" t="e">
        <f t="shared" si="2"/>
        <v>#N/A</v>
      </c>
      <c r="AI31" s="1" t="e">
        <f t="shared" si="19"/>
        <v>#N/A</v>
      </c>
      <c r="AJ31" s="8" t="e" cm="1">
        <f t="array" ref="AJ31">IF(AG31="","", IFERROR(((IF(AG$5&lt;&gt;"", AG$5*Y$5, 0) + SUMPRODUCT(--(AG$6:AG31&lt;&gt;""), AG$6:AG31, (Y$6:Y31-Y$5:Y30)))/1000)/AF$3, ""))</f>
        <v>#N/A</v>
      </c>
      <c r="AK31" s="1">
        <f t="shared" si="20"/>
        <v>540</v>
      </c>
      <c r="AL31" s="1">
        <f t="shared" si="21"/>
        <v>0</v>
      </c>
      <c r="AS31" s="1" t="e">
        <f t="shared" si="22"/>
        <v>#N/A</v>
      </c>
      <c r="AT31" s="1" t="e">
        <f t="shared" si="3"/>
        <v>#N/A</v>
      </c>
      <c r="AU31" s="1" t="e">
        <f t="shared" si="23"/>
        <v>#N/A</v>
      </c>
      <c r="AV31" s="8" t="e" cm="1">
        <f t="array" ref="AV31">IF(AS31="","", IFERROR(((IF(AS$5&lt;&gt;"", AS$5*AK$5, 0) + SUMPRODUCT(--(AS$6:AS31&lt;&gt;""), AS$6:AS31, (AK$6:AK31-AK$5:AK30)))/1000)/AR$3, ""))</f>
        <v>#N/A</v>
      </c>
      <c r="AW31" s="1">
        <f t="shared" si="24"/>
        <v>540</v>
      </c>
      <c r="AX31" s="1">
        <f t="shared" si="25"/>
        <v>0</v>
      </c>
      <c r="BE31" s="1" t="e">
        <f t="shared" si="26"/>
        <v>#N/A</v>
      </c>
      <c r="BF31" s="1" t="e">
        <f t="shared" si="4"/>
        <v>#N/A</v>
      </c>
      <c r="BG31" s="1" t="e">
        <f t="shared" si="27"/>
        <v>#N/A</v>
      </c>
      <c r="BH31" s="8" t="e" cm="1">
        <f t="array" ref="BH31">IF(BE31="","", IFERROR(((IF(BE$5&lt;&gt;"", BE$5*AW$5, 0) + SUMPRODUCT(--(BE$6:BE31&lt;&gt;""), BE$6:BE31, (AW$6:AW31-AW$5:AW30)))/1000)/BD$3, ""))</f>
        <v>#N/A</v>
      </c>
      <c r="BI31" s="1">
        <f t="shared" si="28"/>
        <v>540</v>
      </c>
      <c r="BJ31" s="1">
        <f t="shared" si="29"/>
        <v>0</v>
      </c>
      <c r="BQ31" s="1" t="e">
        <f t="shared" si="30"/>
        <v>#N/A</v>
      </c>
      <c r="BR31" s="1" t="e">
        <f t="shared" si="5"/>
        <v>#N/A</v>
      </c>
      <c r="BS31" s="1" t="e">
        <f t="shared" si="31"/>
        <v>#N/A</v>
      </c>
      <c r="BT31" s="8" t="e" cm="1">
        <f t="array" ref="BT31">IF(BQ31="","", IFERROR(((IF(BQ$5&lt;&gt;"", BQ$5*BI$5, 0) + SUMPRODUCT(--(BQ$6:BQ31&lt;&gt;""), BQ$6:BQ31, (BI$6:BI31-BI$5:BI30)))/1000)/BP$3, ""))</f>
        <v>#N/A</v>
      </c>
      <c r="BU31" s="1">
        <f t="shared" si="32"/>
        <v>540</v>
      </c>
      <c r="BV31" s="1">
        <f t="shared" si="33"/>
        <v>0</v>
      </c>
      <c r="CC31" s="1" t="e">
        <f t="shared" si="34"/>
        <v>#N/A</v>
      </c>
      <c r="CD31" s="1" t="e">
        <f t="shared" si="6"/>
        <v>#N/A</v>
      </c>
      <c r="CE31" s="1" t="e">
        <f t="shared" si="35"/>
        <v>#N/A</v>
      </c>
      <c r="CF31" s="8" t="e" cm="1">
        <f t="array" ref="CF31">IF(CC31="","", IFERROR(((IF(CC$5&lt;&gt;"", CC$5*BU$5, 0) + SUMPRODUCT(--(CC$6:CC31&lt;&gt;""), CC$6:CC31, (BU$6:BU31-BU$5:BU30)))/1000)/CB$3, ""))</f>
        <v>#N/A</v>
      </c>
      <c r="CG31" s="1">
        <f t="shared" si="36"/>
        <v>540</v>
      </c>
      <c r="CH31" s="1">
        <f t="shared" si="37"/>
        <v>0</v>
      </c>
      <c r="CO31" s="1" t="e">
        <f t="shared" si="38"/>
        <v>#N/A</v>
      </c>
      <c r="CP31" s="1" t="e">
        <f t="shared" si="7"/>
        <v>#N/A</v>
      </c>
      <c r="CQ31" s="1" t="e">
        <f t="shared" si="39"/>
        <v>#N/A</v>
      </c>
      <c r="CR31" s="8" t="e" cm="1">
        <f t="array" ref="CR31">IF(CO31="","", IFERROR(((IF(CO$5&lt;&gt;"", CO$5*CG$5, 0) + SUMPRODUCT(--(CO$6:CO31&lt;&gt;""), CO$6:CO31, (CG$6:CG31-CG$5:CG30)))/1000)/CN$3, ""))</f>
        <v>#N/A</v>
      </c>
    </row>
    <row r="32" spans="1:96" x14ac:dyDescent="0.25">
      <c r="A32" s="1">
        <f t="shared" si="8"/>
        <v>560</v>
      </c>
      <c r="B32" s="1">
        <f t="shared" si="9"/>
        <v>0</v>
      </c>
      <c r="I32" s="1" t="e">
        <f t="shared" si="10"/>
        <v>#N/A</v>
      </c>
      <c r="J32" s="1" t="e">
        <f t="shared" si="0"/>
        <v>#N/A</v>
      </c>
      <c r="K32" s="1" t="e">
        <f t="shared" si="11"/>
        <v>#N/A</v>
      </c>
      <c r="L32" s="8" t="e" cm="1">
        <f t="array" ref="L32">IF(I32="","", IFERROR(((IF(I$5&lt;&gt;"", I$5*A$5, 0) + SUMPRODUCT(--(I$6:I32&lt;&gt;""), I$6:I32, (A$6:A32-A$5:A31)))/1000)/H$3, ""))</f>
        <v>#N/A</v>
      </c>
      <c r="M32" s="1">
        <f t="shared" si="12"/>
        <v>560</v>
      </c>
      <c r="N32" s="1">
        <f t="shared" si="13"/>
        <v>0</v>
      </c>
      <c r="U32" s="1" t="e">
        <f t="shared" si="14"/>
        <v>#N/A</v>
      </c>
      <c r="V32" s="1" t="e">
        <f t="shared" si="1"/>
        <v>#N/A</v>
      </c>
      <c r="W32" s="1" t="e">
        <f t="shared" si="15"/>
        <v>#N/A</v>
      </c>
      <c r="X32" s="8" t="e" cm="1">
        <f t="array" ref="X32">IF(U32="","", IFERROR(((IF(U$5&lt;&gt;"", U$5*M$5, 0) + SUMPRODUCT(--(U$6:U32&lt;&gt;""), U$6:U32, (M$6:M32-M$5:M31)))/1000)/T$3, ""))</f>
        <v>#N/A</v>
      </c>
      <c r="Y32" s="1">
        <f t="shared" si="16"/>
        <v>560</v>
      </c>
      <c r="Z32" s="1">
        <f t="shared" si="17"/>
        <v>0</v>
      </c>
      <c r="AG32" s="1" t="e">
        <f t="shared" si="18"/>
        <v>#N/A</v>
      </c>
      <c r="AH32" s="1" t="e">
        <f t="shared" si="2"/>
        <v>#N/A</v>
      </c>
      <c r="AI32" s="1" t="e">
        <f t="shared" si="19"/>
        <v>#N/A</v>
      </c>
      <c r="AJ32" s="8" t="e" cm="1">
        <f t="array" ref="AJ32">IF(AG32="","", IFERROR(((IF(AG$5&lt;&gt;"", AG$5*Y$5, 0) + SUMPRODUCT(--(AG$6:AG32&lt;&gt;""), AG$6:AG32, (Y$6:Y32-Y$5:Y31)))/1000)/AF$3, ""))</f>
        <v>#N/A</v>
      </c>
      <c r="AK32" s="1">
        <f t="shared" si="20"/>
        <v>560</v>
      </c>
      <c r="AL32" s="1">
        <f t="shared" si="21"/>
        <v>0</v>
      </c>
      <c r="AS32" s="1" t="e">
        <f t="shared" si="22"/>
        <v>#N/A</v>
      </c>
      <c r="AT32" s="1" t="e">
        <f t="shared" si="3"/>
        <v>#N/A</v>
      </c>
      <c r="AU32" s="1" t="e">
        <f t="shared" si="23"/>
        <v>#N/A</v>
      </c>
      <c r="AV32" s="8" t="e" cm="1">
        <f t="array" ref="AV32">IF(AS32="","", IFERROR(((IF(AS$5&lt;&gt;"", AS$5*AK$5, 0) + SUMPRODUCT(--(AS$6:AS32&lt;&gt;""), AS$6:AS32, (AK$6:AK32-AK$5:AK31)))/1000)/AR$3, ""))</f>
        <v>#N/A</v>
      </c>
      <c r="AW32" s="1">
        <f t="shared" si="24"/>
        <v>560</v>
      </c>
      <c r="AX32" s="1">
        <f t="shared" si="25"/>
        <v>0</v>
      </c>
      <c r="BE32" s="1" t="e">
        <f t="shared" si="26"/>
        <v>#N/A</v>
      </c>
      <c r="BF32" s="1" t="e">
        <f t="shared" si="4"/>
        <v>#N/A</v>
      </c>
      <c r="BG32" s="1" t="e">
        <f t="shared" si="27"/>
        <v>#N/A</v>
      </c>
      <c r="BH32" s="8" t="e" cm="1">
        <f t="array" ref="BH32">IF(BE32="","", IFERROR(((IF(BE$5&lt;&gt;"", BE$5*AW$5, 0) + SUMPRODUCT(--(BE$6:BE32&lt;&gt;""), BE$6:BE32, (AW$6:AW32-AW$5:AW31)))/1000)/BD$3, ""))</f>
        <v>#N/A</v>
      </c>
      <c r="BI32" s="1">
        <f t="shared" si="28"/>
        <v>560</v>
      </c>
      <c r="BJ32" s="1">
        <f t="shared" si="29"/>
        <v>0</v>
      </c>
      <c r="BQ32" s="1" t="e">
        <f t="shared" si="30"/>
        <v>#N/A</v>
      </c>
      <c r="BR32" s="1" t="e">
        <f t="shared" si="5"/>
        <v>#N/A</v>
      </c>
      <c r="BS32" s="1" t="e">
        <f t="shared" si="31"/>
        <v>#N/A</v>
      </c>
      <c r="BT32" s="8" t="e" cm="1">
        <f t="array" ref="BT32">IF(BQ32="","", IFERROR(((IF(BQ$5&lt;&gt;"", BQ$5*BI$5, 0) + SUMPRODUCT(--(BQ$6:BQ32&lt;&gt;""), BQ$6:BQ32, (BI$6:BI32-BI$5:BI31)))/1000)/BP$3, ""))</f>
        <v>#N/A</v>
      </c>
      <c r="BU32" s="1">
        <f t="shared" si="32"/>
        <v>560</v>
      </c>
      <c r="BV32" s="1">
        <f t="shared" si="33"/>
        <v>0</v>
      </c>
      <c r="CC32" s="1" t="e">
        <f t="shared" si="34"/>
        <v>#N/A</v>
      </c>
      <c r="CD32" s="1" t="e">
        <f t="shared" si="6"/>
        <v>#N/A</v>
      </c>
      <c r="CE32" s="1" t="e">
        <f t="shared" si="35"/>
        <v>#N/A</v>
      </c>
      <c r="CF32" s="8" t="e" cm="1">
        <f t="array" ref="CF32">IF(CC32="","", IFERROR(((IF(CC$5&lt;&gt;"", CC$5*BU$5, 0) + SUMPRODUCT(--(CC$6:CC32&lt;&gt;""), CC$6:CC32, (BU$6:BU32-BU$5:BU31)))/1000)/CB$3, ""))</f>
        <v>#N/A</v>
      </c>
      <c r="CG32" s="1">
        <f t="shared" si="36"/>
        <v>560</v>
      </c>
      <c r="CH32" s="1">
        <f t="shared" si="37"/>
        <v>0</v>
      </c>
      <c r="CO32" s="1" t="e">
        <f t="shared" si="38"/>
        <v>#N/A</v>
      </c>
      <c r="CP32" s="1" t="e">
        <f t="shared" si="7"/>
        <v>#N/A</v>
      </c>
      <c r="CQ32" s="1" t="e">
        <f t="shared" si="39"/>
        <v>#N/A</v>
      </c>
      <c r="CR32" s="8" t="e" cm="1">
        <f t="array" ref="CR32">IF(CO32="","", IFERROR(((IF(CO$5&lt;&gt;"", CO$5*CG$5, 0) + SUMPRODUCT(--(CO$6:CO32&lt;&gt;""), CO$6:CO32, (CG$6:CG32-CG$5:CG31)))/1000)/CN$3, ""))</f>
        <v>#N/A</v>
      </c>
    </row>
    <row r="33" spans="1:96" x14ac:dyDescent="0.25">
      <c r="A33" s="1">
        <f t="shared" si="8"/>
        <v>580</v>
      </c>
      <c r="B33" s="1">
        <f t="shared" si="9"/>
        <v>0</v>
      </c>
      <c r="I33" s="1" t="e">
        <f t="shared" si="10"/>
        <v>#N/A</v>
      </c>
      <c r="J33" s="1" t="e">
        <f t="shared" si="0"/>
        <v>#N/A</v>
      </c>
      <c r="K33" s="1" t="e">
        <f t="shared" si="11"/>
        <v>#N/A</v>
      </c>
      <c r="L33" s="8" t="e" cm="1">
        <f t="array" ref="L33">IF(I33="","", IFERROR(((IF(I$5&lt;&gt;"", I$5*A$5, 0) + SUMPRODUCT(--(I$6:I33&lt;&gt;""), I$6:I33, (A$6:A33-A$5:A32)))/1000)/H$3, ""))</f>
        <v>#N/A</v>
      </c>
      <c r="M33" s="1">
        <f t="shared" si="12"/>
        <v>580</v>
      </c>
      <c r="N33" s="1">
        <f t="shared" si="13"/>
        <v>0</v>
      </c>
      <c r="U33" s="1" t="e">
        <f t="shared" si="14"/>
        <v>#N/A</v>
      </c>
      <c r="V33" s="1" t="e">
        <f t="shared" si="1"/>
        <v>#N/A</v>
      </c>
      <c r="W33" s="1" t="e">
        <f t="shared" si="15"/>
        <v>#N/A</v>
      </c>
      <c r="X33" s="8" t="e" cm="1">
        <f t="array" ref="X33">IF(U33="","", IFERROR(((IF(U$5&lt;&gt;"", U$5*M$5, 0) + SUMPRODUCT(--(U$6:U33&lt;&gt;""), U$6:U33, (M$6:M33-M$5:M32)))/1000)/T$3, ""))</f>
        <v>#N/A</v>
      </c>
      <c r="Y33" s="1">
        <f t="shared" si="16"/>
        <v>580</v>
      </c>
      <c r="Z33" s="1">
        <f t="shared" si="17"/>
        <v>0</v>
      </c>
      <c r="AG33" s="1" t="e">
        <f t="shared" si="18"/>
        <v>#N/A</v>
      </c>
      <c r="AH33" s="1" t="e">
        <f t="shared" si="2"/>
        <v>#N/A</v>
      </c>
      <c r="AI33" s="1" t="e">
        <f t="shared" si="19"/>
        <v>#N/A</v>
      </c>
      <c r="AJ33" s="8" t="e" cm="1">
        <f t="array" ref="AJ33">IF(AG33="","", IFERROR(((IF(AG$5&lt;&gt;"", AG$5*Y$5, 0) + SUMPRODUCT(--(AG$6:AG33&lt;&gt;""), AG$6:AG33, (Y$6:Y33-Y$5:Y32)))/1000)/AF$3, ""))</f>
        <v>#N/A</v>
      </c>
      <c r="AK33" s="1">
        <f t="shared" si="20"/>
        <v>580</v>
      </c>
      <c r="AL33" s="1">
        <f t="shared" si="21"/>
        <v>0</v>
      </c>
      <c r="AS33" s="1" t="e">
        <f t="shared" si="22"/>
        <v>#N/A</v>
      </c>
      <c r="AT33" s="1" t="e">
        <f t="shared" si="3"/>
        <v>#N/A</v>
      </c>
      <c r="AU33" s="1" t="e">
        <f t="shared" si="23"/>
        <v>#N/A</v>
      </c>
      <c r="AV33" s="8" t="e" cm="1">
        <f t="array" ref="AV33">IF(AS33="","", IFERROR(((IF(AS$5&lt;&gt;"", AS$5*AK$5, 0) + SUMPRODUCT(--(AS$6:AS33&lt;&gt;""), AS$6:AS33, (AK$6:AK33-AK$5:AK32)))/1000)/AR$3, ""))</f>
        <v>#N/A</v>
      </c>
      <c r="AW33" s="1">
        <f t="shared" si="24"/>
        <v>580</v>
      </c>
      <c r="AX33" s="1">
        <f t="shared" si="25"/>
        <v>0</v>
      </c>
      <c r="BE33" s="1" t="e">
        <f t="shared" si="26"/>
        <v>#N/A</v>
      </c>
      <c r="BF33" s="1" t="e">
        <f t="shared" si="4"/>
        <v>#N/A</v>
      </c>
      <c r="BG33" s="1" t="e">
        <f t="shared" si="27"/>
        <v>#N/A</v>
      </c>
      <c r="BH33" s="8" t="e" cm="1">
        <f t="array" ref="BH33">IF(BE33="","", IFERROR(((IF(BE$5&lt;&gt;"", BE$5*AW$5, 0) + SUMPRODUCT(--(BE$6:BE33&lt;&gt;""), BE$6:BE33, (AW$6:AW33-AW$5:AW32)))/1000)/BD$3, ""))</f>
        <v>#N/A</v>
      </c>
      <c r="BI33" s="1">
        <f t="shared" si="28"/>
        <v>580</v>
      </c>
      <c r="BJ33" s="1">
        <f t="shared" si="29"/>
        <v>0</v>
      </c>
      <c r="BQ33" s="1" t="e">
        <f t="shared" si="30"/>
        <v>#N/A</v>
      </c>
      <c r="BR33" s="1" t="e">
        <f t="shared" si="5"/>
        <v>#N/A</v>
      </c>
      <c r="BS33" s="1" t="e">
        <f t="shared" si="31"/>
        <v>#N/A</v>
      </c>
      <c r="BT33" s="8" t="e" cm="1">
        <f t="array" ref="BT33">IF(BQ33="","", IFERROR(((IF(BQ$5&lt;&gt;"", BQ$5*BI$5, 0) + SUMPRODUCT(--(BQ$6:BQ33&lt;&gt;""), BQ$6:BQ33, (BI$6:BI33-BI$5:BI32)))/1000)/BP$3, ""))</f>
        <v>#N/A</v>
      </c>
      <c r="BU33" s="1">
        <f t="shared" si="32"/>
        <v>580</v>
      </c>
      <c r="BV33" s="1">
        <f t="shared" si="33"/>
        <v>0</v>
      </c>
      <c r="CC33" s="1" t="e">
        <f t="shared" si="34"/>
        <v>#N/A</v>
      </c>
      <c r="CD33" s="1" t="e">
        <f t="shared" si="6"/>
        <v>#N/A</v>
      </c>
      <c r="CE33" s="1" t="e">
        <f t="shared" si="35"/>
        <v>#N/A</v>
      </c>
      <c r="CF33" s="8" t="e" cm="1">
        <f t="array" ref="CF33">IF(CC33="","", IFERROR(((IF(CC$5&lt;&gt;"", CC$5*BU$5, 0) + SUMPRODUCT(--(CC$6:CC33&lt;&gt;""), CC$6:CC33, (BU$6:BU33-BU$5:BU32)))/1000)/CB$3, ""))</f>
        <v>#N/A</v>
      </c>
      <c r="CG33" s="1">
        <f t="shared" si="36"/>
        <v>580</v>
      </c>
      <c r="CH33" s="1">
        <f t="shared" si="37"/>
        <v>0</v>
      </c>
      <c r="CO33" s="1" t="e">
        <f t="shared" si="38"/>
        <v>#N/A</v>
      </c>
      <c r="CP33" s="1" t="e">
        <f t="shared" si="7"/>
        <v>#N/A</v>
      </c>
      <c r="CQ33" s="1" t="e">
        <f t="shared" si="39"/>
        <v>#N/A</v>
      </c>
      <c r="CR33" s="8" t="e" cm="1">
        <f t="array" ref="CR33">IF(CO33="","", IFERROR(((IF(CO$5&lt;&gt;"", CO$5*CG$5, 0) + SUMPRODUCT(--(CO$6:CO33&lt;&gt;""), CO$6:CO33, (CG$6:CG33-CG$5:CG32)))/1000)/CN$3, ""))</f>
        <v>#N/A</v>
      </c>
    </row>
    <row r="34" spans="1:96" x14ac:dyDescent="0.25">
      <c r="A34" s="1">
        <f t="shared" si="8"/>
        <v>600</v>
      </c>
      <c r="B34" s="1">
        <f t="shared" si="9"/>
        <v>0</v>
      </c>
      <c r="I34" s="1" t="e">
        <f t="shared" si="10"/>
        <v>#N/A</v>
      </c>
      <c r="J34" s="1" t="e">
        <f t="shared" si="0"/>
        <v>#N/A</v>
      </c>
      <c r="K34" s="1" t="e">
        <f t="shared" si="11"/>
        <v>#N/A</v>
      </c>
      <c r="L34" s="8" t="e" cm="1">
        <f t="array" ref="L34">IF(I34="","", IFERROR(((IF(I$5&lt;&gt;"", I$5*A$5, 0) + SUMPRODUCT(--(I$6:I34&lt;&gt;""), I$6:I34, (A$6:A34-A$5:A33)))/1000)/H$3, ""))</f>
        <v>#N/A</v>
      </c>
      <c r="M34" s="1">
        <f t="shared" si="12"/>
        <v>600</v>
      </c>
      <c r="N34" s="1">
        <f t="shared" si="13"/>
        <v>0</v>
      </c>
      <c r="U34" s="1" t="e">
        <f t="shared" si="14"/>
        <v>#N/A</v>
      </c>
      <c r="V34" s="1" t="e">
        <f t="shared" si="1"/>
        <v>#N/A</v>
      </c>
      <c r="W34" s="1" t="e">
        <f t="shared" si="15"/>
        <v>#N/A</v>
      </c>
      <c r="X34" s="8" t="e" cm="1">
        <f t="array" ref="X34">IF(U34="","", IFERROR(((IF(U$5&lt;&gt;"", U$5*M$5, 0) + SUMPRODUCT(--(U$6:U34&lt;&gt;""), U$6:U34, (M$6:M34-M$5:M33)))/1000)/T$3, ""))</f>
        <v>#N/A</v>
      </c>
      <c r="Y34" s="1">
        <f t="shared" si="16"/>
        <v>600</v>
      </c>
      <c r="Z34" s="1">
        <f t="shared" si="17"/>
        <v>0</v>
      </c>
      <c r="AG34" s="1" t="e">
        <f t="shared" si="18"/>
        <v>#N/A</v>
      </c>
      <c r="AH34" s="1" t="e">
        <f t="shared" si="2"/>
        <v>#N/A</v>
      </c>
      <c r="AI34" s="1" t="e">
        <f t="shared" si="19"/>
        <v>#N/A</v>
      </c>
      <c r="AJ34" s="8" t="e" cm="1">
        <f t="array" ref="AJ34">IF(AG34="","", IFERROR(((IF(AG$5&lt;&gt;"", AG$5*Y$5, 0) + SUMPRODUCT(--(AG$6:AG34&lt;&gt;""), AG$6:AG34, (Y$6:Y34-Y$5:Y33)))/1000)/AF$3, ""))</f>
        <v>#N/A</v>
      </c>
      <c r="AK34" s="1">
        <f t="shared" si="20"/>
        <v>600</v>
      </c>
      <c r="AL34" s="1">
        <f t="shared" si="21"/>
        <v>0</v>
      </c>
      <c r="AS34" s="1" t="e">
        <f t="shared" si="22"/>
        <v>#N/A</v>
      </c>
      <c r="AT34" s="1" t="e">
        <f t="shared" si="3"/>
        <v>#N/A</v>
      </c>
      <c r="AU34" s="1" t="e">
        <f t="shared" si="23"/>
        <v>#N/A</v>
      </c>
      <c r="AV34" s="8" t="e" cm="1">
        <f t="array" ref="AV34">IF(AS34="","", IFERROR(((IF(AS$5&lt;&gt;"", AS$5*AK$5, 0) + SUMPRODUCT(--(AS$6:AS34&lt;&gt;""), AS$6:AS34, (AK$6:AK34-AK$5:AK33)))/1000)/AR$3, ""))</f>
        <v>#N/A</v>
      </c>
      <c r="AW34" s="1">
        <f t="shared" si="24"/>
        <v>600</v>
      </c>
      <c r="AX34" s="1">
        <f t="shared" si="25"/>
        <v>0</v>
      </c>
      <c r="BE34" s="1" t="e">
        <f t="shared" si="26"/>
        <v>#N/A</v>
      </c>
      <c r="BF34" s="1" t="e">
        <f t="shared" si="4"/>
        <v>#N/A</v>
      </c>
      <c r="BG34" s="1" t="e">
        <f t="shared" si="27"/>
        <v>#N/A</v>
      </c>
      <c r="BH34" s="8" t="e" cm="1">
        <f t="array" ref="BH34">IF(BE34="","", IFERROR(((IF(BE$5&lt;&gt;"", BE$5*AW$5, 0) + SUMPRODUCT(--(BE$6:BE34&lt;&gt;""), BE$6:BE34, (AW$6:AW34-AW$5:AW33)))/1000)/BD$3, ""))</f>
        <v>#N/A</v>
      </c>
      <c r="BI34" s="1">
        <f t="shared" si="28"/>
        <v>600</v>
      </c>
      <c r="BJ34" s="1">
        <f t="shared" si="29"/>
        <v>0</v>
      </c>
      <c r="BQ34" s="1" t="e">
        <f t="shared" si="30"/>
        <v>#N/A</v>
      </c>
      <c r="BR34" s="1" t="e">
        <f t="shared" si="5"/>
        <v>#N/A</v>
      </c>
      <c r="BS34" s="1" t="e">
        <f t="shared" si="31"/>
        <v>#N/A</v>
      </c>
      <c r="BT34" s="8" t="e" cm="1">
        <f t="array" ref="BT34">IF(BQ34="","", IFERROR(((IF(BQ$5&lt;&gt;"", BQ$5*BI$5, 0) + SUMPRODUCT(--(BQ$6:BQ34&lt;&gt;""), BQ$6:BQ34, (BI$6:BI34-BI$5:BI33)))/1000)/BP$3, ""))</f>
        <v>#N/A</v>
      </c>
      <c r="BU34" s="1">
        <f t="shared" si="32"/>
        <v>600</v>
      </c>
      <c r="BV34" s="1">
        <f t="shared" si="33"/>
        <v>0</v>
      </c>
      <c r="CC34" s="1" t="e">
        <f t="shared" si="34"/>
        <v>#N/A</v>
      </c>
      <c r="CD34" s="1" t="e">
        <f t="shared" si="6"/>
        <v>#N/A</v>
      </c>
      <c r="CE34" s="1" t="e">
        <f t="shared" si="35"/>
        <v>#N/A</v>
      </c>
      <c r="CF34" s="8" t="e" cm="1">
        <f t="array" ref="CF34">IF(CC34="","", IFERROR(((IF(CC$5&lt;&gt;"", CC$5*BU$5, 0) + SUMPRODUCT(--(CC$6:CC34&lt;&gt;""), CC$6:CC34, (BU$6:BU34-BU$5:BU33)))/1000)/CB$3, ""))</f>
        <v>#N/A</v>
      </c>
      <c r="CG34" s="1">
        <f t="shared" si="36"/>
        <v>600</v>
      </c>
      <c r="CH34" s="1">
        <f t="shared" si="37"/>
        <v>0</v>
      </c>
      <c r="CO34" s="1" t="e">
        <f t="shared" si="38"/>
        <v>#N/A</v>
      </c>
      <c r="CP34" s="1" t="e">
        <f t="shared" si="7"/>
        <v>#N/A</v>
      </c>
      <c r="CQ34" s="1" t="e">
        <f t="shared" si="39"/>
        <v>#N/A</v>
      </c>
      <c r="CR34" s="8" t="e" cm="1">
        <f t="array" ref="CR34">IF(CO34="","", IFERROR(((IF(CO$5&lt;&gt;"", CO$5*CG$5, 0) + SUMPRODUCT(--(CO$6:CO34&lt;&gt;""), CO$6:CO34, (CG$6:CG34-CG$5:CG33)))/1000)/CN$3, ""))</f>
        <v>#N/A</v>
      </c>
    </row>
    <row r="35" spans="1:96" x14ac:dyDescent="0.25">
      <c r="A35" s="1">
        <f t="shared" si="8"/>
        <v>620</v>
      </c>
      <c r="B35" s="1">
        <f t="shared" si="9"/>
        <v>0</v>
      </c>
      <c r="I35" s="1" t="e">
        <f t="shared" si="10"/>
        <v>#N/A</v>
      </c>
      <c r="J35" s="1" t="e">
        <f t="shared" si="0"/>
        <v>#N/A</v>
      </c>
      <c r="K35" s="1" t="e">
        <f t="shared" si="11"/>
        <v>#N/A</v>
      </c>
      <c r="L35" s="8" t="e" cm="1">
        <f t="array" ref="L35">IF(I35="","", IFERROR(((IF(I$5&lt;&gt;"", I$5*A$5, 0) + SUMPRODUCT(--(I$6:I35&lt;&gt;""), I$6:I35, (A$6:A35-A$5:A34)))/1000)/H$3, ""))</f>
        <v>#N/A</v>
      </c>
      <c r="M35" s="1">
        <f t="shared" si="12"/>
        <v>620</v>
      </c>
      <c r="N35" s="1">
        <f t="shared" si="13"/>
        <v>0</v>
      </c>
      <c r="U35" s="1" t="e">
        <f t="shared" si="14"/>
        <v>#N/A</v>
      </c>
      <c r="V35" s="1" t="e">
        <f t="shared" si="1"/>
        <v>#N/A</v>
      </c>
      <c r="W35" s="1" t="e">
        <f t="shared" si="15"/>
        <v>#N/A</v>
      </c>
      <c r="X35" s="8" t="e" cm="1">
        <f t="array" ref="X35">IF(U35="","", IFERROR(((IF(U$5&lt;&gt;"", U$5*M$5, 0) + SUMPRODUCT(--(U$6:U35&lt;&gt;""), U$6:U35, (M$6:M35-M$5:M34)))/1000)/T$3, ""))</f>
        <v>#N/A</v>
      </c>
      <c r="Y35" s="1">
        <f t="shared" si="16"/>
        <v>620</v>
      </c>
      <c r="Z35" s="1">
        <f t="shared" si="17"/>
        <v>0</v>
      </c>
      <c r="AG35" s="1" t="e">
        <f t="shared" si="18"/>
        <v>#N/A</v>
      </c>
      <c r="AH35" s="1" t="e">
        <f t="shared" si="2"/>
        <v>#N/A</v>
      </c>
      <c r="AI35" s="1" t="e">
        <f t="shared" si="19"/>
        <v>#N/A</v>
      </c>
      <c r="AJ35" s="8" t="e" cm="1">
        <f t="array" ref="AJ35">IF(AG35="","", IFERROR(((IF(AG$5&lt;&gt;"", AG$5*Y$5, 0) + SUMPRODUCT(--(AG$6:AG35&lt;&gt;""), AG$6:AG35, (Y$6:Y35-Y$5:Y34)))/1000)/AF$3, ""))</f>
        <v>#N/A</v>
      </c>
      <c r="AK35" s="1">
        <f t="shared" si="20"/>
        <v>620</v>
      </c>
      <c r="AL35" s="1">
        <f t="shared" si="21"/>
        <v>0</v>
      </c>
      <c r="AS35" s="1" t="e">
        <f t="shared" si="22"/>
        <v>#N/A</v>
      </c>
      <c r="AT35" s="1" t="e">
        <f t="shared" si="3"/>
        <v>#N/A</v>
      </c>
      <c r="AU35" s="1" t="e">
        <f t="shared" si="23"/>
        <v>#N/A</v>
      </c>
      <c r="AV35" s="8" t="e" cm="1">
        <f t="array" ref="AV35">IF(AS35="","", IFERROR(((IF(AS$5&lt;&gt;"", AS$5*AK$5, 0) + SUMPRODUCT(--(AS$6:AS35&lt;&gt;""), AS$6:AS35, (AK$6:AK35-AK$5:AK34)))/1000)/AR$3, ""))</f>
        <v>#N/A</v>
      </c>
      <c r="AW35" s="1">
        <f t="shared" si="24"/>
        <v>620</v>
      </c>
      <c r="AX35" s="1">
        <f t="shared" si="25"/>
        <v>0</v>
      </c>
      <c r="BE35" s="1" t="e">
        <f t="shared" si="26"/>
        <v>#N/A</v>
      </c>
      <c r="BF35" s="1" t="e">
        <f t="shared" si="4"/>
        <v>#N/A</v>
      </c>
      <c r="BG35" s="1" t="e">
        <f t="shared" si="27"/>
        <v>#N/A</v>
      </c>
      <c r="BH35" s="8" t="e" cm="1">
        <f t="array" ref="BH35">IF(BE35="","", IFERROR(((IF(BE$5&lt;&gt;"", BE$5*AW$5, 0) + SUMPRODUCT(--(BE$6:BE35&lt;&gt;""), BE$6:BE35, (AW$6:AW35-AW$5:AW34)))/1000)/BD$3, ""))</f>
        <v>#N/A</v>
      </c>
      <c r="BI35" s="1">
        <f t="shared" si="28"/>
        <v>620</v>
      </c>
      <c r="BJ35" s="1">
        <f t="shared" si="29"/>
        <v>0</v>
      </c>
      <c r="BQ35" s="1" t="e">
        <f t="shared" si="30"/>
        <v>#N/A</v>
      </c>
      <c r="BR35" s="1" t="e">
        <f t="shared" si="5"/>
        <v>#N/A</v>
      </c>
      <c r="BS35" s="1" t="e">
        <f t="shared" si="31"/>
        <v>#N/A</v>
      </c>
      <c r="BT35" s="8" t="e" cm="1">
        <f t="array" ref="BT35">IF(BQ35="","", IFERROR(((IF(BQ$5&lt;&gt;"", BQ$5*BI$5, 0) + SUMPRODUCT(--(BQ$6:BQ35&lt;&gt;""), BQ$6:BQ35, (BI$6:BI35-BI$5:BI34)))/1000)/BP$3, ""))</f>
        <v>#N/A</v>
      </c>
      <c r="BU35" s="1">
        <f t="shared" si="32"/>
        <v>620</v>
      </c>
      <c r="BV35" s="1">
        <f t="shared" si="33"/>
        <v>0</v>
      </c>
      <c r="CC35" s="1" t="e">
        <f t="shared" si="34"/>
        <v>#N/A</v>
      </c>
      <c r="CD35" s="1" t="e">
        <f t="shared" si="6"/>
        <v>#N/A</v>
      </c>
      <c r="CE35" s="1" t="e">
        <f t="shared" si="35"/>
        <v>#N/A</v>
      </c>
      <c r="CF35" s="8" t="e" cm="1">
        <f t="array" ref="CF35">IF(CC35="","", IFERROR(((IF(CC$5&lt;&gt;"", CC$5*BU$5, 0) + SUMPRODUCT(--(CC$6:CC35&lt;&gt;""), CC$6:CC35, (BU$6:BU35-BU$5:BU34)))/1000)/CB$3, ""))</f>
        <v>#N/A</v>
      </c>
      <c r="CG35" s="1">
        <f t="shared" si="36"/>
        <v>620</v>
      </c>
      <c r="CH35" s="1">
        <f t="shared" si="37"/>
        <v>0</v>
      </c>
      <c r="CO35" s="1" t="e">
        <f t="shared" si="38"/>
        <v>#N/A</v>
      </c>
      <c r="CP35" s="1" t="e">
        <f t="shared" si="7"/>
        <v>#N/A</v>
      </c>
      <c r="CQ35" s="1" t="e">
        <f t="shared" si="39"/>
        <v>#N/A</v>
      </c>
      <c r="CR35" s="8" t="e" cm="1">
        <f t="array" ref="CR35">IF(CO35="","", IFERROR(((IF(CO$5&lt;&gt;"", CO$5*CG$5, 0) + SUMPRODUCT(--(CO$6:CO35&lt;&gt;""), CO$6:CO35, (CG$6:CG35-CG$5:CG34)))/1000)/CN$3, ""))</f>
        <v>#N/A</v>
      </c>
    </row>
    <row r="36" spans="1:96" x14ac:dyDescent="0.25">
      <c r="A36" s="1">
        <f t="shared" si="8"/>
        <v>640</v>
      </c>
      <c r="B36" s="1">
        <f t="shared" si="9"/>
        <v>0</v>
      </c>
      <c r="I36" s="1" t="e">
        <f t="shared" si="10"/>
        <v>#N/A</v>
      </c>
      <c r="J36" s="1" t="e">
        <f t="shared" si="0"/>
        <v>#N/A</v>
      </c>
      <c r="K36" s="1" t="e">
        <f t="shared" si="11"/>
        <v>#N/A</v>
      </c>
      <c r="L36" s="8" t="e" cm="1">
        <f t="array" ref="L36">IF(I36="","", IFERROR(((IF(I$5&lt;&gt;"", I$5*A$5, 0) + SUMPRODUCT(--(I$6:I36&lt;&gt;""), I$6:I36, (A$6:A36-A$5:A35)))/1000)/H$3, ""))</f>
        <v>#N/A</v>
      </c>
      <c r="M36" s="1">
        <f t="shared" si="12"/>
        <v>640</v>
      </c>
      <c r="N36" s="1">
        <f t="shared" si="13"/>
        <v>0</v>
      </c>
      <c r="U36" s="1" t="e">
        <f t="shared" si="14"/>
        <v>#N/A</v>
      </c>
      <c r="V36" s="1" t="e">
        <f t="shared" si="1"/>
        <v>#N/A</v>
      </c>
      <c r="W36" s="1" t="e">
        <f t="shared" si="15"/>
        <v>#N/A</v>
      </c>
      <c r="X36" s="8" t="e" cm="1">
        <f t="array" ref="X36">IF(U36="","", IFERROR(((IF(U$5&lt;&gt;"", U$5*M$5, 0) + SUMPRODUCT(--(U$6:U36&lt;&gt;""), U$6:U36, (M$6:M36-M$5:M35)))/1000)/T$3, ""))</f>
        <v>#N/A</v>
      </c>
      <c r="Y36" s="1">
        <f t="shared" si="16"/>
        <v>640</v>
      </c>
      <c r="Z36" s="1">
        <f t="shared" si="17"/>
        <v>0</v>
      </c>
      <c r="AG36" s="1" t="e">
        <f t="shared" si="18"/>
        <v>#N/A</v>
      </c>
      <c r="AH36" s="1" t="e">
        <f t="shared" si="2"/>
        <v>#N/A</v>
      </c>
      <c r="AI36" s="1" t="e">
        <f t="shared" si="19"/>
        <v>#N/A</v>
      </c>
      <c r="AJ36" s="8" t="e" cm="1">
        <f t="array" ref="AJ36">IF(AG36="","", IFERROR(((IF(AG$5&lt;&gt;"", AG$5*Y$5, 0) + SUMPRODUCT(--(AG$6:AG36&lt;&gt;""), AG$6:AG36, (Y$6:Y36-Y$5:Y35)))/1000)/AF$3, ""))</f>
        <v>#N/A</v>
      </c>
      <c r="AK36" s="1">
        <f t="shared" si="20"/>
        <v>640</v>
      </c>
      <c r="AL36" s="1">
        <f t="shared" si="21"/>
        <v>0</v>
      </c>
      <c r="AS36" s="1" t="e">
        <f t="shared" si="22"/>
        <v>#N/A</v>
      </c>
      <c r="AT36" s="1" t="e">
        <f t="shared" si="3"/>
        <v>#N/A</v>
      </c>
      <c r="AU36" s="1" t="e">
        <f t="shared" si="23"/>
        <v>#N/A</v>
      </c>
      <c r="AV36" s="8" t="e" cm="1">
        <f t="array" ref="AV36">IF(AS36="","", IFERROR(((IF(AS$5&lt;&gt;"", AS$5*AK$5, 0) + SUMPRODUCT(--(AS$6:AS36&lt;&gt;""), AS$6:AS36, (AK$6:AK36-AK$5:AK35)))/1000)/AR$3, ""))</f>
        <v>#N/A</v>
      </c>
      <c r="AW36" s="1">
        <f t="shared" si="24"/>
        <v>640</v>
      </c>
      <c r="AX36" s="1">
        <f t="shared" si="25"/>
        <v>0</v>
      </c>
      <c r="BE36" s="1" t="e">
        <f t="shared" si="26"/>
        <v>#N/A</v>
      </c>
      <c r="BF36" s="1" t="e">
        <f t="shared" si="4"/>
        <v>#N/A</v>
      </c>
      <c r="BG36" s="1" t="e">
        <f t="shared" si="27"/>
        <v>#N/A</v>
      </c>
      <c r="BH36" s="8" t="e" cm="1">
        <f t="array" ref="BH36">IF(BE36="","", IFERROR(((IF(BE$5&lt;&gt;"", BE$5*AW$5, 0) + SUMPRODUCT(--(BE$6:BE36&lt;&gt;""), BE$6:BE36, (AW$6:AW36-AW$5:AW35)))/1000)/BD$3, ""))</f>
        <v>#N/A</v>
      </c>
      <c r="BI36" s="1">
        <f t="shared" si="28"/>
        <v>640</v>
      </c>
      <c r="BJ36" s="1">
        <f t="shared" si="29"/>
        <v>0</v>
      </c>
      <c r="BQ36" s="1" t="e">
        <f t="shared" si="30"/>
        <v>#N/A</v>
      </c>
      <c r="BR36" s="1" t="e">
        <f t="shared" si="5"/>
        <v>#N/A</v>
      </c>
      <c r="BS36" s="1" t="e">
        <f t="shared" si="31"/>
        <v>#N/A</v>
      </c>
      <c r="BT36" s="8" t="e" cm="1">
        <f t="array" ref="BT36">IF(BQ36="","", IFERROR(((IF(BQ$5&lt;&gt;"", BQ$5*BI$5, 0) + SUMPRODUCT(--(BQ$6:BQ36&lt;&gt;""), BQ$6:BQ36, (BI$6:BI36-BI$5:BI35)))/1000)/BP$3, ""))</f>
        <v>#N/A</v>
      </c>
      <c r="BU36" s="1">
        <f t="shared" si="32"/>
        <v>640</v>
      </c>
      <c r="BV36" s="1">
        <f t="shared" si="33"/>
        <v>0</v>
      </c>
      <c r="CC36" s="1" t="e">
        <f t="shared" si="34"/>
        <v>#N/A</v>
      </c>
      <c r="CD36" s="1" t="e">
        <f t="shared" si="6"/>
        <v>#N/A</v>
      </c>
      <c r="CE36" s="1" t="e">
        <f t="shared" si="35"/>
        <v>#N/A</v>
      </c>
      <c r="CF36" s="8" t="e" cm="1">
        <f t="array" ref="CF36">IF(CC36="","", IFERROR(((IF(CC$5&lt;&gt;"", CC$5*BU$5, 0) + SUMPRODUCT(--(CC$6:CC36&lt;&gt;""), CC$6:CC36, (BU$6:BU36-BU$5:BU35)))/1000)/CB$3, ""))</f>
        <v>#N/A</v>
      </c>
      <c r="CG36" s="1">
        <f t="shared" si="36"/>
        <v>640</v>
      </c>
      <c r="CH36" s="1">
        <f t="shared" si="37"/>
        <v>0</v>
      </c>
      <c r="CO36" s="1" t="e">
        <f t="shared" si="38"/>
        <v>#N/A</v>
      </c>
      <c r="CP36" s="1" t="e">
        <f t="shared" si="7"/>
        <v>#N/A</v>
      </c>
      <c r="CQ36" s="1" t="e">
        <f t="shared" si="39"/>
        <v>#N/A</v>
      </c>
      <c r="CR36" s="8" t="e" cm="1">
        <f t="array" ref="CR36">IF(CO36="","", IFERROR(((IF(CO$5&lt;&gt;"", CO$5*CG$5, 0) + SUMPRODUCT(--(CO$6:CO36&lt;&gt;""), CO$6:CO36, (CG$6:CG36-CG$5:CG35)))/1000)/CN$3, ""))</f>
        <v>#N/A</v>
      </c>
    </row>
    <row r="37" spans="1:96" x14ac:dyDescent="0.25">
      <c r="A37" s="1">
        <f t="shared" si="8"/>
        <v>660</v>
      </c>
      <c r="B37" s="1">
        <f t="shared" si="9"/>
        <v>0</v>
      </c>
      <c r="I37" s="1" t="e">
        <f t="shared" si="10"/>
        <v>#N/A</v>
      </c>
      <c r="J37" s="1" t="e">
        <f t="shared" si="0"/>
        <v>#N/A</v>
      </c>
      <c r="K37" s="1" t="e">
        <f t="shared" si="11"/>
        <v>#N/A</v>
      </c>
      <c r="L37" s="8" t="e" cm="1">
        <f t="array" ref="L37">IF(I37="","", IFERROR(((IF(I$5&lt;&gt;"", I$5*A$5, 0) + SUMPRODUCT(--(I$6:I37&lt;&gt;""), I$6:I37, (A$6:A37-A$5:A36)))/1000)/H$3, ""))</f>
        <v>#N/A</v>
      </c>
      <c r="M37" s="1">
        <f t="shared" si="12"/>
        <v>660</v>
      </c>
      <c r="N37" s="1">
        <f t="shared" si="13"/>
        <v>0</v>
      </c>
      <c r="U37" s="1" t="e">
        <f t="shared" si="14"/>
        <v>#N/A</v>
      </c>
      <c r="V37" s="1" t="e">
        <f t="shared" si="1"/>
        <v>#N/A</v>
      </c>
      <c r="W37" s="1" t="e">
        <f t="shared" si="15"/>
        <v>#N/A</v>
      </c>
      <c r="X37" s="8" t="e" cm="1">
        <f t="array" ref="X37">IF(U37="","", IFERROR(((IF(U$5&lt;&gt;"", U$5*M$5, 0) + SUMPRODUCT(--(U$6:U37&lt;&gt;""), U$6:U37, (M$6:M37-M$5:M36)))/1000)/T$3, ""))</f>
        <v>#N/A</v>
      </c>
      <c r="Y37" s="1">
        <f t="shared" si="16"/>
        <v>660</v>
      </c>
      <c r="Z37" s="1">
        <f t="shared" si="17"/>
        <v>0</v>
      </c>
      <c r="AG37" s="1" t="e">
        <f t="shared" si="18"/>
        <v>#N/A</v>
      </c>
      <c r="AH37" s="1" t="e">
        <f t="shared" si="2"/>
        <v>#N/A</v>
      </c>
      <c r="AI37" s="1" t="e">
        <f t="shared" si="19"/>
        <v>#N/A</v>
      </c>
      <c r="AJ37" s="8" t="e" cm="1">
        <f t="array" ref="AJ37">IF(AG37="","", IFERROR(((IF(AG$5&lt;&gt;"", AG$5*Y$5, 0) + SUMPRODUCT(--(AG$6:AG37&lt;&gt;""), AG$6:AG37, (Y$6:Y37-Y$5:Y36)))/1000)/AF$3, ""))</f>
        <v>#N/A</v>
      </c>
      <c r="AK37" s="1">
        <f t="shared" si="20"/>
        <v>660</v>
      </c>
      <c r="AL37" s="1">
        <f t="shared" si="21"/>
        <v>0</v>
      </c>
      <c r="AS37" s="1" t="e">
        <f t="shared" si="22"/>
        <v>#N/A</v>
      </c>
      <c r="AT37" s="1" t="e">
        <f t="shared" si="3"/>
        <v>#N/A</v>
      </c>
      <c r="AU37" s="1" t="e">
        <f t="shared" si="23"/>
        <v>#N/A</v>
      </c>
      <c r="AV37" s="8" t="e" cm="1">
        <f t="array" ref="AV37">IF(AS37="","", IFERROR(((IF(AS$5&lt;&gt;"", AS$5*AK$5, 0) + SUMPRODUCT(--(AS$6:AS37&lt;&gt;""), AS$6:AS37, (AK$6:AK37-AK$5:AK36)))/1000)/AR$3, ""))</f>
        <v>#N/A</v>
      </c>
      <c r="AW37" s="1">
        <f t="shared" si="24"/>
        <v>660</v>
      </c>
      <c r="AX37" s="1">
        <f t="shared" si="25"/>
        <v>0</v>
      </c>
      <c r="BE37" s="1" t="e">
        <f t="shared" si="26"/>
        <v>#N/A</v>
      </c>
      <c r="BF37" s="1" t="e">
        <f t="shared" si="4"/>
        <v>#N/A</v>
      </c>
      <c r="BG37" s="1" t="e">
        <f t="shared" si="27"/>
        <v>#N/A</v>
      </c>
      <c r="BH37" s="8" t="e" cm="1">
        <f t="array" ref="BH37">IF(BE37="","", IFERROR(((IF(BE$5&lt;&gt;"", BE$5*AW$5, 0) + SUMPRODUCT(--(BE$6:BE37&lt;&gt;""), BE$6:BE37, (AW$6:AW37-AW$5:AW36)))/1000)/BD$3, ""))</f>
        <v>#N/A</v>
      </c>
      <c r="BI37" s="1">
        <f t="shared" si="28"/>
        <v>660</v>
      </c>
      <c r="BJ37" s="1">
        <f t="shared" si="29"/>
        <v>0</v>
      </c>
      <c r="BQ37" s="1" t="e">
        <f t="shared" si="30"/>
        <v>#N/A</v>
      </c>
      <c r="BR37" s="1" t="e">
        <f t="shared" si="5"/>
        <v>#N/A</v>
      </c>
      <c r="BS37" s="1" t="e">
        <f t="shared" si="31"/>
        <v>#N/A</v>
      </c>
      <c r="BT37" s="8" t="e" cm="1">
        <f t="array" ref="BT37">IF(BQ37="","", IFERROR(((IF(BQ$5&lt;&gt;"", BQ$5*BI$5, 0) + SUMPRODUCT(--(BQ$6:BQ37&lt;&gt;""), BQ$6:BQ37, (BI$6:BI37-BI$5:BI36)))/1000)/BP$3, ""))</f>
        <v>#N/A</v>
      </c>
      <c r="BU37" s="1">
        <f t="shared" si="32"/>
        <v>660</v>
      </c>
      <c r="BV37" s="1">
        <f t="shared" si="33"/>
        <v>0</v>
      </c>
      <c r="CC37" s="1" t="e">
        <f t="shared" si="34"/>
        <v>#N/A</v>
      </c>
      <c r="CD37" s="1" t="e">
        <f t="shared" si="6"/>
        <v>#N/A</v>
      </c>
      <c r="CE37" s="1" t="e">
        <f t="shared" si="35"/>
        <v>#N/A</v>
      </c>
      <c r="CF37" s="8" t="e" cm="1">
        <f t="array" ref="CF37">IF(CC37="","", IFERROR(((IF(CC$5&lt;&gt;"", CC$5*BU$5, 0) + SUMPRODUCT(--(CC$6:CC37&lt;&gt;""), CC$6:CC37, (BU$6:BU37-BU$5:BU36)))/1000)/CB$3, ""))</f>
        <v>#N/A</v>
      </c>
      <c r="CG37" s="1">
        <f t="shared" si="36"/>
        <v>660</v>
      </c>
      <c r="CH37" s="1">
        <f t="shared" si="37"/>
        <v>0</v>
      </c>
      <c r="CO37" s="1" t="e">
        <f t="shared" si="38"/>
        <v>#N/A</v>
      </c>
      <c r="CP37" s="1" t="e">
        <f t="shared" si="7"/>
        <v>#N/A</v>
      </c>
      <c r="CQ37" s="1" t="e">
        <f t="shared" si="39"/>
        <v>#N/A</v>
      </c>
      <c r="CR37" s="8" t="e" cm="1">
        <f t="array" ref="CR37">IF(CO37="","", IFERROR(((IF(CO$5&lt;&gt;"", CO$5*CG$5, 0) + SUMPRODUCT(--(CO$6:CO37&lt;&gt;""), CO$6:CO37, (CG$6:CG37-CG$5:CG36)))/1000)/CN$3, ""))</f>
        <v>#N/A</v>
      </c>
    </row>
    <row r="38" spans="1:96" x14ac:dyDescent="0.25">
      <c r="A38" s="1">
        <f t="shared" si="8"/>
        <v>680</v>
      </c>
      <c r="B38" s="1">
        <f t="shared" si="9"/>
        <v>0</v>
      </c>
      <c r="I38" s="1" t="e">
        <f t="shared" si="10"/>
        <v>#N/A</v>
      </c>
      <c r="J38" s="1" t="e">
        <f t="shared" si="0"/>
        <v>#N/A</v>
      </c>
      <c r="K38" s="1" t="e">
        <f t="shared" si="11"/>
        <v>#N/A</v>
      </c>
      <c r="L38" s="8" t="e" cm="1">
        <f t="array" ref="L38">IF(I38="","", IFERROR(((IF(I$5&lt;&gt;"", I$5*A$5, 0) + SUMPRODUCT(--(I$6:I38&lt;&gt;""), I$6:I38, (A$6:A38-A$5:A37)))/1000)/H$3, ""))</f>
        <v>#N/A</v>
      </c>
      <c r="M38" s="1">
        <f t="shared" si="12"/>
        <v>680</v>
      </c>
      <c r="N38" s="1">
        <f t="shared" si="13"/>
        <v>0</v>
      </c>
      <c r="U38" s="1" t="e">
        <f t="shared" si="14"/>
        <v>#N/A</v>
      </c>
      <c r="V38" s="1" t="e">
        <f t="shared" si="1"/>
        <v>#N/A</v>
      </c>
      <c r="W38" s="1" t="e">
        <f t="shared" si="15"/>
        <v>#N/A</v>
      </c>
      <c r="X38" s="8" t="e" cm="1">
        <f t="array" ref="X38">IF(U38="","", IFERROR(((IF(U$5&lt;&gt;"", U$5*M$5, 0) + SUMPRODUCT(--(U$6:U38&lt;&gt;""), U$6:U38, (M$6:M38-M$5:M37)))/1000)/T$3, ""))</f>
        <v>#N/A</v>
      </c>
      <c r="Y38" s="1">
        <f t="shared" si="16"/>
        <v>680</v>
      </c>
      <c r="Z38" s="1">
        <f t="shared" si="17"/>
        <v>0</v>
      </c>
      <c r="AG38" s="1" t="e">
        <f t="shared" si="18"/>
        <v>#N/A</v>
      </c>
      <c r="AH38" s="1" t="e">
        <f t="shared" si="2"/>
        <v>#N/A</v>
      </c>
      <c r="AI38" s="1" t="e">
        <f t="shared" si="19"/>
        <v>#N/A</v>
      </c>
      <c r="AJ38" s="8" t="e" cm="1">
        <f t="array" ref="AJ38">IF(AG38="","", IFERROR(((IF(AG$5&lt;&gt;"", AG$5*Y$5, 0) + SUMPRODUCT(--(AG$6:AG38&lt;&gt;""), AG$6:AG38, (Y$6:Y38-Y$5:Y37)))/1000)/AF$3, ""))</f>
        <v>#N/A</v>
      </c>
      <c r="AK38" s="1">
        <f t="shared" si="20"/>
        <v>680</v>
      </c>
      <c r="AL38" s="1">
        <f t="shared" si="21"/>
        <v>0</v>
      </c>
      <c r="AS38" s="1" t="e">
        <f t="shared" si="22"/>
        <v>#N/A</v>
      </c>
      <c r="AT38" s="1" t="e">
        <f t="shared" si="3"/>
        <v>#N/A</v>
      </c>
      <c r="AU38" s="1" t="e">
        <f t="shared" si="23"/>
        <v>#N/A</v>
      </c>
      <c r="AV38" s="8" t="e" cm="1">
        <f t="array" ref="AV38">IF(AS38="","", IFERROR(((IF(AS$5&lt;&gt;"", AS$5*AK$5, 0) + SUMPRODUCT(--(AS$6:AS38&lt;&gt;""), AS$6:AS38, (AK$6:AK38-AK$5:AK37)))/1000)/AR$3, ""))</f>
        <v>#N/A</v>
      </c>
      <c r="AW38" s="1">
        <f t="shared" si="24"/>
        <v>680</v>
      </c>
      <c r="AX38" s="1">
        <f t="shared" si="25"/>
        <v>0</v>
      </c>
      <c r="BE38" s="1" t="e">
        <f t="shared" si="26"/>
        <v>#N/A</v>
      </c>
      <c r="BF38" s="1" t="e">
        <f t="shared" si="4"/>
        <v>#N/A</v>
      </c>
      <c r="BG38" s="1" t="e">
        <f t="shared" si="27"/>
        <v>#N/A</v>
      </c>
      <c r="BH38" s="8" t="e" cm="1">
        <f t="array" ref="BH38">IF(BE38="","", IFERROR(((IF(BE$5&lt;&gt;"", BE$5*AW$5, 0) + SUMPRODUCT(--(BE$6:BE38&lt;&gt;""), BE$6:BE38, (AW$6:AW38-AW$5:AW37)))/1000)/BD$3, ""))</f>
        <v>#N/A</v>
      </c>
      <c r="BI38" s="1">
        <f t="shared" si="28"/>
        <v>680</v>
      </c>
      <c r="BJ38" s="1">
        <f t="shared" si="29"/>
        <v>0</v>
      </c>
      <c r="BQ38" s="1" t="e">
        <f t="shared" si="30"/>
        <v>#N/A</v>
      </c>
      <c r="BR38" s="1" t="e">
        <f t="shared" si="5"/>
        <v>#N/A</v>
      </c>
      <c r="BS38" s="1" t="e">
        <f t="shared" si="31"/>
        <v>#N/A</v>
      </c>
      <c r="BT38" s="8" t="e" cm="1">
        <f t="array" ref="BT38">IF(BQ38="","", IFERROR(((IF(BQ$5&lt;&gt;"", BQ$5*BI$5, 0) + SUMPRODUCT(--(BQ$6:BQ38&lt;&gt;""), BQ$6:BQ38, (BI$6:BI38-BI$5:BI37)))/1000)/BP$3, ""))</f>
        <v>#N/A</v>
      </c>
      <c r="BU38" s="1">
        <f t="shared" si="32"/>
        <v>680</v>
      </c>
      <c r="BV38" s="1">
        <f t="shared" si="33"/>
        <v>0</v>
      </c>
      <c r="CC38" s="1" t="e">
        <f t="shared" si="34"/>
        <v>#N/A</v>
      </c>
      <c r="CD38" s="1" t="e">
        <f t="shared" si="6"/>
        <v>#N/A</v>
      </c>
      <c r="CE38" s="1" t="e">
        <f t="shared" si="35"/>
        <v>#N/A</v>
      </c>
      <c r="CF38" s="8" t="e" cm="1">
        <f t="array" ref="CF38">IF(CC38="","", IFERROR(((IF(CC$5&lt;&gt;"", CC$5*BU$5, 0) + SUMPRODUCT(--(CC$6:CC38&lt;&gt;""), CC$6:CC38, (BU$6:BU38-BU$5:BU37)))/1000)/CB$3, ""))</f>
        <v>#N/A</v>
      </c>
      <c r="CG38" s="1">
        <f t="shared" si="36"/>
        <v>680</v>
      </c>
      <c r="CH38" s="1">
        <f t="shared" si="37"/>
        <v>0</v>
      </c>
      <c r="CO38" s="1" t="e">
        <f t="shared" si="38"/>
        <v>#N/A</v>
      </c>
      <c r="CP38" s="1" t="e">
        <f t="shared" si="7"/>
        <v>#N/A</v>
      </c>
      <c r="CQ38" s="1" t="e">
        <f t="shared" si="39"/>
        <v>#N/A</v>
      </c>
      <c r="CR38" s="8" t="e" cm="1">
        <f t="array" ref="CR38">IF(CO38="","", IFERROR(((IF(CO$5&lt;&gt;"", CO$5*CG$5, 0) + SUMPRODUCT(--(CO$6:CO38&lt;&gt;""), CO$6:CO38, (CG$6:CG38-CG$5:CG37)))/1000)/CN$3, ""))</f>
        <v>#N/A</v>
      </c>
    </row>
    <row r="39" spans="1:96" x14ac:dyDescent="0.25">
      <c r="A39" s="1">
        <f t="shared" si="8"/>
        <v>700</v>
      </c>
      <c r="B39" s="1">
        <f t="shared" si="9"/>
        <v>0</v>
      </c>
      <c r="I39" s="1" t="e">
        <f t="shared" si="10"/>
        <v>#N/A</v>
      </c>
      <c r="J39" s="1" t="e">
        <f t="shared" si="0"/>
        <v>#N/A</v>
      </c>
      <c r="K39" s="1" t="e">
        <f t="shared" si="11"/>
        <v>#N/A</v>
      </c>
      <c r="L39" s="8" t="e" cm="1">
        <f t="array" ref="L39">IF(I39="","", IFERROR(((IF(I$5&lt;&gt;"", I$5*A$5, 0) + SUMPRODUCT(--(I$6:I39&lt;&gt;""), I$6:I39, (A$6:A39-A$5:A38)))/1000)/H$3, ""))</f>
        <v>#N/A</v>
      </c>
      <c r="M39" s="1">
        <f t="shared" si="12"/>
        <v>700</v>
      </c>
      <c r="N39" s="1">
        <f t="shared" si="13"/>
        <v>0</v>
      </c>
      <c r="U39" s="1" t="e">
        <f t="shared" si="14"/>
        <v>#N/A</v>
      </c>
      <c r="V39" s="1" t="e">
        <f t="shared" si="1"/>
        <v>#N/A</v>
      </c>
      <c r="W39" s="1" t="e">
        <f t="shared" si="15"/>
        <v>#N/A</v>
      </c>
      <c r="X39" s="8" t="e" cm="1">
        <f t="array" ref="X39">IF(U39="","", IFERROR(((IF(U$5&lt;&gt;"", U$5*M$5, 0) + SUMPRODUCT(--(U$6:U39&lt;&gt;""), U$6:U39, (M$6:M39-M$5:M38)))/1000)/T$3, ""))</f>
        <v>#N/A</v>
      </c>
      <c r="Y39" s="1">
        <f t="shared" si="16"/>
        <v>700</v>
      </c>
      <c r="Z39" s="1">
        <f t="shared" si="17"/>
        <v>0</v>
      </c>
      <c r="AG39" s="1" t="e">
        <f t="shared" si="18"/>
        <v>#N/A</v>
      </c>
      <c r="AH39" s="1" t="e">
        <f t="shared" si="2"/>
        <v>#N/A</v>
      </c>
      <c r="AI39" s="1" t="e">
        <f t="shared" si="19"/>
        <v>#N/A</v>
      </c>
      <c r="AJ39" s="8" t="e" cm="1">
        <f t="array" ref="AJ39">IF(AG39="","", IFERROR(((IF(AG$5&lt;&gt;"", AG$5*Y$5, 0) + SUMPRODUCT(--(AG$6:AG39&lt;&gt;""), AG$6:AG39, (Y$6:Y39-Y$5:Y38)))/1000)/AF$3, ""))</f>
        <v>#N/A</v>
      </c>
      <c r="AK39" s="1">
        <f t="shared" si="20"/>
        <v>700</v>
      </c>
      <c r="AL39" s="1">
        <f t="shared" si="21"/>
        <v>0</v>
      </c>
      <c r="AS39" s="1" t="e">
        <f t="shared" si="22"/>
        <v>#N/A</v>
      </c>
      <c r="AT39" s="1" t="e">
        <f t="shared" si="3"/>
        <v>#N/A</v>
      </c>
      <c r="AU39" s="1" t="e">
        <f t="shared" si="23"/>
        <v>#N/A</v>
      </c>
      <c r="AV39" s="8" t="e" cm="1">
        <f t="array" ref="AV39">IF(AS39="","", IFERROR(((IF(AS$5&lt;&gt;"", AS$5*AK$5, 0) + SUMPRODUCT(--(AS$6:AS39&lt;&gt;""), AS$6:AS39, (AK$6:AK39-AK$5:AK38)))/1000)/AR$3, ""))</f>
        <v>#N/A</v>
      </c>
      <c r="AW39" s="1">
        <f t="shared" si="24"/>
        <v>700</v>
      </c>
      <c r="AX39" s="1">
        <f t="shared" si="25"/>
        <v>0</v>
      </c>
      <c r="BE39" s="1" t="e">
        <f t="shared" si="26"/>
        <v>#N/A</v>
      </c>
      <c r="BF39" s="1" t="e">
        <f t="shared" si="4"/>
        <v>#N/A</v>
      </c>
      <c r="BG39" s="1" t="e">
        <f t="shared" si="27"/>
        <v>#N/A</v>
      </c>
      <c r="BH39" s="8" t="e" cm="1">
        <f t="array" ref="BH39">IF(BE39="","", IFERROR(((IF(BE$5&lt;&gt;"", BE$5*AW$5, 0) + SUMPRODUCT(--(BE$6:BE39&lt;&gt;""), BE$6:BE39, (AW$6:AW39-AW$5:AW38)))/1000)/BD$3, ""))</f>
        <v>#N/A</v>
      </c>
      <c r="BI39" s="1">
        <f t="shared" si="28"/>
        <v>700</v>
      </c>
      <c r="BJ39" s="1">
        <f t="shared" si="29"/>
        <v>0</v>
      </c>
      <c r="BQ39" s="1" t="e">
        <f t="shared" si="30"/>
        <v>#N/A</v>
      </c>
      <c r="BR39" s="1" t="e">
        <f t="shared" si="5"/>
        <v>#N/A</v>
      </c>
      <c r="BS39" s="1" t="e">
        <f t="shared" si="31"/>
        <v>#N/A</v>
      </c>
      <c r="BT39" s="8" t="e" cm="1">
        <f t="array" ref="BT39">IF(BQ39="","", IFERROR(((IF(BQ$5&lt;&gt;"", BQ$5*BI$5, 0) + SUMPRODUCT(--(BQ$6:BQ39&lt;&gt;""), BQ$6:BQ39, (BI$6:BI39-BI$5:BI38)))/1000)/BP$3, ""))</f>
        <v>#N/A</v>
      </c>
      <c r="BU39" s="1">
        <f t="shared" si="32"/>
        <v>700</v>
      </c>
      <c r="BV39" s="1">
        <f t="shared" si="33"/>
        <v>0</v>
      </c>
      <c r="CC39" s="1" t="e">
        <f t="shared" si="34"/>
        <v>#N/A</v>
      </c>
      <c r="CD39" s="1" t="e">
        <f t="shared" si="6"/>
        <v>#N/A</v>
      </c>
      <c r="CE39" s="1" t="e">
        <f t="shared" si="35"/>
        <v>#N/A</v>
      </c>
      <c r="CF39" s="8" t="e" cm="1">
        <f t="array" ref="CF39">IF(CC39="","", IFERROR(((IF(CC$5&lt;&gt;"", CC$5*BU$5, 0) + SUMPRODUCT(--(CC$6:CC39&lt;&gt;""), CC$6:CC39, (BU$6:BU39-BU$5:BU38)))/1000)/CB$3, ""))</f>
        <v>#N/A</v>
      </c>
      <c r="CG39" s="1">
        <f t="shared" si="36"/>
        <v>700</v>
      </c>
      <c r="CH39" s="1">
        <f t="shared" si="37"/>
        <v>0</v>
      </c>
      <c r="CO39" s="1" t="e">
        <f t="shared" si="38"/>
        <v>#N/A</v>
      </c>
      <c r="CP39" s="1" t="e">
        <f t="shared" si="7"/>
        <v>#N/A</v>
      </c>
      <c r="CQ39" s="1" t="e">
        <f t="shared" si="39"/>
        <v>#N/A</v>
      </c>
      <c r="CR39" s="8" t="e" cm="1">
        <f t="array" ref="CR39">IF(CO39="","", IFERROR(((IF(CO$5&lt;&gt;"", CO$5*CG$5, 0) + SUMPRODUCT(--(CO$6:CO39&lt;&gt;""), CO$6:CO39, (CG$6:CG39-CG$5:CG38)))/1000)/CN$3, ""))</f>
        <v>#N/A</v>
      </c>
    </row>
    <row r="40" spans="1:96" x14ac:dyDescent="0.25">
      <c r="A40" s="1">
        <f t="shared" si="8"/>
        <v>720</v>
      </c>
      <c r="B40" s="1">
        <f t="shared" si="9"/>
        <v>0</v>
      </c>
      <c r="I40" s="1" t="e">
        <f t="shared" si="10"/>
        <v>#N/A</v>
      </c>
      <c r="J40" s="1" t="e">
        <f t="shared" si="0"/>
        <v>#N/A</v>
      </c>
      <c r="K40" s="1" t="e">
        <f t="shared" si="11"/>
        <v>#N/A</v>
      </c>
      <c r="L40" s="8" t="e" cm="1">
        <f t="array" ref="L40">IF(I40="","", IFERROR(((IF(I$5&lt;&gt;"", I$5*A$5, 0) + SUMPRODUCT(--(I$6:I40&lt;&gt;""), I$6:I40, (A$6:A40-A$5:A39)))/1000)/H$3, ""))</f>
        <v>#N/A</v>
      </c>
      <c r="M40" s="1">
        <f t="shared" si="12"/>
        <v>720</v>
      </c>
      <c r="N40" s="1">
        <f t="shared" si="13"/>
        <v>0</v>
      </c>
      <c r="U40" s="1" t="e">
        <f t="shared" si="14"/>
        <v>#N/A</v>
      </c>
      <c r="V40" s="1" t="e">
        <f t="shared" si="1"/>
        <v>#N/A</v>
      </c>
      <c r="W40" s="1" t="e">
        <f t="shared" si="15"/>
        <v>#N/A</v>
      </c>
      <c r="X40" s="8" t="e" cm="1">
        <f t="array" ref="X40">IF(U40="","", IFERROR(((IF(U$5&lt;&gt;"", U$5*M$5, 0) + SUMPRODUCT(--(U$6:U40&lt;&gt;""), U$6:U40, (M$6:M40-M$5:M39)))/1000)/T$3, ""))</f>
        <v>#N/A</v>
      </c>
      <c r="Y40" s="1">
        <f t="shared" si="16"/>
        <v>720</v>
      </c>
      <c r="Z40" s="1">
        <f t="shared" si="17"/>
        <v>0</v>
      </c>
      <c r="AG40" s="1" t="e">
        <f t="shared" si="18"/>
        <v>#N/A</v>
      </c>
      <c r="AH40" s="1" t="e">
        <f t="shared" si="2"/>
        <v>#N/A</v>
      </c>
      <c r="AI40" s="1" t="e">
        <f t="shared" si="19"/>
        <v>#N/A</v>
      </c>
      <c r="AJ40" s="8" t="e" cm="1">
        <f t="array" ref="AJ40">IF(AG40="","", IFERROR(((IF(AG$5&lt;&gt;"", AG$5*Y$5, 0) + SUMPRODUCT(--(AG$6:AG40&lt;&gt;""), AG$6:AG40, (Y$6:Y40-Y$5:Y39)))/1000)/AF$3, ""))</f>
        <v>#N/A</v>
      </c>
      <c r="AK40" s="1">
        <f t="shared" si="20"/>
        <v>720</v>
      </c>
      <c r="AL40" s="1">
        <f t="shared" si="21"/>
        <v>0</v>
      </c>
      <c r="AS40" s="1" t="e">
        <f t="shared" si="22"/>
        <v>#N/A</v>
      </c>
      <c r="AT40" s="1" t="e">
        <f t="shared" si="3"/>
        <v>#N/A</v>
      </c>
      <c r="AU40" s="1" t="e">
        <f t="shared" si="23"/>
        <v>#N/A</v>
      </c>
      <c r="AV40" s="8" t="e" cm="1">
        <f t="array" ref="AV40">IF(AS40="","", IFERROR(((IF(AS$5&lt;&gt;"", AS$5*AK$5, 0) + SUMPRODUCT(--(AS$6:AS40&lt;&gt;""), AS$6:AS40, (AK$6:AK40-AK$5:AK39)))/1000)/AR$3, ""))</f>
        <v>#N/A</v>
      </c>
      <c r="AW40" s="1">
        <f t="shared" si="24"/>
        <v>720</v>
      </c>
      <c r="AX40" s="1">
        <f t="shared" si="25"/>
        <v>0</v>
      </c>
      <c r="BE40" s="1" t="e">
        <f t="shared" si="26"/>
        <v>#N/A</v>
      </c>
      <c r="BF40" s="1" t="e">
        <f t="shared" si="4"/>
        <v>#N/A</v>
      </c>
      <c r="BG40" s="1" t="e">
        <f t="shared" si="27"/>
        <v>#N/A</v>
      </c>
      <c r="BH40" s="8" t="e" cm="1">
        <f t="array" ref="BH40">IF(BE40="","", IFERROR(((IF(BE$5&lt;&gt;"", BE$5*AW$5, 0) + SUMPRODUCT(--(BE$6:BE40&lt;&gt;""), BE$6:BE40, (AW$6:AW40-AW$5:AW39)))/1000)/BD$3, ""))</f>
        <v>#N/A</v>
      </c>
      <c r="BI40" s="1">
        <f t="shared" si="28"/>
        <v>720</v>
      </c>
      <c r="BJ40" s="1">
        <f t="shared" si="29"/>
        <v>0</v>
      </c>
      <c r="BQ40" s="1" t="e">
        <f t="shared" si="30"/>
        <v>#N/A</v>
      </c>
      <c r="BR40" s="1" t="e">
        <f t="shared" si="5"/>
        <v>#N/A</v>
      </c>
      <c r="BS40" s="1" t="e">
        <f t="shared" si="31"/>
        <v>#N/A</v>
      </c>
      <c r="BT40" s="8" t="e" cm="1">
        <f t="array" ref="BT40">IF(BQ40="","", IFERROR(((IF(BQ$5&lt;&gt;"", BQ$5*BI$5, 0) + SUMPRODUCT(--(BQ$6:BQ40&lt;&gt;""), BQ$6:BQ40, (BI$6:BI40-BI$5:BI39)))/1000)/BP$3, ""))</f>
        <v>#N/A</v>
      </c>
      <c r="BU40" s="1">
        <f t="shared" si="32"/>
        <v>720</v>
      </c>
      <c r="BV40" s="1">
        <f t="shared" si="33"/>
        <v>0</v>
      </c>
      <c r="CC40" s="1" t="e">
        <f t="shared" si="34"/>
        <v>#N/A</v>
      </c>
      <c r="CD40" s="1" t="e">
        <f t="shared" si="6"/>
        <v>#N/A</v>
      </c>
      <c r="CE40" s="1" t="e">
        <f t="shared" si="35"/>
        <v>#N/A</v>
      </c>
      <c r="CF40" s="8" t="e" cm="1">
        <f t="array" ref="CF40">IF(CC40="","", IFERROR(((IF(CC$5&lt;&gt;"", CC$5*BU$5, 0) + SUMPRODUCT(--(CC$6:CC40&lt;&gt;""), CC$6:CC40, (BU$6:BU40-BU$5:BU39)))/1000)/CB$3, ""))</f>
        <v>#N/A</v>
      </c>
      <c r="CG40" s="1">
        <f t="shared" si="36"/>
        <v>720</v>
      </c>
      <c r="CH40" s="1">
        <f t="shared" si="37"/>
        <v>0</v>
      </c>
      <c r="CO40" s="1" t="e">
        <f t="shared" si="38"/>
        <v>#N/A</v>
      </c>
      <c r="CP40" s="1" t="e">
        <f t="shared" si="7"/>
        <v>#N/A</v>
      </c>
      <c r="CQ40" s="1" t="e">
        <f t="shared" si="39"/>
        <v>#N/A</v>
      </c>
      <c r="CR40" s="8" t="e" cm="1">
        <f t="array" ref="CR40">IF(CO40="","", IFERROR(((IF(CO$5&lt;&gt;"", CO$5*CG$5, 0) + SUMPRODUCT(--(CO$6:CO40&lt;&gt;""), CO$6:CO40, (CG$6:CG40-CG$5:CG39)))/1000)/CN$3, ""))</f>
        <v>#N/A</v>
      </c>
    </row>
    <row r="41" spans="1:96" x14ac:dyDescent="0.25">
      <c r="A41" s="1">
        <f t="shared" si="8"/>
        <v>740</v>
      </c>
      <c r="B41" s="1">
        <f t="shared" si="9"/>
        <v>0</v>
      </c>
      <c r="I41" s="1" t="e">
        <f t="shared" si="10"/>
        <v>#N/A</v>
      </c>
      <c r="J41" s="1" t="e">
        <f t="shared" si="0"/>
        <v>#N/A</v>
      </c>
      <c r="K41" s="1" t="e">
        <f t="shared" si="11"/>
        <v>#N/A</v>
      </c>
      <c r="L41" s="8" t="e" cm="1">
        <f t="array" ref="L41">IF(I41="","", IFERROR(((IF(I$5&lt;&gt;"", I$5*A$5, 0) + SUMPRODUCT(--(I$6:I41&lt;&gt;""), I$6:I41, (A$6:A41-A$5:A40)))/1000)/H$3, ""))</f>
        <v>#N/A</v>
      </c>
      <c r="M41" s="1">
        <f t="shared" si="12"/>
        <v>740</v>
      </c>
      <c r="N41" s="1">
        <f t="shared" si="13"/>
        <v>0</v>
      </c>
      <c r="U41" s="1" t="e">
        <f t="shared" si="14"/>
        <v>#N/A</v>
      </c>
      <c r="V41" s="1" t="e">
        <f t="shared" si="1"/>
        <v>#N/A</v>
      </c>
      <c r="W41" s="1" t="e">
        <f t="shared" si="15"/>
        <v>#N/A</v>
      </c>
      <c r="X41" s="8" t="e" cm="1">
        <f t="array" ref="X41">IF(U41="","", IFERROR(((IF(U$5&lt;&gt;"", U$5*M$5, 0) + SUMPRODUCT(--(U$6:U41&lt;&gt;""), U$6:U41, (M$6:M41-M$5:M40)))/1000)/T$3, ""))</f>
        <v>#N/A</v>
      </c>
      <c r="Y41" s="1">
        <f t="shared" si="16"/>
        <v>740</v>
      </c>
      <c r="Z41" s="1">
        <f t="shared" si="17"/>
        <v>0</v>
      </c>
      <c r="AG41" s="1" t="e">
        <f t="shared" si="18"/>
        <v>#N/A</v>
      </c>
      <c r="AH41" s="1" t="e">
        <f t="shared" si="2"/>
        <v>#N/A</v>
      </c>
      <c r="AI41" s="1" t="e">
        <f t="shared" si="19"/>
        <v>#N/A</v>
      </c>
      <c r="AJ41" s="8" t="e" cm="1">
        <f t="array" ref="AJ41">IF(AG41="","", IFERROR(((IF(AG$5&lt;&gt;"", AG$5*Y$5, 0) + SUMPRODUCT(--(AG$6:AG41&lt;&gt;""), AG$6:AG41, (Y$6:Y41-Y$5:Y40)))/1000)/AF$3, ""))</f>
        <v>#N/A</v>
      </c>
      <c r="AK41" s="1">
        <f t="shared" si="20"/>
        <v>740</v>
      </c>
      <c r="AL41" s="1">
        <f t="shared" si="21"/>
        <v>0</v>
      </c>
      <c r="AS41" s="1" t="e">
        <f t="shared" si="22"/>
        <v>#N/A</v>
      </c>
      <c r="AT41" s="1" t="e">
        <f t="shared" si="3"/>
        <v>#N/A</v>
      </c>
      <c r="AU41" s="1" t="e">
        <f t="shared" si="23"/>
        <v>#N/A</v>
      </c>
      <c r="AV41" s="8" t="e" cm="1">
        <f t="array" ref="AV41">IF(AS41="","", IFERROR(((IF(AS$5&lt;&gt;"", AS$5*AK$5, 0) + SUMPRODUCT(--(AS$6:AS41&lt;&gt;""), AS$6:AS41, (AK$6:AK41-AK$5:AK40)))/1000)/AR$3, ""))</f>
        <v>#N/A</v>
      </c>
      <c r="AW41" s="1">
        <f t="shared" si="24"/>
        <v>740</v>
      </c>
      <c r="AX41" s="1">
        <f t="shared" si="25"/>
        <v>0</v>
      </c>
      <c r="BE41" s="1" t="e">
        <f t="shared" si="26"/>
        <v>#N/A</v>
      </c>
      <c r="BF41" s="1" t="e">
        <f t="shared" si="4"/>
        <v>#N/A</v>
      </c>
      <c r="BG41" s="1" t="e">
        <f t="shared" si="27"/>
        <v>#N/A</v>
      </c>
      <c r="BH41" s="8" t="e" cm="1">
        <f t="array" ref="BH41">IF(BE41="","", IFERROR(((IF(BE$5&lt;&gt;"", BE$5*AW$5, 0) + SUMPRODUCT(--(BE$6:BE41&lt;&gt;""), BE$6:BE41, (AW$6:AW41-AW$5:AW40)))/1000)/BD$3, ""))</f>
        <v>#N/A</v>
      </c>
      <c r="BI41" s="1">
        <f t="shared" si="28"/>
        <v>740</v>
      </c>
      <c r="BJ41" s="1">
        <f t="shared" si="29"/>
        <v>0</v>
      </c>
      <c r="BQ41" s="1" t="e">
        <f t="shared" si="30"/>
        <v>#N/A</v>
      </c>
      <c r="BR41" s="1" t="e">
        <f t="shared" si="5"/>
        <v>#N/A</v>
      </c>
      <c r="BS41" s="1" t="e">
        <f t="shared" si="31"/>
        <v>#N/A</v>
      </c>
      <c r="BT41" s="8" t="e" cm="1">
        <f t="array" ref="BT41">IF(BQ41="","", IFERROR(((IF(BQ$5&lt;&gt;"", BQ$5*BI$5, 0) + SUMPRODUCT(--(BQ$6:BQ41&lt;&gt;""), BQ$6:BQ41, (BI$6:BI41-BI$5:BI40)))/1000)/BP$3, ""))</f>
        <v>#N/A</v>
      </c>
      <c r="BU41" s="1">
        <f t="shared" si="32"/>
        <v>740</v>
      </c>
      <c r="BV41" s="1">
        <f t="shared" si="33"/>
        <v>0</v>
      </c>
      <c r="CC41" s="1" t="e">
        <f t="shared" si="34"/>
        <v>#N/A</v>
      </c>
      <c r="CD41" s="1" t="e">
        <f t="shared" si="6"/>
        <v>#N/A</v>
      </c>
      <c r="CE41" s="1" t="e">
        <f t="shared" si="35"/>
        <v>#N/A</v>
      </c>
      <c r="CF41" s="8" t="e" cm="1">
        <f t="array" ref="CF41">IF(CC41="","", IFERROR(((IF(CC$5&lt;&gt;"", CC$5*BU$5, 0) + SUMPRODUCT(--(CC$6:CC41&lt;&gt;""), CC$6:CC41, (BU$6:BU41-BU$5:BU40)))/1000)/CB$3, ""))</f>
        <v>#N/A</v>
      </c>
      <c r="CG41" s="1">
        <f t="shared" si="36"/>
        <v>740</v>
      </c>
      <c r="CH41" s="1">
        <f t="shared" si="37"/>
        <v>0</v>
      </c>
      <c r="CO41" s="1" t="e">
        <f t="shared" si="38"/>
        <v>#N/A</v>
      </c>
      <c r="CP41" s="1" t="e">
        <f t="shared" si="7"/>
        <v>#N/A</v>
      </c>
      <c r="CQ41" s="1" t="e">
        <f t="shared" si="39"/>
        <v>#N/A</v>
      </c>
      <c r="CR41" s="8" t="e" cm="1">
        <f t="array" ref="CR41">IF(CO41="","", IFERROR(((IF(CO$5&lt;&gt;"", CO$5*CG$5, 0) + SUMPRODUCT(--(CO$6:CO41&lt;&gt;""), CO$6:CO41, (CG$6:CG41-CG$5:CG40)))/1000)/CN$3, ""))</f>
        <v>#N/A</v>
      </c>
    </row>
    <row r="42" spans="1:96" x14ac:dyDescent="0.25">
      <c r="A42" s="1">
        <f t="shared" si="8"/>
        <v>760</v>
      </c>
      <c r="B42" s="1">
        <f t="shared" si="9"/>
        <v>0</v>
      </c>
      <c r="I42" s="1" t="e">
        <f t="shared" si="10"/>
        <v>#N/A</v>
      </c>
      <c r="J42" s="1" t="e">
        <f t="shared" si="0"/>
        <v>#N/A</v>
      </c>
      <c r="K42" s="1" t="e">
        <f t="shared" si="11"/>
        <v>#N/A</v>
      </c>
      <c r="L42" s="8" t="e" cm="1">
        <f t="array" ref="L42">IF(I42="","", IFERROR(((IF(I$5&lt;&gt;"", I$5*A$5, 0) + SUMPRODUCT(--(I$6:I42&lt;&gt;""), I$6:I42, (A$6:A42-A$5:A41)))/1000)/H$3, ""))</f>
        <v>#N/A</v>
      </c>
      <c r="M42" s="1">
        <f t="shared" si="12"/>
        <v>760</v>
      </c>
      <c r="N42" s="1">
        <f t="shared" si="13"/>
        <v>0</v>
      </c>
      <c r="U42" s="1" t="e">
        <f t="shared" si="14"/>
        <v>#N/A</v>
      </c>
      <c r="V42" s="1" t="e">
        <f t="shared" si="1"/>
        <v>#N/A</v>
      </c>
      <c r="W42" s="1" t="e">
        <f t="shared" si="15"/>
        <v>#N/A</v>
      </c>
      <c r="X42" s="8" t="e" cm="1">
        <f t="array" ref="X42">IF(U42="","", IFERROR(((IF(U$5&lt;&gt;"", U$5*M$5, 0) + SUMPRODUCT(--(U$6:U42&lt;&gt;""), U$6:U42, (M$6:M42-M$5:M41)))/1000)/T$3, ""))</f>
        <v>#N/A</v>
      </c>
      <c r="Y42" s="1">
        <f t="shared" si="16"/>
        <v>760</v>
      </c>
      <c r="Z42" s="1">
        <f t="shared" si="17"/>
        <v>0</v>
      </c>
      <c r="AG42" s="1" t="e">
        <f t="shared" si="18"/>
        <v>#N/A</v>
      </c>
      <c r="AH42" s="1" t="e">
        <f t="shared" si="2"/>
        <v>#N/A</v>
      </c>
      <c r="AI42" s="1" t="e">
        <f t="shared" si="19"/>
        <v>#N/A</v>
      </c>
      <c r="AJ42" s="8" t="e" cm="1">
        <f t="array" ref="AJ42">IF(AG42="","", IFERROR(((IF(AG$5&lt;&gt;"", AG$5*Y$5, 0) + SUMPRODUCT(--(AG$6:AG42&lt;&gt;""), AG$6:AG42, (Y$6:Y42-Y$5:Y41)))/1000)/AF$3, ""))</f>
        <v>#N/A</v>
      </c>
      <c r="AK42" s="1">
        <f t="shared" si="20"/>
        <v>760</v>
      </c>
      <c r="AL42" s="1">
        <f t="shared" si="21"/>
        <v>0</v>
      </c>
      <c r="AS42" s="1" t="e">
        <f t="shared" si="22"/>
        <v>#N/A</v>
      </c>
      <c r="AT42" s="1" t="e">
        <f t="shared" si="3"/>
        <v>#N/A</v>
      </c>
      <c r="AU42" s="1" t="e">
        <f t="shared" si="23"/>
        <v>#N/A</v>
      </c>
      <c r="AV42" s="8" t="e" cm="1">
        <f t="array" ref="AV42">IF(AS42="","", IFERROR(((IF(AS$5&lt;&gt;"", AS$5*AK$5, 0) + SUMPRODUCT(--(AS$6:AS42&lt;&gt;""), AS$6:AS42, (AK$6:AK42-AK$5:AK41)))/1000)/AR$3, ""))</f>
        <v>#N/A</v>
      </c>
      <c r="AW42" s="1">
        <f t="shared" si="24"/>
        <v>760</v>
      </c>
      <c r="AX42" s="1">
        <f t="shared" si="25"/>
        <v>0</v>
      </c>
      <c r="BE42" s="1" t="e">
        <f t="shared" si="26"/>
        <v>#N/A</v>
      </c>
      <c r="BF42" s="1" t="e">
        <f t="shared" si="4"/>
        <v>#N/A</v>
      </c>
      <c r="BG42" s="1" t="e">
        <f t="shared" si="27"/>
        <v>#N/A</v>
      </c>
      <c r="BH42" s="8" t="e" cm="1">
        <f t="array" ref="BH42">IF(BE42="","", IFERROR(((IF(BE$5&lt;&gt;"", BE$5*AW$5, 0) + SUMPRODUCT(--(BE$6:BE42&lt;&gt;""), BE$6:BE42, (AW$6:AW42-AW$5:AW41)))/1000)/BD$3, ""))</f>
        <v>#N/A</v>
      </c>
      <c r="BI42" s="1">
        <f t="shared" si="28"/>
        <v>760</v>
      </c>
      <c r="BJ42" s="1">
        <f t="shared" si="29"/>
        <v>0</v>
      </c>
      <c r="BQ42" s="1" t="e">
        <f t="shared" si="30"/>
        <v>#N/A</v>
      </c>
      <c r="BR42" s="1" t="e">
        <f t="shared" si="5"/>
        <v>#N/A</v>
      </c>
      <c r="BS42" s="1" t="e">
        <f t="shared" si="31"/>
        <v>#N/A</v>
      </c>
      <c r="BT42" s="8" t="e" cm="1">
        <f t="array" ref="BT42">IF(BQ42="","", IFERROR(((IF(BQ$5&lt;&gt;"", BQ$5*BI$5, 0) + SUMPRODUCT(--(BQ$6:BQ42&lt;&gt;""), BQ$6:BQ42, (BI$6:BI42-BI$5:BI41)))/1000)/BP$3, ""))</f>
        <v>#N/A</v>
      </c>
      <c r="BU42" s="1">
        <f t="shared" si="32"/>
        <v>760</v>
      </c>
      <c r="BV42" s="1">
        <f t="shared" si="33"/>
        <v>0</v>
      </c>
      <c r="CC42" s="1" t="e">
        <f t="shared" si="34"/>
        <v>#N/A</v>
      </c>
      <c r="CD42" s="1" t="e">
        <f t="shared" si="6"/>
        <v>#N/A</v>
      </c>
      <c r="CE42" s="1" t="e">
        <f t="shared" si="35"/>
        <v>#N/A</v>
      </c>
      <c r="CF42" s="8" t="e" cm="1">
        <f t="array" ref="CF42">IF(CC42="","", IFERROR(((IF(CC$5&lt;&gt;"", CC$5*BU$5, 0) + SUMPRODUCT(--(CC$6:CC42&lt;&gt;""), CC$6:CC42, (BU$6:BU42-BU$5:BU41)))/1000)/CB$3, ""))</f>
        <v>#N/A</v>
      </c>
      <c r="CG42" s="1">
        <f t="shared" si="36"/>
        <v>760</v>
      </c>
      <c r="CH42" s="1">
        <f t="shared" si="37"/>
        <v>0</v>
      </c>
      <c r="CO42" s="1" t="e">
        <f t="shared" si="38"/>
        <v>#N/A</v>
      </c>
      <c r="CP42" s="1" t="e">
        <f t="shared" si="7"/>
        <v>#N/A</v>
      </c>
      <c r="CQ42" s="1" t="e">
        <f t="shared" si="39"/>
        <v>#N/A</v>
      </c>
      <c r="CR42" s="8" t="e" cm="1">
        <f t="array" ref="CR42">IF(CO42="","", IFERROR(((IF(CO$5&lt;&gt;"", CO$5*CG$5, 0) + SUMPRODUCT(--(CO$6:CO42&lt;&gt;""), CO$6:CO42, (CG$6:CG42-CG$5:CG41)))/1000)/CN$3, ""))</f>
        <v>#N/A</v>
      </c>
    </row>
    <row r="43" spans="1:96" x14ac:dyDescent="0.25">
      <c r="A43" s="1">
        <f t="shared" si="8"/>
        <v>780</v>
      </c>
      <c r="B43" s="1">
        <f t="shared" si="9"/>
        <v>0</v>
      </c>
      <c r="I43" s="1" t="e">
        <f t="shared" si="10"/>
        <v>#N/A</v>
      </c>
      <c r="J43" s="1" t="e">
        <f t="shared" si="0"/>
        <v>#N/A</v>
      </c>
      <c r="K43" s="1" t="e">
        <f t="shared" si="11"/>
        <v>#N/A</v>
      </c>
      <c r="L43" s="8" t="e" cm="1">
        <f t="array" ref="L43">IF(I43="","", IFERROR(((IF(I$5&lt;&gt;"", I$5*A$5, 0) + SUMPRODUCT(--(I$6:I43&lt;&gt;""), I$6:I43, (A$6:A43-A$5:A42)))/1000)/H$3, ""))</f>
        <v>#N/A</v>
      </c>
      <c r="M43" s="1">
        <f t="shared" si="12"/>
        <v>780</v>
      </c>
      <c r="N43" s="1">
        <f t="shared" si="13"/>
        <v>0</v>
      </c>
      <c r="U43" s="1" t="e">
        <f t="shared" si="14"/>
        <v>#N/A</v>
      </c>
      <c r="V43" s="1" t="e">
        <f t="shared" si="1"/>
        <v>#N/A</v>
      </c>
      <c r="W43" s="1" t="e">
        <f t="shared" si="15"/>
        <v>#N/A</v>
      </c>
      <c r="X43" s="8" t="e" cm="1">
        <f t="array" ref="X43">IF(U43="","", IFERROR(((IF(U$5&lt;&gt;"", U$5*M$5, 0) + SUMPRODUCT(--(U$6:U43&lt;&gt;""), U$6:U43, (M$6:M43-M$5:M42)))/1000)/T$3, ""))</f>
        <v>#N/A</v>
      </c>
      <c r="Y43" s="1">
        <f t="shared" si="16"/>
        <v>780</v>
      </c>
      <c r="Z43" s="1">
        <f t="shared" si="17"/>
        <v>0</v>
      </c>
      <c r="AG43" s="1" t="e">
        <f t="shared" si="18"/>
        <v>#N/A</v>
      </c>
      <c r="AH43" s="1" t="e">
        <f t="shared" si="2"/>
        <v>#N/A</v>
      </c>
      <c r="AI43" s="1" t="e">
        <f t="shared" si="19"/>
        <v>#N/A</v>
      </c>
      <c r="AJ43" s="8" t="e" cm="1">
        <f t="array" ref="AJ43">IF(AG43="","", IFERROR(((IF(AG$5&lt;&gt;"", AG$5*Y$5, 0) + SUMPRODUCT(--(AG$6:AG43&lt;&gt;""), AG$6:AG43, (Y$6:Y43-Y$5:Y42)))/1000)/AF$3, ""))</f>
        <v>#N/A</v>
      </c>
      <c r="AK43" s="1">
        <f t="shared" si="20"/>
        <v>780</v>
      </c>
      <c r="AL43" s="1">
        <f t="shared" si="21"/>
        <v>0</v>
      </c>
      <c r="AS43" s="1" t="e">
        <f t="shared" si="22"/>
        <v>#N/A</v>
      </c>
      <c r="AT43" s="1" t="e">
        <f t="shared" si="3"/>
        <v>#N/A</v>
      </c>
      <c r="AU43" s="1" t="e">
        <f t="shared" si="23"/>
        <v>#N/A</v>
      </c>
      <c r="AV43" s="8" t="e" cm="1">
        <f t="array" ref="AV43">IF(AS43="","", IFERROR(((IF(AS$5&lt;&gt;"", AS$5*AK$5, 0) + SUMPRODUCT(--(AS$6:AS43&lt;&gt;""), AS$6:AS43, (AK$6:AK43-AK$5:AK42)))/1000)/AR$3, ""))</f>
        <v>#N/A</v>
      </c>
      <c r="AW43" s="1">
        <f t="shared" si="24"/>
        <v>780</v>
      </c>
      <c r="AX43" s="1">
        <f t="shared" si="25"/>
        <v>0</v>
      </c>
      <c r="BE43" s="1" t="e">
        <f t="shared" si="26"/>
        <v>#N/A</v>
      </c>
      <c r="BF43" s="1" t="e">
        <f t="shared" si="4"/>
        <v>#N/A</v>
      </c>
      <c r="BG43" s="1" t="e">
        <f t="shared" si="27"/>
        <v>#N/A</v>
      </c>
      <c r="BH43" s="8" t="e" cm="1">
        <f t="array" ref="BH43">IF(BE43="","", IFERROR(((IF(BE$5&lt;&gt;"", BE$5*AW$5, 0) + SUMPRODUCT(--(BE$6:BE43&lt;&gt;""), BE$6:BE43, (AW$6:AW43-AW$5:AW42)))/1000)/BD$3, ""))</f>
        <v>#N/A</v>
      </c>
      <c r="BI43" s="1">
        <f t="shared" si="28"/>
        <v>780</v>
      </c>
      <c r="BJ43" s="1">
        <f t="shared" si="29"/>
        <v>0</v>
      </c>
      <c r="BQ43" s="1" t="e">
        <f t="shared" si="30"/>
        <v>#N/A</v>
      </c>
      <c r="BR43" s="1" t="e">
        <f t="shared" si="5"/>
        <v>#N/A</v>
      </c>
      <c r="BS43" s="1" t="e">
        <f t="shared" si="31"/>
        <v>#N/A</v>
      </c>
      <c r="BT43" s="8" t="e" cm="1">
        <f t="array" ref="BT43">IF(BQ43="","", IFERROR(((IF(BQ$5&lt;&gt;"", BQ$5*BI$5, 0) + SUMPRODUCT(--(BQ$6:BQ43&lt;&gt;""), BQ$6:BQ43, (BI$6:BI43-BI$5:BI42)))/1000)/BP$3, ""))</f>
        <v>#N/A</v>
      </c>
      <c r="BU43" s="1">
        <f t="shared" si="32"/>
        <v>780</v>
      </c>
      <c r="BV43" s="1">
        <f t="shared" si="33"/>
        <v>0</v>
      </c>
      <c r="CC43" s="1" t="e">
        <f t="shared" si="34"/>
        <v>#N/A</v>
      </c>
      <c r="CD43" s="1" t="e">
        <f t="shared" si="6"/>
        <v>#N/A</v>
      </c>
      <c r="CE43" s="1" t="e">
        <f t="shared" si="35"/>
        <v>#N/A</v>
      </c>
      <c r="CF43" s="8" t="e" cm="1">
        <f t="array" ref="CF43">IF(CC43="","", IFERROR(((IF(CC$5&lt;&gt;"", CC$5*BU$5, 0) + SUMPRODUCT(--(CC$6:CC43&lt;&gt;""), CC$6:CC43, (BU$6:BU43-BU$5:BU42)))/1000)/CB$3, ""))</f>
        <v>#N/A</v>
      </c>
      <c r="CG43" s="1">
        <f t="shared" si="36"/>
        <v>780</v>
      </c>
      <c r="CH43" s="1">
        <f t="shared" si="37"/>
        <v>0</v>
      </c>
      <c r="CO43" s="1" t="e">
        <f t="shared" si="38"/>
        <v>#N/A</v>
      </c>
      <c r="CP43" s="1" t="e">
        <f t="shared" si="7"/>
        <v>#N/A</v>
      </c>
      <c r="CQ43" s="1" t="e">
        <f t="shared" si="39"/>
        <v>#N/A</v>
      </c>
      <c r="CR43" s="8" t="e" cm="1">
        <f t="array" ref="CR43">IF(CO43="","", IFERROR(((IF(CO$5&lt;&gt;"", CO$5*CG$5, 0) + SUMPRODUCT(--(CO$6:CO43&lt;&gt;""), CO$6:CO43, (CG$6:CG43-CG$5:CG42)))/1000)/CN$3, ""))</f>
        <v>#N/A</v>
      </c>
    </row>
    <row r="44" spans="1:96" x14ac:dyDescent="0.25">
      <c r="A44" s="1">
        <f t="shared" si="8"/>
        <v>800</v>
      </c>
      <c r="B44" s="1">
        <f t="shared" si="9"/>
        <v>0</v>
      </c>
      <c r="I44" s="1" t="e">
        <f t="shared" si="10"/>
        <v>#N/A</v>
      </c>
      <c r="J44" s="1" t="e">
        <f t="shared" si="0"/>
        <v>#N/A</v>
      </c>
      <c r="K44" s="1" t="e">
        <f t="shared" si="11"/>
        <v>#N/A</v>
      </c>
      <c r="L44" s="8" t="e" cm="1">
        <f t="array" ref="L44">IF(I44="","", IFERROR(((IF(I$5&lt;&gt;"", I$5*A$5, 0) + SUMPRODUCT(--(I$6:I44&lt;&gt;""), I$6:I44, (A$6:A44-A$5:A43)))/1000)/H$3, ""))</f>
        <v>#N/A</v>
      </c>
      <c r="M44" s="1">
        <f t="shared" si="12"/>
        <v>800</v>
      </c>
      <c r="N44" s="1">
        <f t="shared" si="13"/>
        <v>0</v>
      </c>
      <c r="U44" s="1" t="e">
        <f t="shared" si="14"/>
        <v>#N/A</v>
      </c>
      <c r="V44" s="1" t="e">
        <f t="shared" si="1"/>
        <v>#N/A</v>
      </c>
      <c r="W44" s="1" t="e">
        <f t="shared" si="15"/>
        <v>#N/A</v>
      </c>
      <c r="X44" s="8" t="e" cm="1">
        <f t="array" ref="X44">IF(U44="","", IFERROR(((IF(U$5&lt;&gt;"", U$5*M$5, 0) + SUMPRODUCT(--(U$6:U44&lt;&gt;""), U$6:U44, (M$6:M44-M$5:M43)))/1000)/T$3, ""))</f>
        <v>#N/A</v>
      </c>
      <c r="Y44" s="1">
        <f t="shared" si="16"/>
        <v>800</v>
      </c>
      <c r="Z44" s="1">
        <f t="shared" si="17"/>
        <v>0</v>
      </c>
      <c r="AG44" s="1" t="e">
        <f t="shared" si="18"/>
        <v>#N/A</v>
      </c>
      <c r="AH44" s="1" t="e">
        <f t="shared" si="2"/>
        <v>#N/A</v>
      </c>
      <c r="AI44" s="1" t="e">
        <f t="shared" si="19"/>
        <v>#N/A</v>
      </c>
      <c r="AJ44" s="8" t="e" cm="1">
        <f t="array" ref="AJ44">IF(AG44="","", IFERROR(((IF(AG$5&lt;&gt;"", AG$5*Y$5, 0) + SUMPRODUCT(--(AG$6:AG44&lt;&gt;""), AG$6:AG44, (Y$6:Y44-Y$5:Y43)))/1000)/AF$3, ""))</f>
        <v>#N/A</v>
      </c>
      <c r="AK44" s="1">
        <f t="shared" si="20"/>
        <v>800</v>
      </c>
      <c r="AL44" s="1">
        <f t="shared" si="21"/>
        <v>0</v>
      </c>
      <c r="AS44" s="1" t="e">
        <f t="shared" si="22"/>
        <v>#N/A</v>
      </c>
      <c r="AT44" s="1" t="e">
        <f t="shared" si="3"/>
        <v>#N/A</v>
      </c>
      <c r="AU44" s="1" t="e">
        <f t="shared" si="23"/>
        <v>#N/A</v>
      </c>
      <c r="AV44" s="8" t="e" cm="1">
        <f t="array" ref="AV44">IF(AS44="","", IFERROR(((IF(AS$5&lt;&gt;"", AS$5*AK$5, 0) + SUMPRODUCT(--(AS$6:AS44&lt;&gt;""), AS$6:AS44, (AK$6:AK44-AK$5:AK43)))/1000)/AR$3, ""))</f>
        <v>#N/A</v>
      </c>
      <c r="AW44" s="1">
        <f t="shared" si="24"/>
        <v>800</v>
      </c>
      <c r="AX44" s="1">
        <f t="shared" si="25"/>
        <v>0</v>
      </c>
      <c r="BE44" s="1" t="e">
        <f t="shared" si="26"/>
        <v>#N/A</v>
      </c>
      <c r="BF44" s="1" t="e">
        <f t="shared" si="4"/>
        <v>#N/A</v>
      </c>
      <c r="BG44" s="1" t="e">
        <f t="shared" si="27"/>
        <v>#N/A</v>
      </c>
      <c r="BH44" s="8" t="e" cm="1">
        <f t="array" ref="BH44">IF(BE44="","", IFERROR(((IF(BE$5&lt;&gt;"", BE$5*AW$5, 0) + SUMPRODUCT(--(BE$6:BE44&lt;&gt;""), BE$6:BE44, (AW$6:AW44-AW$5:AW43)))/1000)/BD$3, ""))</f>
        <v>#N/A</v>
      </c>
      <c r="BI44" s="1">
        <f t="shared" si="28"/>
        <v>800</v>
      </c>
      <c r="BJ44" s="1">
        <f t="shared" si="29"/>
        <v>0</v>
      </c>
      <c r="BQ44" s="1" t="e">
        <f t="shared" si="30"/>
        <v>#N/A</v>
      </c>
      <c r="BR44" s="1" t="e">
        <f t="shared" si="5"/>
        <v>#N/A</v>
      </c>
      <c r="BS44" s="1" t="e">
        <f t="shared" si="31"/>
        <v>#N/A</v>
      </c>
      <c r="BT44" s="8" t="e" cm="1">
        <f t="array" ref="BT44">IF(BQ44="","", IFERROR(((IF(BQ$5&lt;&gt;"", BQ$5*BI$5, 0) + SUMPRODUCT(--(BQ$6:BQ44&lt;&gt;""), BQ$6:BQ44, (BI$6:BI44-BI$5:BI43)))/1000)/BP$3, ""))</f>
        <v>#N/A</v>
      </c>
      <c r="BU44" s="1">
        <f t="shared" si="32"/>
        <v>800</v>
      </c>
      <c r="BV44" s="1">
        <f t="shared" si="33"/>
        <v>0</v>
      </c>
      <c r="CC44" s="1" t="e">
        <f t="shared" si="34"/>
        <v>#N/A</v>
      </c>
      <c r="CD44" s="1" t="e">
        <f t="shared" si="6"/>
        <v>#N/A</v>
      </c>
      <c r="CE44" s="1" t="e">
        <f t="shared" si="35"/>
        <v>#N/A</v>
      </c>
      <c r="CF44" s="8" t="e" cm="1">
        <f t="array" ref="CF44">IF(CC44="","", IFERROR(((IF(CC$5&lt;&gt;"", CC$5*BU$5, 0) + SUMPRODUCT(--(CC$6:CC44&lt;&gt;""), CC$6:CC44, (BU$6:BU44-BU$5:BU43)))/1000)/CB$3, ""))</f>
        <v>#N/A</v>
      </c>
      <c r="CG44" s="1">
        <f t="shared" si="36"/>
        <v>800</v>
      </c>
      <c r="CH44" s="1">
        <f t="shared" si="37"/>
        <v>0</v>
      </c>
      <c r="CO44" s="1" t="e">
        <f t="shared" si="38"/>
        <v>#N/A</v>
      </c>
      <c r="CP44" s="1" t="e">
        <f t="shared" si="7"/>
        <v>#N/A</v>
      </c>
      <c r="CQ44" s="1" t="e">
        <f t="shared" si="39"/>
        <v>#N/A</v>
      </c>
      <c r="CR44" s="8" t="e" cm="1">
        <f t="array" ref="CR44">IF(CO44="","", IFERROR(((IF(CO$5&lt;&gt;"", CO$5*CG$5, 0) + SUMPRODUCT(--(CO$6:CO44&lt;&gt;""), CO$6:CO44, (CG$6:CG44-CG$5:CG43)))/1000)/CN$3, ""))</f>
        <v>#N/A</v>
      </c>
    </row>
    <row r="45" spans="1:96" x14ac:dyDescent="0.25">
      <c r="A45" s="1">
        <f t="shared" si="8"/>
        <v>820</v>
      </c>
      <c r="B45" s="1">
        <f t="shared" si="9"/>
        <v>0</v>
      </c>
      <c r="I45" s="1" t="e">
        <f t="shared" si="10"/>
        <v>#N/A</v>
      </c>
      <c r="J45" s="1" t="e">
        <f t="shared" si="0"/>
        <v>#N/A</v>
      </c>
      <c r="K45" s="1" t="e">
        <f t="shared" si="11"/>
        <v>#N/A</v>
      </c>
      <c r="L45" s="8" t="e" cm="1">
        <f t="array" ref="L45">IF(I45="","", IFERROR(((IF(I$5&lt;&gt;"", I$5*A$5, 0) + SUMPRODUCT(--(I$6:I45&lt;&gt;""), I$6:I45, (A$6:A45-A$5:A44)))/1000)/H$3, ""))</f>
        <v>#N/A</v>
      </c>
      <c r="M45" s="1">
        <f t="shared" si="12"/>
        <v>820</v>
      </c>
      <c r="N45" s="1">
        <f t="shared" si="13"/>
        <v>0</v>
      </c>
      <c r="U45" s="1" t="e">
        <f t="shared" si="14"/>
        <v>#N/A</v>
      </c>
      <c r="V45" s="1" t="e">
        <f t="shared" si="1"/>
        <v>#N/A</v>
      </c>
      <c r="W45" s="1" t="e">
        <f t="shared" si="15"/>
        <v>#N/A</v>
      </c>
      <c r="X45" s="8" t="e" cm="1">
        <f t="array" ref="X45">IF(U45="","", IFERROR(((IF(U$5&lt;&gt;"", U$5*M$5, 0) + SUMPRODUCT(--(U$6:U45&lt;&gt;""), U$6:U45, (M$6:M45-M$5:M44)))/1000)/T$3, ""))</f>
        <v>#N/A</v>
      </c>
      <c r="Y45" s="1">
        <f t="shared" si="16"/>
        <v>820</v>
      </c>
      <c r="Z45" s="1">
        <f t="shared" si="17"/>
        <v>0</v>
      </c>
      <c r="AG45" s="1" t="e">
        <f t="shared" si="18"/>
        <v>#N/A</v>
      </c>
      <c r="AH45" s="1" t="e">
        <f t="shared" si="2"/>
        <v>#N/A</v>
      </c>
      <c r="AI45" s="1" t="e">
        <f t="shared" si="19"/>
        <v>#N/A</v>
      </c>
      <c r="AJ45" s="8" t="e" cm="1">
        <f t="array" ref="AJ45">IF(AG45="","", IFERROR(((IF(AG$5&lt;&gt;"", AG$5*Y$5, 0) + SUMPRODUCT(--(AG$6:AG45&lt;&gt;""), AG$6:AG45, (Y$6:Y45-Y$5:Y44)))/1000)/AF$3, ""))</f>
        <v>#N/A</v>
      </c>
      <c r="AK45" s="1">
        <f t="shared" si="20"/>
        <v>820</v>
      </c>
      <c r="AL45" s="1">
        <f t="shared" si="21"/>
        <v>0</v>
      </c>
      <c r="AS45" s="1" t="e">
        <f t="shared" si="22"/>
        <v>#N/A</v>
      </c>
      <c r="AT45" s="1" t="e">
        <f t="shared" si="3"/>
        <v>#N/A</v>
      </c>
      <c r="AU45" s="1" t="e">
        <f t="shared" si="23"/>
        <v>#N/A</v>
      </c>
      <c r="AV45" s="8" t="e" cm="1">
        <f t="array" ref="AV45">IF(AS45="","", IFERROR(((IF(AS$5&lt;&gt;"", AS$5*AK$5, 0) + SUMPRODUCT(--(AS$6:AS45&lt;&gt;""), AS$6:AS45, (AK$6:AK45-AK$5:AK44)))/1000)/AR$3, ""))</f>
        <v>#N/A</v>
      </c>
      <c r="AW45" s="1">
        <f t="shared" si="24"/>
        <v>820</v>
      </c>
      <c r="AX45" s="1">
        <f t="shared" si="25"/>
        <v>0</v>
      </c>
      <c r="BE45" s="1" t="e">
        <f t="shared" si="26"/>
        <v>#N/A</v>
      </c>
      <c r="BF45" s="1" t="e">
        <f t="shared" si="4"/>
        <v>#N/A</v>
      </c>
      <c r="BG45" s="1" t="e">
        <f t="shared" si="27"/>
        <v>#N/A</v>
      </c>
      <c r="BH45" s="8" t="e" cm="1">
        <f t="array" ref="BH45">IF(BE45="","", IFERROR(((IF(BE$5&lt;&gt;"", BE$5*AW$5, 0) + SUMPRODUCT(--(BE$6:BE45&lt;&gt;""), BE$6:BE45, (AW$6:AW45-AW$5:AW44)))/1000)/BD$3, ""))</f>
        <v>#N/A</v>
      </c>
      <c r="BI45" s="1">
        <f t="shared" si="28"/>
        <v>820</v>
      </c>
      <c r="BJ45" s="1">
        <f t="shared" si="29"/>
        <v>0</v>
      </c>
      <c r="BQ45" s="1" t="e">
        <f t="shared" si="30"/>
        <v>#N/A</v>
      </c>
      <c r="BR45" s="1" t="e">
        <f t="shared" si="5"/>
        <v>#N/A</v>
      </c>
      <c r="BS45" s="1" t="e">
        <f t="shared" si="31"/>
        <v>#N/A</v>
      </c>
      <c r="BT45" s="8" t="e" cm="1">
        <f t="array" ref="BT45">IF(BQ45="","", IFERROR(((IF(BQ$5&lt;&gt;"", BQ$5*BI$5, 0) + SUMPRODUCT(--(BQ$6:BQ45&lt;&gt;""), BQ$6:BQ45, (BI$6:BI45-BI$5:BI44)))/1000)/BP$3, ""))</f>
        <v>#N/A</v>
      </c>
      <c r="BU45" s="1">
        <f t="shared" si="32"/>
        <v>820</v>
      </c>
      <c r="BV45" s="1">
        <f t="shared" si="33"/>
        <v>0</v>
      </c>
      <c r="CC45" s="1" t="e">
        <f t="shared" si="34"/>
        <v>#N/A</v>
      </c>
      <c r="CD45" s="1" t="e">
        <f t="shared" si="6"/>
        <v>#N/A</v>
      </c>
      <c r="CE45" s="1" t="e">
        <f t="shared" si="35"/>
        <v>#N/A</v>
      </c>
      <c r="CF45" s="8" t="e" cm="1">
        <f t="array" ref="CF45">IF(CC45="","", IFERROR(((IF(CC$5&lt;&gt;"", CC$5*BU$5, 0) + SUMPRODUCT(--(CC$6:CC45&lt;&gt;""), CC$6:CC45, (BU$6:BU45-BU$5:BU44)))/1000)/CB$3, ""))</f>
        <v>#N/A</v>
      </c>
      <c r="CG45" s="1">
        <f t="shared" si="36"/>
        <v>820</v>
      </c>
      <c r="CH45" s="1">
        <f t="shared" si="37"/>
        <v>0</v>
      </c>
      <c r="CO45" s="1" t="e">
        <f t="shared" si="38"/>
        <v>#N/A</v>
      </c>
      <c r="CP45" s="1" t="e">
        <f t="shared" si="7"/>
        <v>#N/A</v>
      </c>
      <c r="CQ45" s="1" t="e">
        <f t="shared" si="39"/>
        <v>#N/A</v>
      </c>
      <c r="CR45" s="8" t="e" cm="1">
        <f t="array" ref="CR45">IF(CO45="","", IFERROR(((IF(CO$5&lt;&gt;"", CO$5*CG$5, 0) + SUMPRODUCT(--(CO$6:CO45&lt;&gt;""), CO$6:CO45, (CG$6:CG45-CG$5:CG44)))/1000)/CN$3, ""))</f>
        <v>#N/A</v>
      </c>
    </row>
    <row r="46" spans="1:96" x14ac:dyDescent="0.25">
      <c r="A46" s="1">
        <f t="shared" si="8"/>
        <v>840</v>
      </c>
      <c r="B46" s="1">
        <f t="shared" si="9"/>
        <v>0</v>
      </c>
      <c r="I46" s="1" t="e">
        <f t="shared" si="10"/>
        <v>#N/A</v>
      </c>
      <c r="J46" s="1" t="e">
        <f t="shared" si="0"/>
        <v>#N/A</v>
      </c>
      <c r="K46" s="1" t="e">
        <f t="shared" si="11"/>
        <v>#N/A</v>
      </c>
      <c r="L46" s="8" t="e" cm="1">
        <f t="array" ref="L46">IF(I46="","", IFERROR(((IF(I$5&lt;&gt;"", I$5*A$5, 0) + SUMPRODUCT(--(I$6:I46&lt;&gt;""), I$6:I46, (A$6:A46-A$5:A45)))/1000)/H$3, ""))</f>
        <v>#N/A</v>
      </c>
      <c r="M46" s="1">
        <f t="shared" si="12"/>
        <v>840</v>
      </c>
      <c r="N46" s="1">
        <f t="shared" si="13"/>
        <v>0</v>
      </c>
      <c r="U46" s="1" t="e">
        <f t="shared" si="14"/>
        <v>#N/A</v>
      </c>
      <c r="V46" s="1" t="e">
        <f t="shared" si="1"/>
        <v>#N/A</v>
      </c>
      <c r="W46" s="1" t="e">
        <f t="shared" si="15"/>
        <v>#N/A</v>
      </c>
      <c r="X46" s="8" t="e" cm="1">
        <f t="array" ref="X46">IF(U46="","", IFERROR(((IF(U$5&lt;&gt;"", U$5*M$5, 0) + SUMPRODUCT(--(U$6:U46&lt;&gt;""), U$6:U46, (M$6:M46-M$5:M45)))/1000)/T$3, ""))</f>
        <v>#N/A</v>
      </c>
      <c r="Y46" s="1">
        <f t="shared" si="16"/>
        <v>840</v>
      </c>
      <c r="Z46" s="1">
        <f t="shared" si="17"/>
        <v>0</v>
      </c>
      <c r="AG46" s="1" t="e">
        <f t="shared" si="18"/>
        <v>#N/A</v>
      </c>
      <c r="AH46" s="1" t="e">
        <f t="shared" si="2"/>
        <v>#N/A</v>
      </c>
      <c r="AI46" s="1" t="e">
        <f t="shared" si="19"/>
        <v>#N/A</v>
      </c>
      <c r="AJ46" s="8" t="e" cm="1">
        <f t="array" ref="AJ46">IF(AG46="","", IFERROR(((IF(AG$5&lt;&gt;"", AG$5*Y$5, 0) + SUMPRODUCT(--(AG$6:AG46&lt;&gt;""), AG$6:AG46, (Y$6:Y46-Y$5:Y45)))/1000)/AF$3, ""))</f>
        <v>#N/A</v>
      </c>
      <c r="AK46" s="1">
        <f t="shared" si="20"/>
        <v>840</v>
      </c>
      <c r="AL46" s="1">
        <f t="shared" si="21"/>
        <v>0</v>
      </c>
      <c r="AS46" s="1" t="e">
        <f t="shared" si="22"/>
        <v>#N/A</v>
      </c>
      <c r="AT46" s="1" t="e">
        <f t="shared" si="3"/>
        <v>#N/A</v>
      </c>
      <c r="AU46" s="1" t="e">
        <f t="shared" si="23"/>
        <v>#N/A</v>
      </c>
      <c r="AV46" s="8" t="e" cm="1">
        <f t="array" ref="AV46">IF(AS46="","", IFERROR(((IF(AS$5&lt;&gt;"", AS$5*AK$5, 0) + SUMPRODUCT(--(AS$6:AS46&lt;&gt;""), AS$6:AS46, (AK$6:AK46-AK$5:AK45)))/1000)/AR$3, ""))</f>
        <v>#N/A</v>
      </c>
      <c r="AW46" s="1">
        <f t="shared" si="24"/>
        <v>840</v>
      </c>
      <c r="AX46" s="1">
        <f t="shared" si="25"/>
        <v>0</v>
      </c>
      <c r="BE46" s="1" t="e">
        <f t="shared" si="26"/>
        <v>#N/A</v>
      </c>
      <c r="BF46" s="1" t="e">
        <f t="shared" si="4"/>
        <v>#N/A</v>
      </c>
      <c r="BG46" s="1" t="e">
        <f t="shared" si="27"/>
        <v>#N/A</v>
      </c>
      <c r="BH46" s="8" t="e" cm="1">
        <f t="array" ref="BH46">IF(BE46="","", IFERROR(((IF(BE$5&lt;&gt;"", BE$5*AW$5, 0) + SUMPRODUCT(--(BE$6:BE46&lt;&gt;""), BE$6:BE46, (AW$6:AW46-AW$5:AW45)))/1000)/BD$3, ""))</f>
        <v>#N/A</v>
      </c>
      <c r="BI46" s="1">
        <f t="shared" si="28"/>
        <v>840</v>
      </c>
      <c r="BJ46" s="1">
        <f t="shared" si="29"/>
        <v>0</v>
      </c>
      <c r="BQ46" s="1" t="e">
        <f t="shared" si="30"/>
        <v>#N/A</v>
      </c>
      <c r="BR46" s="1" t="e">
        <f t="shared" si="5"/>
        <v>#N/A</v>
      </c>
      <c r="BS46" s="1" t="e">
        <f t="shared" si="31"/>
        <v>#N/A</v>
      </c>
      <c r="BT46" s="8" t="e" cm="1">
        <f t="array" ref="BT46">IF(BQ46="","", IFERROR(((IF(BQ$5&lt;&gt;"", BQ$5*BI$5, 0) + SUMPRODUCT(--(BQ$6:BQ46&lt;&gt;""), BQ$6:BQ46, (BI$6:BI46-BI$5:BI45)))/1000)/BP$3, ""))</f>
        <v>#N/A</v>
      </c>
      <c r="BU46" s="1">
        <f t="shared" si="32"/>
        <v>840</v>
      </c>
      <c r="BV46" s="1">
        <f t="shared" si="33"/>
        <v>0</v>
      </c>
      <c r="CC46" s="1" t="e">
        <f t="shared" si="34"/>
        <v>#N/A</v>
      </c>
      <c r="CD46" s="1" t="e">
        <f t="shared" si="6"/>
        <v>#N/A</v>
      </c>
      <c r="CE46" s="1" t="e">
        <f t="shared" si="35"/>
        <v>#N/A</v>
      </c>
      <c r="CF46" s="8" t="e" cm="1">
        <f t="array" ref="CF46">IF(CC46="","", IFERROR(((IF(CC$5&lt;&gt;"", CC$5*BU$5, 0) + SUMPRODUCT(--(CC$6:CC46&lt;&gt;""), CC$6:CC46, (BU$6:BU46-BU$5:BU45)))/1000)/CB$3, ""))</f>
        <v>#N/A</v>
      </c>
      <c r="CG46" s="1">
        <f t="shared" si="36"/>
        <v>840</v>
      </c>
      <c r="CH46" s="1">
        <f t="shared" si="37"/>
        <v>0</v>
      </c>
      <c r="CO46" s="1" t="e">
        <f t="shared" si="38"/>
        <v>#N/A</v>
      </c>
      <c r="CP46" s="1" t="e">
        <f t="shared" si="7"/>
        <v>#N/A</v>
      </c>
      <c r="CQ46" s="1" t="e">
        <f t="shared" si="39"/>
        <v>#N/A</v>
      </c>
      <c r="CR46" s="8" t="e" cm="1">
        <f t="array" ref="CR46">IF(CO46="","", IFERROR(((IF(CO$5&lt;&gt;"", CO$5*CG$5, 0) + SUMPRODUCT(--(CO$6:CO46&lt;&gt;""), CO$6:CO46, (CG$6:CG46-CG$5:CG45)))/1000)/CN$3, ""))</f>
        <v>#N/A</v>
      </c>
    </row>
    <row r="47" spans="1:96" x14ac:dyDescent="0.25">
      <c r="A47" s="1">
        <f t="shared" si="8"/>
        <v>860</v>
      </c>
      <c r="B47" s="1">
        <f t="shared" si="9"/>
        <v>0</v>
      </c>
      <c r="I47" s="1" t="e">
        <f t="shared" si="10"/>
        <v>#N/A</v>
      </c>
      <c r="J47" s="1" t="e">
        <f t="shared" si="0"/>
        <v>#N/A</v>
      </c>
      <c r="K47" s="1" t="e">
        <f t="shared" si="11"/>
        <v>#N/A</v>
      </c>
      <c r="L47" s="8" t="e" cm="1">
        <f t="array" ref="L47">IF(I47="","", IFERROR(((IF(I$5&lt;&gt;"", I$5*A$5, 0) + SUMPRODUCT(--(I$6:I47&lt;&gt;""), I$6:I47, (A$6:A47-A$5:A46)))/1000)/H$3, ""))</f>
        <v>#N/A</v>
      </c>
      <c r="M47" s="1">
        <f t="shared" si="12"/>
        <v>860</v>
      </c>
      <c r="N47" s="1">
        <f t="shared" si="13"/>
        <v>0</v>
      </c>
      <c r="U47" s="1" t="e">
        <f t="shared" si="14"/>
        <v>#N/A</v>
      </c>
      <c r="V47" s="1" t="e">
        <f t="shared" si="1"/>
        <v>#N/A</v>
      </c>
      <c r="W47" s="1" t="e">
        <f t="shared" si="15"/>
        <v>#N/A</v>
      </c>
      <c r="X47" s="8" t="e" cm="1">
        <f t="array" ref="X47">IF(U47="","", IFERROR(((IF(U$5&lt;&gt;"", U$5*M$5, 0) + SUMPRODUCT(--(U$6:U47&lt;&gt;""), U$6:U47, (M$6:M47-M$5:M46)))/1000)/T$3, ""))</f>
        <v>#N/A</v>
      </c>
      <c r="Y47" s="1">
        <f t="shared" si="16"/>
        <v>860</v>
      </c>
      <c r="Z47" s="1">
        <f t="shared" si="17"/>
        <v>0</v>
      </c>
      <c r="AG47" s="1" t="e">
        <f t="shared" si="18"/>
        <v>#N/A</v>
      </c>
      <c r="AH47" s="1" t="e">
        <f t="shared" si="2"/>
        <v>#N/A</v>
      </c>
      <c r="AI47" s="1" t="e">
        <f t="shared" si="19"/>
        <v>#N/A</v>
      </c>
      <c r="AJ47" s="8" t="e" cm="1">
        <f t="array" ref="AJ47">IF(AG47="","", IFERROR(((IF(AG$5&lt;&gt;"", AG$5*Y$5, 0) + SUMPRODUCT(--(AG$6:AG47&lt;&gt;""), AG$6:AG47, (Y$6:Y47-Y$5:Y46)))/1000)/AF$3, ""))</f>
        <v>#N/A</v>
      </c>
      <c r="AK47" s="1">
        <f t="shared" si="20"/>
        <v>860</v>
      </c>
      <c r="AL47" s="1">
        <f t="shared" si="21"/>
        <v>0</v>
      </c>
      <c r="AS47" s="1" t="e">
        <f t="shared" si="22"/>
        <v>#N/A</v>
      </c>
      <c r="AT47" s="1" t="e">
        <f t="shared" si="3"/>
        <v>#N/A</v>
      </c>
      <c r="AU47" s="1" t="e">
        <f t="shared" si="23"/>
        <v>#N/A</v>
      </c>
      <c r="AV47" s="8" t="e" cm="1">
        <f t="array" ref="AV47">IF(AS47="","", IFERROR(((IF(AS$5&lt;&gt;"", AS$5*AK$5, 0) + SUMPRODUCT(--(AS$6:AS47&lt;&gt;""), AS$6:AS47, (AK$6:AK47-AK$5:AK46)))/1000)/AR$3, ""))</f>
        <v>#N/A</v>
      </c>
      <c r="AW47" s="1">
        <f t="shared" si="24"/>
        <v>860</v>
      </c>
      <c r="AX47" s="1">
        <f t="shared" si="25"/>
        <v>0</v>
      </c>
      <c r="BE47" s="1" t="e">
        <f t="shared" si="26"/>
        <v>#N/A</v>
      </c>
      <c r="BF47" s="1" t="e">
        <f t="shared" si="4"/>
        <v>#N/A</v>
      </c>
      <c r="BG47" s="1" t="e">
        <f t="shared" si="27"/>
        <v>#N/A</v>
      </c>
      <c r="BH47" s="8" t="e" cm="1">
        <f t="array" ref="BH47">IF(BE47="","", IFERROR(((IF(BE$5&lt;&gt;"", BE$5*AW$5, 0) + SUMPRODUCT(--(BE$6:BE47&lt;&gt;""), BE$6:BE47, (AW$6:AW47-AW$5:AW46)))/1000)/BD$3, ""))</f>
        <v>#N/A</v>
      </c>
      <c r="BI47" s="1">
        <f t="shared" si="28"/>
        <v>860</v>
      </c>
      <c r="BJ47" s="1">
        <f t="shared" si="29"/>
        <v>0</v>
      </c>
      <c r="BQ47" s="1" t="e">
        <f t="shared" si="30"/>
        <v>#N/A</v>
      </c>
      <c r="BR47" s="1" t="e">
        <f t="shared" si="5"/>
        <v>#N/A</v>
      </c>
      <c r="BS47" s="1" t="e">
        <f t="shared" si="31"/>
        <v>#N/A</v>
      </c>
      <c r="BT47" s="8" t="e" cm="1">
        <f t="array" ref="BT47">IF(BQ47="","", IFERROR(((IF(BQ$5&lt;&gt;"", BQ$5*BI$5, 0) + SUMPRODUCT(--(BQ$6:BQ47&lt;&gt;""), BQ$6:BQ47, (BI$6:BI47-BI$5:BI46)))/1000)/BP$3, ""))</f>
        <v>#N/A</v>
      </c>
      <c r="BU47" s="1">
        <f t="shared" si="32"/>
        <v>860</v>
      </c>
      <c r="BV47" s="1">
        <f t="shared" si="33"/>
        <v>0</v>
      </c>
      <c r="CC47" s="1" t="e">
        <f t="shared" si="34"/>
        <v>#N/A</v>
      </c>
      <c r="CD47" s="1" t="e">
        <f t="shared" si="6"/>
        <v>#N/A</v>
      </c>
      <c r="CE47" s="1" t="e">
        <f t="shared" si="35"/>
        <v>#N/A</v>
      </c>
      <c r="CF47" s="8" t="e" cm="1">
        <f t="array" ref="CF47">IF(CC47="","", IFERROR(((IF(CC$5&lt;&gt;"", CC$5*BU$5, 0) + SUMPRODUCT(--(CC$6:CC47&lt;&gt;""), CC$6:CC47, (BU$6:BU47-BU$5:BU46)))/1000)/CB$3, ""))</f>
        <v>#N/A</v>
      </c>
      <c r="CG47" s="1">
        <f t="shared" si="36"/>
        <v>860</v>
      </c>
      <c r="CH47" s="1">
        <f t="shared" si="37"/>
        <v>0</v>
      </c>
      <c r="CO47" s="1" t="e">
        <f t="shared" si="38"/>
        <v>#N/A</v>
      </c>
      <c r="CP47" s="1" t="e">
        <f t="shared" si="7"/>
        <v>#N/A</v>
      </c>
      <c r="CQ47" s="1" t="e">
        <f t="shared" si="39"/>
        <v>#N/A</v>
      </c>
      <c r="CR47" s="8" t="e" cm="1">
        <f t="array" ref="CR47">IF(CO47="","", IFERROR(((IF(CO$5&lt;&gt;"", CO$5*CG$5, 0) + SUMPRODUCT(--(CO$6:CO47&lt;&gt;""), CO$6:CO47, (CG$6:CG47-CG$5:CG46)))/1000)/CN$3, ""))</f>
        <v>#N/A</v>
      </c>
    </row>
    <row r="48" spans="1:96" x14ac:dyDescent="0.25">
      <c r="A48" s="1">
        <f t="shared" si="8"/>
        <v>880</v>
      </c>
      <c r="B48" s="1">
        <f t="shared" si="9"/>
        <v>0</v>
      </c>
      <c r="I48" s="1" t="e">
        <f t="shared" si="10"/>
        <v>#N/A</v>
      </c>
      <c r="J48" s="1" t="e">
        <f t="shared" si="0"/>
        <v>#N/A</v>
      </c>
      <c r="K48" s="1" t="e">
        <f t="shared" si="11"/>
        <v>#N/A</v>
      </c>
      <c r="L48" s="8" t="e" cm="1">
        <f t="array" ref="L48">IF(I48="","", IFERROR(((IF(I$5&lt;&gt;"", I$5*A$5, 0) + SUMPRODUCT(--(I$6:I48&lt;&gt;""), I$6:I48, (A$6:A48-A$5:A47)))/1000)/H$3, ""))</f>
        <v>#N/A</v>
      </c>
      <c r="M48" s="1">
        <f t="shared" si="12"/>
        <v>880</v>
      </c>
      <c r="N48" s="1">
        <f t="shared" si="13"/>
        <v>0</v>
      </c>
      <c r="U48" s="1" t="e">
        <f t="shared" si="14"/>
        <v>#N/A</v>
      </c>
      <c r="V48" s="1" t="e">
        <f t="shared" si="1"/>
        <v>#N/A</v>
      </c>
      <c r="W48" s="1" t="e">
        <f t="shared" si="15"/>
        <v>#N/A</v>
      </c>
      <c r="X48" s="8" t="e" cm="1">
        <f t="array" ref="X48">IF(U48="","", IFERROR(((IF(U$5&lt;&gt;"", U$5*M$5, 0) + SUMPRODUCT(--(U$6:U48&lt;&gt;""), U$6:U48, (M$6:M48-M$5:M47)))/1000)/T$3, ""))</f>
        <v>#N/A</v>
      </c>
      <c r="Y48" s="1">
        <f t="shared" si="16"/>
        <v>880</v>
      </c>
      <c r="Z48" s="1">
        <f t="shared" si="17"/>
        <v>0</v>
      </c>
      <c r="AG48" s="1" t="e">
        <f t="shared" si="18"/>
        <v>#N/A</v>
      </c>
      <c r="AH48" s="1" t="e">
        <f t="shared" si="2"/>
        <v>#N/A</v>
      </c>
      <c r="AI48" s="1" t="e">
        <f t="shared" si="19"/>
        <v>#N/A</v>
      </c>
      <c r="AJ48" s="8" t="e" cm="1">
        <f t="array" ref="AJ48">IF(AG48="","", IFERROR(((IF(AG$5&lt;&gt;"", AG$5*Y$5, 0) + SUMPRODUCT(--(AG$6:AG48&lt;&gt;""), AG$6:AG48, (Y$6:Y48-Y$5:Y47)))/1000)/AF$3, ""))</f>
        <v>#N/A</v>
      </c>
      <c r="AK48" s="1">
        <f t="shared" si="20"/>
        <v>880</v>
      </c>
      <c r="AL48" s="1">
        <f t="shared" si="21"/>
        <v>0</v>
      </c>
      <c r="AS48" s="1" t="e">
        <f t="shared" si="22"/>
        <v>#N/A</v>
      </c>
      <c r="AT48" s="1" t="e">
        <f t="shared" si="3"/>
        <v>#N/A</v>
      </c>
      <c r="AU48" s="1" t="e">
        <f t="shared" si="23"/>
        <v>#N/A</v>
      </c>
      <c r="AV48" s="8" t="e" cm="1">
        <f t="array" ref="AV48">IF(AS48="","", IFERROR(((IF(AS$5&lt;&gt;"", AS$5*AK$5, 0) + SUMPRODUCT(--(AS$6:AS48&lt;&gt;""), AS$6:AS48, (AK$6:AK48-AK$5:AK47)))/1000)/AR$3, ""))</f>
        <v>#N/A</v>
      </c>
      <c r="AW48" s="1">
        <f t="shared" si="24"/>
        <v>880</v>
      </c>
      <c r="AX48" s="1">
        <f t="shared" si="25"/>
        <v>0</v>
      </c>
      <c r="BE48" s="1" t="e">
        <f t="shared" si="26"/>
        <v>#N/A</v>
      </c>
      <c r="BF48" s="1" t="e">
        <f t="shared" si="4"/>
        <v>#N/A</v>
      </c>
      <c r="BG48" s="1" t="e">
        <f t="shared" si="27"/>
        <v>#N/A</v>
      </c>
      <c r="BH48" s="8" t="e" cm="1">
        <f t="array" ref="BH48">IF(BE48="","", IFERROR(((IF(BE$5&lt;&gt;"", BE$5*AW$5, 0) + SUMPRODUCT(--(BE$6:BE48&lt;&gt;""), BE$6:BE48, (AW$6:AW48-AW$5:AW47)))/1000)/BD$3, ""))</f>
        <v>#N/A</v>
      </c>
      <c r="BI48" s="1">
        <f t="shared" si="28"/>
        <v>880</v>
      </c>
      <c r="BJ48" s="1">
        <f t="shared" si="29"/>
        <v>0</v>
      </c>
      <c r="BQ48" s="1" t="e">
        <f t="shared" si="30"/>
        <v>#N/A</v>
      </c>
      <c r="BR48" s="1" t="e">
        <f t="shared" si="5"/>
        <v>#N/A</v>
      </c>
      <c r="BS48" s="1" t="e">
        <f t="shared" si="31"/>
        <v>#N/A</v>
      </c>
      <c r="BT48" s="8" t="e" cm="1">
        <f t="array" ref="BT48">IF(BQ48="","", IFERROR(((IF(BQ$5&lt;&gt;"", BQ$5*BI$5, 0) + SUMPRODUCT(--(BQ$6:BQ48&lt;&gt;""), BQ$6:BQ48, (BI$6:BI48-BI$5:BI47)))/1000)/BP$3, ""))</f>
        <v>#N/A</v>
      </c>
      <c r="BU48" s="1">
        <f t="shared" si="32"/>
        <v>880</v>
      </c>
      <c r="BV48" s="1">
        <f t="shared" si="33"/>
        <v>0</v>
      </c>
      <c r="CC48" s="1" t="e">
        <f t="shared" si="34"/>
        <v>#N/A</v>
      </c>
      <c r="CD48" s="1" t="e">
        <f t="shared" si="6"/>
        <v>#N/A</v>
      </c>
      <c r="CE48" s="1" t="e">
        <f t="shared" si="35"/>
        <v>#N/A</v>
      </c>
      <c r="CF48" s="8" t="e" cm="1">
        <f t="array" ref="CF48">IF(CC48="","", IFERROR(((IF(CC$5&lt;&gt;"", CC$5*BU$5, 0) + SUMPRODUCT(--(CC$6:CC48&lt;&gt;""), CC$6:CC48, (BU$6:BU48-BU$5:BU47)))/1000)/CB$3, ""))</f>
        <v>#N/A</v>
      </c>
      <c r="CG48" s="1">
        <f t="shared" si="36"/>
        <v>880</v>
      </c>
      <c r="CH48" s="1">
        <f t="shared" si="37"/>
        <v>0</v>
      </c>
      <c r="CO48" s="1" t="e">
        <f t="shared" si="38"/>
        <v>#N/A</v>
      </c>
      <c r="CP48" s="1" t="e">
        <f t="shared" si="7"/>
        <v>#N/A</v>
      </c>
      <c r="CQ48" s="1" t="e">
        <f t="shared" si="39"/>
        <v>#N/A</v>
      </c>
      <c r="CR48" s="8" t="e" cm="1">
        <f t="array" ref="CR48">IF(CO48="","", IFERROR(((IF(CO$5&lt;&gt;"", CO$5*CG$5, 0) + SUMPRODUCT(--(CO$6:CO48&lt;&gt;""), CO$6:CO48, (CG$6:CG48-CG$5:CG47)))/1000)/CN$3, ""))</f>
        <v>#N/A</v>
      </c>
    </row>
    <row r="49" spans="1:96" x14ac:dyDescent="0.25">
      <c r="A49" s="1">
        <f t="shared" si="8"/>
        <v>900</v>
      </c>
      <c r="B49" s="1">
        <f t="shared" si="9"/>
        <v>0</v>
      </c>
      <c r="I49" s="1" t="e">
        <f t="shared" si="10"/>
        <v>#N/A</v>
      </c>
      <c r="J49" s="1" t="e">
        <f t="shared" si="0"/>
        <v>#N/A</v>
      </c>
      <c r="K49" s="1" t="e">
        <f t="shared" si="11"/>
        <v>#N/A</v>
      </c>
      <c r="L49" s="8" t="e" cm="1">
        <f t="array" ref="L49">IF(I49="","", IFERROR(((IF(I$5&lt;&gt;"", I$5*A$5, 0) + SUMPRODUCT(--(I$6:I49&lt;&gt;""), I$6:I49, (A$6:A49-A$5:A48)))/1000)/H$3, ""))</f>
        <v>#N/A</v>
      </c>
      <c r="M49" s="1">
        <f t="shared" si="12"/>
        <v>900</v>
      </c>
      <c r="N49" s="1">
        <f t="shared" si="13"/>
        <v>0</v>
      </c>
      <c r="U49" s="1" t="e">
        <f t="shared" si="14"/>
        <v>#N/A</v>
      </c>
      <c r="V49" s="1" t="e">
        <f t="shared" si="1"/>
        <v>#N/A</v>
      </c>
      <c r="W49" s="1" t="e">
        <f t="shared" si="15"/>
        <v>#N/A</v>
      </c>
      <c r="X49" s="8" t="e" cm="1">
        <f t="array" ref="X49">IF(U49="","", IFERROR(((IF(U$5&lt;&gt;"", U$5*M$5, 0) + SUMPRODUCT(--(U$6:U49&lt;&gt;""), U$6:U49, (M$6:M49-M$5:M48)))/1000)/T$3, ""))</f>
        <v>#N/A</v>
      </c>
      <c r="Y49" s="1">
        <f t="shared" si="16"/>
        <v>900</v>
      </c>
      <c r="Z49" s="1">
        <f t="shared" si="17"/>
        <v>0</v>
      </c>
      <c r="AG49" s="1" t="e">
        <f t="shared" si="18"/>
        <v>#N/A</v>
      </c>
      <c r="AH49" s="1" t="e">
        <f t="shared" si="2"/>
        <v>#N/A</v>
      </c>
      <c r="AI49" s="1" t="e">
        <f t="shared" si="19"/>
        <v>#N/A</v>
      </c>
      <c r="AJ49" s="8" t="e" cm="1">
        <f t="array" ref="AJ49">IF(AG49="","", IFERROR(((IF(AG$5&lt;&gt;"", AG$5*Y$5, 0) + SUMPRODUCT(--(AG$6:AG49&lt;&gt;""), AG$6:AG49, (Y$6:Y49-Y$5:Y48)))/1000)/AF$3, ""))</f>
        <v>#N/A</v>
      </c>
      <c r="AK49" s="1">
        <f t="shared" si="20"/>
        <v>900</v>
      </c>
      <c r="AL49" s="1">
        <f t="shared" si="21"/>
        <v>0</v>
      </c>
      <c r="AS49" s="1" t="e">
        <f t="shared" si="22"/>
        <v>#N/A</v>
      </c>
      <c r="AT49" s="1" t="e">
        <f t="shared" si="3"/>
        <v>#N/A</v>
      </c>
      <c r="AU49" s="1" t="e">
        <f t="shared" si="23"/>
        <v>#N/A</v>
      </c>
      <c r="AV49" s="8" t="e" cm="1">
        <f t="array" ref="AV49">IF(AS49="","", IFERROR(((IF(AS$5&lt;&gt;"", AS$5*AK$5, 0) + SUMPRODUCT(--(AS$6:AS49&lt;&gt;""), AS$6:AS49, (AK$6:AK49-AK$5:AK48)))/1000)/AR$3, ""))</f>
        <v>#N/A</v>
      </c>
      <c r="AW49" s="1">
        <f t="shared" si="24"/>
        <v>900</v>
      </c>
      <c r="AX49" s="1">
        <f t="shared" si="25"/>
        <v>0</v>
      </c>
      <c r="BE49" s="1" t="e">
        <f t="shared" si="26"/>
        <v>#N/A</v>
      </c>
      <c r="BF49" s="1" t="e">
        <f t="shared" si="4"/>
        <v>#N/A</v>
      </c>
      <c r="BG49" s="1" t="e">
        <f t="shared" si="27"/>
        <v>#N/A</v>
      </c>
      <c r="BH49" s="8" t="e" cm="1">
        <f t="array" ref="BH49">IF(BE49="","", IFERROR(((IF(BE$5&lt;&gt;"", BE$5*AW$5, 0) + SUMPRODUCT(--(BE$6:BE49&lt;&gt;""), BE$6:BE49, (AW$6:AW49-AW$5:AW48)))/1000)/BD$3, ""))</f>
        <v>#N/A</v>
      </c>
      <c r="BI49" s="1">
        <f t="shared" si="28"/>
        <v>900</v>
      </c>
      <c r="BJ49" s="1">
        <f t="shared" si="29"/>
        <v>0</v>
      </c>
      <c r="BQ49" s="1" t="e">
        <f t="shared" si="30"/>
        <v>#N/A</v>
      </c>
      <c r="BR49" s="1" t="e">
        <f t="shared" si="5"/>
        <v>#N/A</v>
      </c>
      <c r="BS49" s="1" t="e">
        <f t="shared" si="31"/>
        <v>#N/A</v>
      </c>
      <c r="BT49" s="8" t="e" cm="1">
        <f t="array" ref="BT49">IF(BQ49="","", IFERROR(((IF(BQ$5&lt;&gt;"", BQ$5*BI$5, 0) + SUMPRODUCT(--(BQ$6:BQ49&lt;&gt;""), BQ$6:BQ49, (BI$6:BI49-BI$5:BI48)))/1000)/BP$3, ""))</f>
        <v>#N/A</v>
      </c>
      <c r="BU49" s="1">
        <f t="shared" si="32"/>
        <v>900</v>
      </c>
      <c r="BV49" s="1">
        <f t="shared" si="33"/>
        <v>0</v>
      </c>
      <c r="CC49" s="1" t="e">
        <f t="shared" si="34"/>
        <v>#N/A</v>
      </c>
      <c r="CD49" s="1" t="e">
        <f t="shared" si="6"/>
        <v>#N/A</v>
      </c>
      <c r="CE49" s="1" t="e">
        <f t="shared" si="35"/>
        <v>#N/A</v>
      </c>
      <c r="CF49" s="8" t="e" cm="1">
        <f t="array" ref="CF49">IF(CC49="","", IFERROR(((IF(CC$5&lt;&gt;"", CC$5*BU$5, 0) + SUMPRODUCT(--(CC$6:CC49&lt;&gt;""), CC$6:CC49, (BU$6:BU49-BU$5:BU48)))/1000)/CB$3, ""))</f>
        <v>#N/A</v>
      </c>
      <c r="CG49" s="1">
        <f t="shared" si="36"/>
        <v>900</v>
      </c>
      <c r="CH49" s="1">
        <f t="shared" si="37"/>
        <v>0</v>
      </c>
      <c r="CO49" s="1" t="e">
        <f t="shared" si="38"/>
        <v>#N/A</v>
      </c>
      <c r="CP49" s="1" t="e">
        <f t="shared" si="7"/>
        <v>#N/A</v>
      </c>
      <c r="CQ49" s="1" t="e">
        <f t="shared" si="39"/>
        <v>#N/A</v>
      </c>
      <c r="CR49" s="8" t="e" cm="1">
        <f t="array" ref="CR49">IF(CO49="","", IFERROR(((IF(CO$5&lt;&gt;"", CO$5*CG$5, 0) + SUMPRODUCT(--(CO$6:CO49&lt;&gt;""), CO$6:CO49, (CG$6:CG49-CG$5:CG48)))/1000)/CN$3, ""))</f>
        <v>#N/A</v>
      </c>
    </row>
    <row r="50" spans="1:96" x14ac:dyDescent="0.25">
      <c r="A50" s="1">
        <f t="shared" si="8"/>
        <v>920</v>
      </c>
      <c r="B50" s="1">
        <f t="shared" si="9"/>
        <v>0</v>
      </c>
      <c r="I50" s="1" t="e">
        <f t="shared" si="10"/>
        <v>#N/A</v>
      </c>
      <c r="J50" s="1" t="e">
        <f t="shared" si="0"/>
        <v>#N/A</v>
      </c>
      <c r="K50" s="1" t="e">
        <f t="shared" si="11"/>
        <v>#N/A</v>
      </c>
      <c r="L50" s="8" t="e" cm="1">
        <f t="array" ref="L50">IF(I50="","", IFERROR(((IF(I$5&lt;&gt;"", I$5*A$5, 0) + SUMPRODUCT(--(I$6:I50&lt;&gt;""), I$6:I50, (A$6:A50-A$5:A49)))/1000)/H$3, ""))</f>
        <v>#N/A</v>
      </c>
      <c r="M50" s="1">
        <f t="shared" si="12"/>
        <v>920</v>
      </c>
      <c r="N50" s="1">
        <f t="shared" si="13"/>
        <v>0</v>
      </c>
      <c r="U50" s="1" t="e">
        <f t="shared" si="14"/>
        <v>#N/A</v>
      </c>
      <c r="V50" s="1" t="e">
        <f t="shared" si="1"/>
        <v>#N/A</v>
      </c>
      <c r="W50" s="1" t="e">
        <f t="shared" si="15"/>
        <v>#N/A</v>
      </c>
      <c r="X50" s="8" t="e" cm="1">
        <f t="array" ref="X50">IF(U50="","", IFERROR(((IF(U$5&lt;&gt;"", U$5*M$5, 0) + SUMPRODUCT(--(U$6:U50&lt;&gt;""), U$6:U50, (M$6:M50-M$5:M49)))/1000)/T$3, ""))</f>
        <v>#N/A</v>
      </c>
      <c r="Y50" s="1">
        <f t="shared" si="16"/>
        <v>920</v>
      </c>
      <c r="Z50" s="1">
        <f t="shared" si="17"/>
        <v>0</v>
      </c>
      <c r="AG50" s="1" t="e">
        <f t="shared" si="18"/>
        <v>#N/A</v>
      </c>
      <c r="AH50" s="1" t="e">
        <f t="shared" si="2"/>
        <v>#N/A</v>
      </c>
      <c r="AI50" s="1" t="e">
        <f t="shared" si="19"/>
        <v>#N/A</v>
      </c>
      <c r="AJ50" s="8" t="e" cm="1">
        <f t="array" ref="AJ50">IF(AG50="","", IFERROR(((IF(AG$5&lt;&gt;"", AG$5*Y$5, 0) + SUMPRODUCT(--(AG$6:AG50&lt;&gt;""), AG$6:AG50, (Y$6:Y50-Y$5:Y49)))/1000)/AF$3, ""))</f>
        <v>#N/A</v>
      </c>
      <c r="AK50" s="1">
        <f t="shared" si="20"/>
        <v>920</v>
      </c>
      <c r="AL50" s="1">
        <f t="shared" si="21"/>
        <v>0</v>
      </c>
      <c r="AS50" s="1" t="e">
        <f t="shared" si="22"/>
        <v>#N/A</v>
      </c>
      <c r="AT50" s="1" t="e">
        <f t="shared" si="3"/>
        <v>#N/A</v>
      </c>
      <c r="AU50" s="1" t="e">
        <f t="shared" si="23"/>
        <v>#N/A</v>
      </c>
      <c r="AV50" s="8" t="e" cm="1">
        <f t="array" ref="AV50">IF(AS50="","", IFERROR(((IF(AS$5&lt;&gt;"", AS$5*AK$5, 0) + SUMPRODUCT(--(AS$6:AS50&lt;&gt;""), AS$6:AS50, (AK$6:AK50-AK$5:AK49)))/1000)/AR$3, ""))</f>
        <v>#N/A</v>
      </c>
      <c r="AW50" s="1">
        <f t="shared" si="24"/>
        <v>920</v>
      </c>
      <c r="AX50" s="1">
        <f t="shared" si="25"/>
        <v>0</v>
      </c>
      <c r="BE50" s="1" t="e">
        <f t="shared" si="26"/>
        <v>#N/A</v>
      </c>
      <c r="BF50" s="1" t="e">
        <f t="shared" si="4"/>
        <v>#N/A</v>
      </c>
      <c r="BG50" s="1" t="e">
        <f t="shared" si="27"/>
        <v>#N/A</v>
      </c>
      <c r="BH50" s="8" t="e" cm="1">
        <f t="array" ref="BH50">IF(BE50="","", IFERROR(((IF(BE$5&lt;&gt;"", BE$5*AW$5, 0) + SUMPRODUCT(--(BE$6:BE50&lt;&gt;""), BE$6:BE50, (AW$6:AW50-AW$5:AW49)))/1000)/BD$3, ""))</f>
        <v>#N/A</v>
      </c>
      <c r="BI50" s="1">
        <f t="shared" si="28"/>
        <v>920</v>
      </c>
      <c r="BJ50" s="1">
        <f t="shared" si="29"/>
        <v>0</v>
      </c>
      <c r="BQ50" s="1" t="e">
        <f t="shared" si="30"/>
        <v>#N/A</v>
      </c>
      <c r="BR50" s="1" t="e">
        <f t="shared" si="5"/>
        <v>#N/A</v>
      </c>
      <c r="BS50" s="1" t="e">
        <f t="shared" si="31"/>
        <v>#N/A</v>
      </c>
      <c r="BT50" s="8" t="e" cm="1">
        <f t="array" ref="BT50">IF(BQ50="","", IFERROR(((IF(BQ$5&lt;&gt;"", BQ$5*BI$5, 0) + SUMPRODUCT(--(BQ$6:BQ50&lt;&gt;""), BQ$6:BQ50, (BI$6:BI50-BI$5:BI49)))/1000)/BP$3, ""))</f>
        <v>#N/A</v>
      </c>
      <c r="BU50" s="1">
        <f t="shared" si="32"/>
        <v>920</v>
      </c>
      <c r="BV50" s="1">
        <f t="shared" si="33"/>
        <v>0</v>
      </c>
      <c r="CC50" s="1" t="e">
        <f t="shared" si="34"/>
        <v>#N/A</v>
      </c>
      <c r="CD50" s="1" t="e">
        <f t="shared" si="6"/>
        <v>#N/A</v>
      </c>
      <c r="CE50" s="1" t="e">
        <f t="shared" si="35"/>
        <v>#N/A</v>
      </c>
      <c r="CF50" s="8" t="e" cm="1">
        <f t="array" ref="CF50">IF(CC50="","", IFERROR(((IF(CC$5&lt;&gt;"", CC$5*BU$5, 0) + SUMPRODUCT(--(CC$6:CC50&lt;&gt;""), CC$6:CC50, (BU$6:BU50-BU$5:BU49)))/1000)/CB$3, ""))</f>
        <v>#N/A</v>
      </c>
      <c r="CG50" s="1">
        <f t="shared" si="36"/>
        <v>920</v>
      </c>
      <c r="CH50" s="1">
        <f t="shared" si="37"/>
        <v>0</v>
      </c>
      <c r="CO50" s="1" t="e">
        <f t="shared" si="38"/>
        <v>#N/A</v>
      </c>
      <c r="CP50" s="1" t="e">
        <f t="shared" si="7"/>
        <v>#N/A</v>
      </c>
      <c r="CQ50" s="1" t="e">
        <f t="shared" si="39"/>
        <v>#N/A</v>
      </c>
      <c r="CR50" s="8" t="e" cm="1">
        <f t="array" ref="CR50">IF(CO50="","", IFERROR(((IF(CO$5&lt;&gt;"", CO$5*CG$5, 0) + SUMPRODUCT(--(CO$6:CO50&lt;&gt;""), CO$6:CO50, (CG$6:CG50-CG$5:CG49)))/1000)/CN$3, ""))</f>
        <v>#N/A</v>
      </c>
    </row>
    <row r="51" spans="1:96" x14ac:dyDescent="0.25">
      <c r="A51" s="1">
        <f t="shared" si="8"/>
        <v>940</v>
      </c>
      <c r="B51" s="1">
        <f t="shared" si="9"/>
        <v>0</v>
      </c>
      <c r="I51" s="1" t="e">
        <f t="shared" si="10"/>
        <v>#N/A</v>
      </c>
      <c r="J51" s="1" t="e">
        <f t="shared" si="0"/>
        <v>#N/A</v>
      </c>
      <c r="K51" s="1" t="e">
        <f t="shared" si="11"/>
        <v>#N/A</v>
      </c>
      <c r="L51" s="8" t="e" cm="1">
        <f t="array" ref="L51">IF(I51="","", IFERROR(((IF(I$5&lt;&gt;"", I$5*A$5, 0) + SUMPRODUCT(--(I$6:I51&lt;&gt;""), I$6:I51, (A$6:A51-A$5:A50)))/1000)/H$3, ""))</f>
        <v>#N/A</v>
      </c>
      <c r="M51" s="1">
        <f t="shared" si="12"/>
        <v>940</v>
      </c>
      <c r="N51" s="1">
        <f t="shared" si="13"/>
        <v>0</v>
      </c>
      <c r="U51" s="1" t="e">
        <f t="shared" si="14"/>
        <v>#N/A</v>
      </c>
      <c r="V51" s="1" t="e">
        <f t="shared" si="1"/>
        <v>#N/A</v>
      </c>
      <c r="W51" s="1" t="e">
        <f t="shared" si="15"/>
        <v>#N/A</v>
      </c>
      <c r="X51" s="8" t="e" cm="1">
        <f t="array" ref="X51">IF(U51="","", IFERROR(((IF(U$5&lt;&gt;"", U$5*M$5, 0) + SUMPRODUCT(--(U$6:U51&lt;&gt;""), U$6:U51, (M$6:M51-M$5:M50)))/1000)/T$3, ""))</f>
        <v>#N/A</v>
      </c>
      <c r="Y51" s="1">
        <f t="shared" si="16"/>
        <v>940</v>
      </c>
      <c r="Z51" s="1">
        <f t="shared" si="17"/>
        <v>0</v>
      </c>
      <c r="AG51" s="1" t="e">
        <f t="shared" si="18"/>
        <v>#N/A</v>
      </c>
      <c r="AH51" s="1" t="e">
        <f t="shared" si="2"/>
        <v>#N/A</v>
      </c>
      <c r="AI51" s="1" t="e">
        <f t="shared" si="19"/>
        <v>#N/A</v>
      </c>
      <c r="AJ51" s="8" t="e" cm="1">
        <f t="array" ref="AJ51">IF(AG51="","", IFERROR(((IF(AG$5&lt;&gt;"", AG$5*Y$5, 0) + SUMPRODUCT(--(AG$6:AG51&lt;&gt;""), AG$6:AG51, (Y$6:Y51-Y$5:Y50)))/1000)/AF$3, ""))</f>
        <v>#N/A</v>
      </c>
      <c r="AK51" s="1">
        <f t="shared" si="20"/>
        <v>940</v>
      </c>
      <c r="AL51" s="1">
        <f t="shared" si="21"/>
        <v>0</v>
      </c>
      <c r="AS51" s="1" t="e">
        <f t="shared" si="22"/>
        <v>#N/A</v>
      </c>
      <c r="AT51" s="1" t="e">
        <f t="shared" si="3"/>
        <v>#N/A</v>
      </c>
      <c r="AU51" s="1" t="e">
        <f t="shared" si="23"/>
        <v>#N/A</v>
      </c>
      <c r="AV51" s="8" t="e" cm="1">
        <f t="array" ref="AV51">IF(AS51="","", IFERROR(((IF(AS$5&lt;&gt;"", AS$5*AK$5, 0) + SUMPRODUCT(--(AS$6:AS51&lt;&gt;""), AS$6:AS51, (AK$6:AK51-AK$5:AK50)))/1000)/AR$3, ""))</f>
        <v>#N/A</v>
      </c>
      <c r="AW51" s="1">
        <f t="shared" si="24"/>
        <v>940</v>
      </c>
      <c r="AX51" s="1">
        <f t="shared" si="25"/>
        <v>0</v>
      </c>
      <c r="BE51" s="1" t="e">
        <f t="shared" si="26"/>
        <v>#N/A</v>
      </c>
      <c r="BF51" s="1" t="e">
        <f t="shared" si="4"/>
        <v>#N/A</v>
      </c>
      <c r="BG51" s="1" t="e">
        <f t="shared" si="27"/>
        <v>#N/A</v>
      </c>
      <c r="BH51" s="8" t="e" cm="1">
        <f t="array" ref="BH51">IF(BE51="","", IFERROR(((IF(BE$5&lt;&gt;"", BE$5*AW$5, 0) + SUMPRODUCT(--(BE$6:BE51&lt;&gt;""), BE$6:BE51, (AW$6:AW51-AW$5:AW50)))/1000)/BD$3, ""))</f>
        <v>#N/A</v>
      </c>
      <c r="BI51" s="1">
        <f t="shared" si="28"/>
        <v>940</v>
      </c>
      <c r="BJ51" s="1">
        <f t="shared" si="29"/>
        <v>0</v>
      </c>
      <c r="BQ51" s="1" t="e">
        <f t="shared" si="30"/>
        <v>#N/A</v>
      </c>
      <c r="BR51" s="1" t="e">
        <f t="shared" si="5"/>
        <v>#N/A</v>
      </c>
      <c r="BS51" s="1" t="e">
        <f t="shared" si="31"/>
        <v>#N/A</v>
      </c>
      <c r="BT51" s="8" t="e" cm="1">
        <f t="array" ref="BT51">IF(BQ51="","", IFERROR(((IF(BQ$5&lt;&gt;"", BQ$5*BI$5, 0) + SUMPRODUCT(--(BQ$6:BQ51&lt;&gt;""), BQ$6:BQ51, (BI$6:BI51-BI$5:BI50)))/1000)/BP$3, ""))</f>
        <v>#N/A</v>
      </c>
      <c r="BU51" s="1">
        <f t="shared" si="32"/>
        <v>940</v>
      </c>
      <c r="BV51" s="1">
        <f t="shared" si="33"/>
        <v>0</v>
      </c>
      <c r="CC51" s="1" t="e">
        <f t="shared" si="34"/>
        <v>#N/A</v>
      </c>
      <c r="CD51" s="1" t="e">
        <f t="shared" si="6"/>
        <v>#N/A</v>
      </c>
      <c r="CE51" s="1" t="e">
        <f t="shared" si="35"/>
        <v>#N/A</v>
      </c>
      <c r="CF51" s="8" t="e" cm="1">
        <f t="array" ref="CF51">IF(CC51="","", IFERROR(((IF(CC$5&lt;&gt;"", CC$5*BU$5, 0) + SUMPRODUCT(--(CC$6:CC51&lt;&gt;""), CC$6:CC51, (BU$6:BU51-BU$5:BU50)))/1000)/CB$3, ""))</f>
        <v>#N/A</v>
      </c>
      <c r="CG51" s="1">
        <f t="shared" si="36"/>
        <v>940</v>
      </c>
      <c r="CH51" s="1">
        <f t="shared" si="37"/>
        <v>0</v>
      </c>
      <c r="CO51" s="1" t="e">
        <f t="shared" si="38"/>
        <v>#N/A</v>
      </c>
      <c r="CP51" s="1" t="e">
        <f t="shared" si="7"/>
        <v>#N/A</v>
      </c>
      <c r="CQ51" s="1" t="e">
        <f t="shared" si="39"/>
        <v>#N/A</v>
      </c>
      <c r="CR51" s="8" t="e" cm="1">
        <f t="array" ref="CR51">IF(CO51="","", IFERROR(((IF(CO$5&lt;&gt;"", CO$5*CG$5, 0) + SUMPRODUCT(--(CO$6:CO51&lt;&gt;""), CO$6:CO51, (CG$6:CG51-CG$5:CG50)))/1000)/CN$3, ""))</f>
        <v>#N/A</v>
      </c>
    </row>
    <row r="52" spans="1:96" x14ac:dyDescent="0.25">
      <c r="A52" s="1">
        <f t="shared" si="8"/>
        <v>960</v>
      </c>
      <c r="B52" s="1">
        <f t="shared" si="9"/>
        <v>0</v>
      </c>
      <c r="I52" s="1" t="e">
        <f t="shared" si="10"/>
        <v>#N/A</v>
      </c>
      <c r="J52" s="1" t="e">
        <f t="shared" si="0"/>
        <v>#N/A</v>
      </c>
      <c r="K52" s="1" t="e">
        <f t="shared" si="11"/>
        <v>#N/A</v>
      </c>
      <c r="L52" s="8" t="e" cm="1">
        <f t="array" ref="L52">IF(I52="","", IFERROR(((IF(I$5&lt;&gt;"", I$5*A$5, 0) + SUMPRODUCT(--(I$6:I52&lt;&gt;""), I$6:I52, (A$6:A52-A$5:A51)))/1000)/H$3, ""))</f>
        <v>#N/A</v>
      </c>
      <c r="M52" s="1">
        <f t="shared" si="12"/>
        <v>960</v>
      </c>
      <c r="N52" s="1">
        <f t="shared" si="13"/>
        <v>0</v>
      </c>
      <c r="U52" s="1" t="e">
        <f t="shared" si="14"/>
        <v>#N/A</v>
      </c>
      <c r="V52" s="1" t="e">
        <f t="shared" si="1"/>
        <v>#N/A</v>
      </c>
      <c r="W52" s="1" t="e">
        <f t="shared" si="15"/>
        <v>#N/A</v>
      </c>
      <c r="X52" s="8" t="e" cm="1">
        <f t="array" ref="X52">IF(U52="","", IFERROR(((IF(U$5&lt;&gt;"", U$5*M$5, 0) + SUMPRODUCT(--(U$6:U52&lt;&gt;""), U$6:U52, (M$6:M52-M$5:M51)))/1000)/T$3, ""))</f>
        <v>#N/A</v>
      </c>
      <c r="Y52" s="1">
        <f t="shared" si="16"/>
        <v>960</v>
      </c>
      <c r="Z52" s="1">
        <f t="shared" si="17"/>
        <v>0</v>
      </c>
      <c r="AG52" s="1" t="e">
        <f t="shared" si="18"/>
        <v>#N/A</v>
      </c>
      <c r="AH52" s="1" t="e">
        <f t="shared" si="2"/>
        <v>#N/A</v>
      </c>
      <c r="AI52" s="1" t="e">
        <f t="shared" si="19"/>
        <v>#N/A</v>
      </c>
      <c r="AJ52" s="8" t="e" cm="1">
        <f t="array" ref="AJ52">IF(AG52="","", IFERROR(((IF(AG$5&lt;&gt;"", AG$5*Y$5, 0) + SUMPRODUCT(--(AG$6:AG52&lt;&gt;""), AG$6:AG52, (Y$6:Y52-Y$5:Y51)))/1000)/AF$3, ""))</f>
        <v>#N/A</v>
      </c>
      <c r="AK52" s="1">
        <f t="shared" si="20"/>
        <v>960</v>
      </c>
      <c r="AL52" s="1">
        <f t="shared" si="21"/>
        <v>0</v>
      </c>
      <c r="AS52" s="1" t="e">
        <f t="shared" si="22"/>
        <v>#N/A</v>
      </c>
      <c r="AT52" s="1" t="e">
        <f t="shared" si="3"/>
        <v>#N/A</v>
      </c>
      <c r="AU52" s="1" t="e">
        <f t="shared" si="23"/>
        <v>#N/A</v>
      </c>
      <c r="AV52" s="8" t="e" cm="1">
        <f t="array" ref="AV52">IF(AS52="","", IFERROR(((IF(AS$5&lt;&gt;"", AS$5*AK$5, 0) + SUMPRODUCT(--(AS$6:AS52&lt;&gt;""), AS$6:AS52, (AK$6:AK52-AK$5:AK51)))/1000)/AR$3, ""))</f>
        <v>#N/A</v>
      </c>
      <c r="AW52" s="1">
        <f t="shared" si="24"/>
        <v>960</v>
      </c>
      <c r="AX52" s="1">
        <f t="shared" si="25"/>
        <v>0</v>
      </c>
      <c r="BE52" s="1" t="e">
        <f t="shared" si="26"/>
        <v>#N/A</v>
      </c>
      <c r="BF52" s="1" t="e">
        <f t="shared" si="4"/>
        <v>#N/A</v>
      </c>
      <c r="BG52" s="1" t="e">
        <f t="shared" si="27"/>
        <v>#N/A</v>
      </c>
      <c r="BH52" s="8" t="e" cm="1">
        <f t="array" ref="BH52">IF(BE52="","", IFERROR(((IF(BE$5&lt;&gt;"", BE$5*AW$5, 0) + SUMPRODUCT(--(BE$6:BE52&lt;&gt;""), BE$6:BE52, (AW$6:AW52-AW$5:AW51)))/1000)/BD$3, ""))</f>
        <v>#N/A</v>
      </c>
      <c r="BI52" s="1">
        <f t="shared" si="28"/>
        <v>960</v>
      </c>
      <c r="BJ52" s="1">
        <f t="shared" si="29"/>
        <v>0</v>
      </c>
      <c r="BQ52" s="1" t="e">
        <f t="shared" si="30"/>
        <v>#N/A</v>
      </c>
      <c r="BR52" s="1" t="e">
        <f t="shared" si="5"/>
        <v>#N/A</v>
      </c>
      <c r="BS52" s="1" t="e">
        <f t="shared" si="31"/>
        <v>#N/A</v>
      </c>
      <c r="BT52" s="8" t="e" cm="1">
        <f t="array" ref="BT52">IF(BQ52="","", IFERROR(((IF(BQ$5&lt;&gt;"", BQ$5*BI$5, 0) + SUMPRODUCT(--(BQ$6:BQ52&lt;&gt;""), BQ$6:BQ52, (BI$6:BI52-BI$5:BI51)))/1000)/BP$3, ""))</f>
        <v>#N/A</v>
      </c>
      <c r="BU52" s="1">
        <f t="shared" si="32"/>
        <v>960</v>
      </c>
      <c r="BV52" s="1">
        <f t="shared" si="33"/>
        <v>0</v>
      </c>
      <c r="CC52" s="1" t="e">
        <f t="shared" si="34"/>
        <v>#N/A</v>
      </c>
      <c r="CD52" s="1" t="e">
        <f t="shared" si="6"/>
        <v>#N/A</v>
      </c>
      <c r="CE52" s="1" t="e">
        <f t="shared" si="35"/>
        <v>#N/A</v>
      </c>
      <c r="CF52" s="8" t="e" cm="1">
        <f t="array" ref="CF52">IF(CC52="","", IFERROR(((IF(CC$5&lt;&gt;"", CC$5*BU$5, 0) + SUMPRODUCT(--(CC$6:CC52&lt;&gt;""), CC$6:CC52, (BU$6:BU52-BU$5:BU51)))/1000)/CB$3, ""))</f>
        <v>#N/A</v>
      </c>
      <c r="CG52" s="1">
        <f t="shared" si="36"/>
        <v>960</v>
      </c>
      <c r="CH52" s="1">
        <f t="shared" si="37"/>
        <v>0</v>
      </c>
      <c r="CO52" s="1" t="e">
        <f t="shared" si="38"/>
        <v>#N/A</v>
      </c>
      <c r="CP52" s="1" t="e">
        <f t="shared" si="7"/>
        <v>#N/A</v>
      </c>
      <c r="CQ52" s="1" t="e">
        <f t="shared" si="39"/>
        <v>#N/A</v>
      </c>
      <c r="CR52" s="8" t="e" cm="1">
        <f t="array" ref="CR52">IF(CO52="","", IFERROR(((IF(CO$5&lt;&gt;"", CO$5*CG$5, 0) + SUMPRODUCT(--(CO$6:CO52&lt;&gt;""), CO$6:CO52, (CG$6:CG52-CG$5:CG51)))/1000)/CN$3, ""))</f>
        <v>#N/A</v>
      </c>
    </row>
    <row r="53" spans="1:96" x14ac:dyDescent="0.25">
      <c r="A53" s="1">
        <f t="shared" si="8"/>
        <v>980</v>
      </c>
      <c r="B53" s="1">
        <f t="shared" si="9"/>
        <v>0</v>
      </c>
      <c r="I53" s="1" t="e">
        <f t="shared" si="10"/>
        <v>#N/A</v>
      </c>
      <c r="J53" s="1" t="e">
        <f t="shared" si="0"/>
        <v>#N/A</v>
      </c>
      <c r="K53" s="1" t="e">
        <f t="shared" si="11"/>
        <v>#N/A</v>
      </c>
      <c r="L53" s="8" t="e" cm="1">
        <f t="array" ref="L53">IF(I53="","", IFERROR(((IF(I$5&lt;&gt;"", I$5*A$5, 0) + SUMPRODUCT(--(I$6:I53&lt;&gt;""), I$6:I53, (A$6:A53-A$5:A52)))/1000)/H$3, ""))</f>
        <v>#N/A</v>
      </c>
      <c r="M53" s="1">
        <f t="shared" si="12"/>
        <v>980</v>
      </c>
      <c r="N53" s="1">
        <f t="shared" si="13"/>
        <v>0</v>
      </c>
      <c r="U53" s="1" t="e">
        <f t="shared" si="14"/>
        <v>#N/A</v>
      </c>
      <c r="V53" s="1" t="e">
        <f t="shared" si="1"/>
        <v>#N/A</v>
      </c>
      <c r="W53" s="1" t="e">
        <f t="shared" si="15"/>
        <v>#N/A</v>
      </c>
      <c r="X53" s="8" t="e" cm="1">
        <f t="array" ref="X53">IF(U53="","", IFERROR(((IF(U$5&lt;&gt;"", U$5*M$5, 0) + SUMPRODUCT(--(U$6:U53&lt;&gt;""), U$6:U53, (M$6:M53-M$5:M52)))/1000)/T$3, ""))</f>
        <v>#N/A</v>
      </c>
      <c r="Y53" s="1">
        <f t="shared" si="16"/>
        <v>980</v>
      </c>
      <c r="Z53" s="1">
        <f t="shared" si="17"/>
        <v>0</v>
      </c>
      <c r="AG53" s="1" t="e">
        <f t="shared" si="18"/>
        <v>#N/A</v>
      </c>
      <c r="AH53" s="1" t="e">
        <f t="shared" si="2"/>
        <v>#N/A</v>
      </c>
      <c r="AI53" s="1" t="e">
        <f t="shared" si="19"/>
        <v>#N/A</v>
      </c>
      <c r="AJ53" s="8" t="e" cm="1">
        <f t="array" ref="AJ53">IF(AG53="","", IFERROR(((IF(AG$5&lt;&gt;"", AG$5*Y$5, 0) + SUMPRODUCT(--(AG$6:AG53&lt;&gt;""), AG$6:AG53, (Y$6:Y53-Y$5:Y52)))/1000)/AF$3, ""))</f>
        <v>#N/A</v>
      </c>
      <c r="AK53" s="1">
        <f t="shared" si="20"/>
        <v>980</v>
      </c>
      <c r="AL53" s="1">
        <f t="shared" si="21"/>
        <v>0</v>
      </c>
      <c r="AS53" s="1" t="e">
        <f t="shared" si="22"/>
        <v>#N/A</v>
      </c>
      <c r="AT53" s="1" t="e">
        <f t="shared" si="3"/>
        <v>#N/A</v>
      </c>
      <c r="AU53" s="1" t="e">
        <f t="shared" si="23"/>
        <v>#N/A</v>
      </c>
      <c r="AV53" s="8" t="e" cm="1">
        <f t="array" ref="AV53">IF(AS53="","", IFERROR(((IF(AS$5&lt;&gt;"", AS$5*AK$5, 0) + SUMPRODUCT(--(AS$6:AS53&lt;&gt;""), AS$6:AS53, (AK$6:AK53-AK$5:AK52)))/1000)/AR$3, ""))</f>
        <v>#N/A</v>
      </c>
      <c r="AW53" s="1">
        <f t="shared" si="24"/>
        <v>980</v>
      </c>
      <c r="AX53" s="1">
        <f t="shared" si="25"/>
        <v>0</v>
      </c>
      <c r="BE53" s="1" t="e">
        <f t="shared" si="26"/>
        <v>#N/A</v>
      </c>
      <c r="BF53" s="1" t="e">
        <f t="shared" si="4"/>
        <v>#N/A</v>
      </c>
      <c r="BG53" s="1" t="e">
        <f t="shared" si="27"/>
        <v>#N/A</v>
      </c>
      <c r="BH53" s="8" t="e" cm="1">
        <f t="array" ref="BH53">IF(BE53="","", IFERROR(((IF(BE$5&lt;&gt;"", BE$5*AW$5, 0) + SUMPRODUCT(--(BE$6:BE53&lt;&gt;""), BE$6:BE53, (AW$6:AW53-AW$5:AW52)))/1000)/BD$3, ""))</f>
        <v>#N/A</v>
      </c>
      <c r="BI53" s="1">
        <f t="shared" si="28"/>
        <v>980</v>
      </c>
      <c r="BJ53" s="1">
        <f t="shared" si="29"/>
        <v>0</v>
      </c>
      <c r="BQ53" s="1" t="e">
        <f t="shared" si="30"/>
        <v>#N/A</v>
      </c>
      <c r="BR53" s="1" t="e">
        <f t="shared" si="5"/>
        <v>#N/A</v>
      </c>
      <c r="BS53" s="1" t="e">
        <f t="shared" si="31"/>
        <v>#N/A</v>
      </c>
      <c r="BT53" s="8" t="e" cm="1">
        <f t="array" ref="BT53">IF(BQ53="","", IFERROR(((IF(BQ$5&lt;&gt;"", BQ$5*BI$5, 0) + SUMPRODUCT(--(BQ$6:BQ53&lt;&gt;""), BQ$6:BQ53, (BI$6:BI53-BI$5:BI52)))/1000)/BP$3, ""))</f>
        <v>#N/A</v>
      </c>
      <c r="BU53" s="1">
        <f t="shared" si="32"/>
        <v>980</v>
      </c>
      <c r="BV53" s="1">
        <f t="shared" si="33"/>
        <v>0</v>
      </c>
      <c r="CC53" s="1" t="e">
        <f t="shared" si="34"/>
        <v>#N/A</v>
      </c>
      <c r="CD53" s="1" t="e">
        <f t="shared" si="6"/>
        <v>#N/A</v>
      </c>
      <c r="CE53" s="1" t="e">
        <f t="shared" si="35"/>
        <v>#N/A</v>
      </c>
      <c r="CF53" s="8" t="e" cm="1">
        <f t="array" ref="CF53">IF(CC53="","", IFERROR(((IF(CC$5&lt;&gt;"", CC$5*BU$5, 0) + SUMPRODUCT(--(CC$6:CC53&lt;&gt;""), CC$6:CC53, (BU$6:BU53-BU$5:BU52)))/1000)/CB$3, ""))</f>
        <v>#N/A</v>
      </c>
      <c r="CG53" s="1">
        <f t="shared" si="36"/>
        <v>980</v>
      </c>
      <c r="CH53" s="1">
        <f t="shared" si="37"/>
        <v>0</v>
      </c>
      <c r="CO53" s="1" t="e">
        <f t="shared" si="38"/>
        <v>#N/A</v>
      </c>
      <c r="CP53" s="1" t="e">
        <f t="shared" si="7"/>
        <v>#N/A</v>
      </c>
      <c r="CQ53" s="1" t="e">
        <f t="shared" si="39"/>
        <v>#N/A</v>
      </c>
      <c r="CR53" s="8" t="e" cm="1">
        <f t="array" ref="CR53">IF(CO53="","", IFERROR(((IF(CO$5&lt;&gt;"", CO$5*CG$5, 0) + SUMPRODUCT(--(CO$6:CO53&lt;&gt;""), CO$6:CO53, (CG$6:CG53-CG$5:CG52)))/1000)/CN$3, ""))</f>
        <v>#N/A</v>
      </c>
    </row>
    <row r="54" spans="1:96" x14ac:dyDescent="0.25">
      <c r="A54" s="1">
        <f t="shared" si="8"/>
        <v>1000</v>
      </c>
      <c r="B54" s="1">
        <f t="shared" si="9"/>
        <v>0</v>
      </c>
      <c r="I54" s="1" t="e">
        <f t="shared" si="10"/>
        <v>#N/A</v>
      </c>
      <c r="J54" s="1" t="e">
        <f t="shared" si="0"/>
        <v>#N/A</v>
      </c>
      <c r="K54" s="1" t="e">
        <f t="shared" si="11"/>
        <v>#N/A</v>
      </c>
      <c r="L54" s="8" t="e" cm="1">
        <f t="array" ref="L54">IF(I54="","", IFERROR(((IF(I$5&lt;&gt;"", I$5*A$5, 0) + SUMPRODUCT(--(I$6:I54&lt;&gt;""), I$6:I54, (A$6:A54-A$5:A53)))/1000)/H$3, ""))</f>
        <v>#N/A</v>
      </c>
      <c r="M54" s="1">
        <f t="shared" si="12"/>
        <v>1000</v>
      </c>
      <c r="N54" s="1">
        <f t="shared" si="13"/>
        <v>0</v>
      </c>
      <c r="U54" s="1" t="e">
        <f t="shared" si="14"/>
        <v>#N/A</v>
      </c>
      <c r="V54" s="1" t="e">
        <f t="shared" si="1"/>
        <v>#N/A</v>
      </c>
      <c r="W54" s="1" t="e">
        <f t="shared" si="15"/>
        <v>#N/A</v>
      </c>
      <c r="X54" s="8" t="e" cm="1">
        <f t="array" ref="X54">IF(U54="","", IFERROR(((IF(U$5&lt;&gt;"", U$5*M$5, 0) + SUMPRODUCT(--(U$6:U54&lt;&gt;""), U$6:U54, (M$6:M54-M$5:M53)))/1000)/T$3, ""))</f>
        <v>#N/A</v>
      </c>
      <c r="Y54" s="1">
        <f t="shared" si="16"/>
        <v>1000</v>
      </c>
      <c r="Z54" s="1">
        <f t="shared" si="17"/>
        <v>0</v>
      </c>
      <c r="AG54" s="1" t="e">
        <f t="shared" si="18"/>
        <v>#N/A</v>
      </c>
      <c r="AH54" s="1" t="e">
        <f t="shared" si="2"/>
        <v>#N/A</v>
      </c>
      <c r="AI54" s="1" t="e">
        <f t="shared" si="19"/>
        <v>#N/A</v>
      </c>
      <c r="AJ54" s="8" t="e" cm="1">
        <f t="array" ref="AJ54">IF(AG54="","", IFERROR(((IF(AG$5&lt;&gt;"", AG$5*Y$5, 0) + SUMPRODUCT(--(AG$6:AG54&lt;&gt;""), AG$6:AG54, (Y$6:Y54-Y$5:Y53)))/1000)/AF$3, ""))</f>
        <v>#N/A</v>
      </c>
      <c r="AK54" s="1">
        <f t="shared" si="20"/>
        <v>1000</v>
      </c>
      <c r="AL54" s="1">
        <f t="shared" si="21"/>
        <v>0</v>
      </c>
      <c r="AS54" s="1" t="e">
        <f t="shared" si="22"/>
        <v>#N/A</v>
      </c>
      <c r="AT54" s="1" t="e">
        <f t="shared" si="3"/>
        <v>#N/A</v>
      </c>
      <c r="AU54" s="1" t="e">
        <f t="shared" si="23"/>
        <v>#N/A</v>
      </c>
      <c r="AV54" s="8" t="e" cm="1">
        <f t="array" ref="AV54">IF(AS54="","", IFERROR(((IF(AS$5&lt;&gt;"", AS$5*AK$5, 0) + SUMPRODUCT(--(AS$6:AS54&lt;&gt;""), AS$6:AS54, (AK$6:AK54-AK$5:AK53)))/1000)/AR$3, ""))</f>
        <v>#N/A</v>
      </c>
      <c r="AW54" s="1">
        <f t="shared" si="24"/>
        <v>1000</v>
      </c>
      <c r="AX54" s="1">
        <f t="shared" si="25"/>
        <v>0</v>
      </c>
      <c r="BE54" s="1" t="e">
        <f t="shared" si="26"/>
        <v>#N/A</v>
      </c>
      <c r="BF54" s="1" t="e">
        <f t="shared" si="4"/>
        <v>#N/A</v>
      </c>
      <c r="BG54" s="1" t="e">
        <f t="shared" si="27"/>
        <v>#N/A</v>
      </c>
      <c r="BH54" s="8" t="e" cm="1">
        <f t="array" ref="BH54">IF(BE54="","", IFERROR(((IF(BE$5&lt;&gt;"", BE$5*AW$5, 0) + SUMPRODUCT(--(BE$6:BE54&lt;&gt;""), BE$6:BE54, (AW$6:AW54-AW$5:AW53)))/1000)/BD$3, ""))</f>
        <v>#N/A</v>
      </c>
      <c r="BI54" s="1">
        <f t="shared" si="28"/>
        <v>1000</v>
      </c>
      <c r="BJ54" s="1">
        <f t="shared" si="29"/>
        <v>0</v>
      </c>
      <c r="BQ54" s="1" t="e">
        <f t="shared" si="30"/>
        <v>#N/A</v>
      </c>
      <c r="BR54" s="1" t="e">
        <f t="shared" si="5"/>
        <v>#N/A</v>
      </c>
      <c r="BS54" s="1" t="e">
        <f t="shared" si="31"/>
        <v>#N/A</v>
      </c>
      <c r="BT54" s="8" t="e" cm="1">
        <f t="array" ref="BT54">IF(BQ54="","", IFERROR(((IF(BQ$5&lt;&gt;"", BQ$5*BI$5, 0) + SUMPRODUCT(--(BQ$6:BQ54&lt;&gt;""), BQ$6:BQ54, (BI$6:BI54-BI$5:BI53)))/1000)/BP$3, ""))</f>
        <v>#N/A</v>
      </c>
      <c r="BU54" s="1">
        <f t="shared" si="32"/>
        <v>1000</v>
      </c>
      <c r="BV54" s="1">
        <f t="shared" si="33"/>
        <v>0</v>
      </c>
      <c r="CC54" s="1" t="e">
        <f t="shared" si="34"/>
        <v>#N/A</v>
      </c>
      <c r="CD54" s="1" t="e">
        <f t="shared" si="6"/>
        <v>#N/A</v>
      </c>
      <c r="CE54" s="1" t="e">
        <f t="shared" si="35"/>
        <v>#N/A</v>
      </c>
      <c r="CF54" s="8" t="e" cm="1">
        <f t="array" ref="CF54">IF(CC54="","", IFERROR(((IF(CC$5&lt;&gt;"", CC$5*BU$5, 0) + SUMPRODUCT(--(CC$6:CC54&lt;&gt;""), CC$6:CC54, (BU$6:BU54-BU$5:BU53)))/1000)/CB$3, ""))</f>
        <v>#N/A</v>
      </c>
      <c r="CG54" s="1">
        <f t="shared" si="36"/>
        <v>1000</v>
      </c>
      <c r="CH54" s="1">
        <f t="shared" si="37"/>
        <v>0</v>
      </c>
      <c r="CO54" s="1" t="e">
        <f t="shared" si="38"/>
        <v>#N/A</v>
      </c>
      <c r="CP54" s="1" t="e">
        <f t="shared" si="7"/>
        <v>#N/A</v>
      </c>
      <c r="CQ54" s="1" t="e">
        <f t="shared" si="39"/>
        <v>#N/A</v>
      </c>
      <c r="CR54" s="8" t="e" cm="1">
        <f t="array" ref="CR54">IF(CO54="","", IFERROR(((IF(CO$5&lt;&gt;"", CO$5*CG$5, 0) + SUMPRODUCT(--(CO$6:CO54&lt;&gt;""), CO$6:CO54, (CG$6:CG54-CG$5:CG53)))/1000)/CN$3, ""))</f>
        <v>#N/A</v>
      </c>
    </row>
    <row r="55" spans="1:96" x14ac:dyDescent="0.25">
      <c r="A55" s="1">
        <f t="shared" si="8"/>
        <v>1020</v>
      </c>
      <c r="B55" s="1">
        <f t="shared" si="9"/>
        <v>0</v>
      </c>
      <c r="I55" s="1" t="e">
        <f t="shared" si="10"/>
        <v>#N/A</v>
      </c>
      <c r="J55" s="1" t="e">
        <f t="shared" si="0"/>
        <v>#N/A</v>
      </c>
      <c r="K55" s="1" t="e">
        <f t="shared" si="11"/>
        <v>#N/A</v>
      </c>
      <c r="L55" s="8" t="e" cm="1">
        <f t="array" ref="L55">IF(I55="","", IFERROR(((IF(I$5&lt;&gt;"", I$5*A$5, 0) + SUMPRODUCT(--(I$6:I55&lt;&gt;""), I$6:I55, (A$6:A55-A$5:A54)))/1000)/H$3, ""))</f>
        <v>#N/A</v>
      </c>
      <c r="M55" s="1">
        <f t="shared" si="12"/>
        <v>1020</v>
      </c>
      <c r="N55" s="1">
        <f t="shared" si="13"/>
        <v>0</v>
      </c>
      <c r="U55" s="1" t="e">
        <f t="shared" si="14"/>
        <v>#N/A</v>
      </c>
      <c r="V55" s="1" t="e">
        <f t="shared" si="1"/>
        <v>#N/A</v>
      </c>
      <c r="W55" s="1" t="e">
        <f t="shared" si="15"/>
        <v>#N/A</v>
      </c>
      <c r="X55" s="8" t="e" cm="1">
        <f t="array" ref="X55">IF(U55="","", IFERROR(((IF(U$5&lt;&gt;"", U$5*M$5, 0) + SUMPRODUCT(--(U$6:U55&lt;&gt;""), U$6:U55, (M$6:M55-M$5:M54)))/1000)/T$3, ""))</f>
        <v>#N/A</v>
      </c>
      <c r="Y55" s="1">
        <f t="shared" si="16"/>
        <v>1020</v>
      </c>
      <c r="Z55" s="1">
        <f t="shared" si="17"/>
        <v>0</v>
      </c>
      <c r="AG55" s="1" t="e">
        <f t="shared" si="18"/>
        <v>#N/A</v>
      </c>
      <c r="AH55" s="1" t="e">
        <f t="shared" si="2"/>
        <v>#N/A</v>
      </c>
      <c r="AI55" s="1" t="e">
        <f t="shared" si="19"/>
        <v>#N/A</v>
      </c>
      <c r="AJ55" s="8" t="e" cm="1">
        <f t="array" ref="AJ55">IF(AG55="","", IFERROR(((IF(AG$5&lt;&gt;"", AG$5*Y$5, 0) + SUMPRODUCT(--(AG$6:AG55&lt;&gt;""), AG$6:AG55, (Y$6:Y55-Y$5:Y54)))/1000)/AF$3, ""))</f>
        <v>#N/A</v>
      </c>
      <c r="AK55" s="1">
        <f t="shared" si="20"/>
        <v>1020</v>
      </c>
      <c r="AL55" s="1">
        <f t="shared" si="21"/>
        <v>0</v>
      </c>
      <c r="AS55" s="1" t="e">
        <f t="shared" si="22"/>
        <v>#N/A</v>
      </c>
      <c r="AT55" s="1" t="e">
        <f t="shared" si="3"/>
        <v>#N/A</v>
      </c>
      <c r="AU55" s="1" t="e">
        <f t="shared" si="23"/>
        <v>#N/A</v>
      </c>
      <c r="AV55" s="8" t="e" cm="1">
        <f t="array" ref="AV55">IF(AS55="","", IFERROR(((IF(AS$5&lt;&gt;"", AS$5*AK$5, 0) + SUMPRODUCT(--(AS$6:AS55&lt;&gt;""), AS$6:AS55, (AK$6:AK55-AK$5:AK54)))/1000)/AR$3, ""))</f>
        <v>#N/A</v>
      </c>
      <c r="AW55" s="1">
        <f t="shared" si="24"/>
        <v>1020</v>
      </c>
      <c r="AX55" s="1">
        <f t="shared" si="25"/>
        <v>0</v>
      </c>
      <c r="BE55" s="1" t="e">
        <f t="shared" si="26"/>
        <v>#N/A</v>
      </c>
      <c r="BF55" s="1" t="e">
        <f t="shared" si="4"/>
        <v>#N/A</v>
      </c>
      <c r="BG55" s="1" t="e">
        <f t="shared" si="27"/>
        <v>#N/A</v>
      </c>
      <c r="BH55" s="8" t="e" cm="1">
        <f t="array" ref="BH55">IF(BE55="","", IFERROR(((IF(BE$5&lt;&gt;"", BE$5*AW$5, 0) + SUMPRODUCT(--(BE$6:BE55&lt;&gt;""), BE$6:BE55, (AW$6:AW55-AW$5:AW54)))/1000)/BD$3, ""))</f>
        <v>#N/A</v>
      </c>
      <c r="BI55" s="1">
        <f t="shared" si="28"/>
        <v>1020</v>
      </c>
      <c r="BJ55" s="1">
        <f t="shared" si="29"/>
        <v>0</v>
      </c>
      <c r="BQ55" s="1" t="e">
        <f t="shared" si="30"/>
        <v>#N/A</v>
      </c>
      <c r="BR55" s="1" t="e">
        <f t="shared" si="5"/>
        <v>#N/A</v>
      </c>
      <c r="BS55" s="1" t="e">
        <f t="shared" si="31"/>
        <v>#N/A</v>
      </c>
      <c r="BT55" s="8" t="e" cm="1">
        <f t="array" ref="BT55">IF(BQ55="","", IFERROR(((IF(BQ$5&lt;&gt;"", BQ$5*BI$5, 0) + SUMPRODUCT(--(BQ$6:BQ55&lt;&gt;""), BQ$6:BQ55, (BI$6:BI55-BI$5:BI54)))/1000)/BP$3, ""))</f>
        <v>#N/A</v>
      </c>
      <c r="BU55" s="1">
        <f t="shared" si="32"/>
        <v>1020</v>
      </c>
      <c r="BV55" s="1">
        <f t="shared" si="33"/>
        <v>0</v>
      </c>
      <c r="CC55" s="1" t="e">
        <f t="shared" si="34"/>
        <v>#N/A</v>
      </c>
      <c r="CD55" s="1" t="e">
        <f t="shared" si="6"/>
        <v>#N/A</v>
      </c>
      <c r="CE55" s="1" t="e">
        <f t="shared" si="35"/>
        <v>#N/A</v>
      </c>
      <c r="CF55" s="8" t="e" cm="1">
        <f t="array" ref="CF55">IF(CC55="","", IFERROR(((IF(CC$5&lt;&gt;"", CC$5*BU$5, 0) + SUMPRODUCT(--(CC$6:CC55&lt;&gt;""), CC$6:CC55, (BU$6:BU55-BU$5:BU54)))/1000)/CB$3, ""))</f>
        <v>#N/A</v>
      </c>
      <c r="CG55" s="1">
        <f t="shared" si="36"/>
        <v>1020</v>
      </c>
      <c r="CH55" s="1">
        <f t="shared" si="37"/>
        <v>0</v>
      </c>
      <c r="CO55" s="1" t="e">
        <f t="shared" si="38"/>
        <v>#N/A</v>
      </c>
      <c r="CP55" s="1" t="e">
        <f t="shared" si="7"/>
        <v>#N/A</v>
      </c>
      <c r="CQ55" s="1" t="e">
        <f t="shared" si="39"/>
        <v>#N/A</v>
      </c>
      <c r="CR55" s="8" t="e" cm="1">
        <f t="array" ref="CR55">IF(CO55="","", IFERROR(((IF(CO$5&lt;&gt;"", CO$5*CG$5, 0) + SUMPRODUCT(--(CO$6:CO55&lt;&gt;""), CO$6:CO55, (CG$6:CG55-CG$5:CG54)))/1000)/CN$3, ""))</f>
        <v>#N/A</v>
      </c>
    </row>
    <row r="56" spans="1:96" x14ac:dyDescent="0.25">
      <c r="A56" s="1">
        <f t="shared" si="8"/>
        <v>1040</v>
      </c>
      <c r="B56" s="1">
        <f t="shared" si="9"/>
        <v>0</v>
      </c>
      <c r="I56" s="1" t="e">
        <f t="shared" si="10"/>
        <v>#N/A</v>
      </c>
      <c r="J56" s="1" t="e">
        <f t="shared" si="0"/>
        <v>#N/A</v>
      </c>
      <c r="K56" s="1" t="e">
        <f t="shared" si="11"/>
        <v>#N/A</v>
      </c>
      <c r="L56" s="8" t="e" cm="1">
        <f t="array" ref="L56">IF(I56="","", IFERROR(((IF(I$5&lt;&gt;"", I$5*A$5, 0) + SUMPRODUCT(--(I$6:I56&lt;&gt;""), I$6:I56, (A$6:A56-A$5:A55)))/1000)/H$3, ""))</f>
        <v>#N/A</v>
      </c>
      <c r="M56" s="1">
        <f t="shared" si="12"/>
        <v>1040</v>
      </c>
      <c r="N56" s="1">
        <f t="shared" si="13"/>
        <v>0</v>
      </c>
      <c r="U56" s="1" t="e">
        <f t="shared" si="14"/>
        <v>#N/A</v>
      </c>
      <c r="V56" s="1" t="e">
        <f t="shared" si="1"/>
        <v>#N/A</v>
      </c>
      <c r="W56" s="1" t="e">
        <f t="shared" si="15"/>
        <v>#N/A</v>
      </c>
      <c r="X56" s="8" t="e" cm="1">
        <f t="array" ref="X56">IF(U56="","", IFERROR(((IF(U$5&lt;&gt;"", U$5*M$5, 0) + SUMPRODUCT(--(U$6:U56&lt;&gt;""), U$6:U56, (M$6:M56-M$5:M55)))/1000)/T$3, ""))</f>
        <v>#N/A</v>
      </c>
      <c r="Y56" s="1">
        <f t="shared" si="16"/>
        <v>1040</v>
      </c>
      <c r="Z56" s="1">
        <f t="shared" si="17"/>
        <v>0</v>
      </c>
      <c r="AG56" s="1" t="e">
        <f t="shared" si="18"/>
        <v>#N/A</v>
      </c>
      <c r="AH56" s="1" t="e">
        <f t="shared" si="2"/>
        <v>#N/A</v>
      </c>
      <c r="AI56" s="1" t="e">
        <f t="shared" si="19"/>
        <v>#N/A</v>
      </c>
      <c r="AJ56" s="8" t="e" cm="1">
        <f t="array" ref="AJ56">IF(AG56="","", IFERROR(((IF(AG$5&lt;&gt;"", AG$5*Y$5, 0) + SUMPRODUCT(--(AG$6:AG56&lt;&gt;""), AG$6:AG56, (Y$6:Y56-Y$5:Y55)))/1000)/AF$3, ""))</f>
        <v>#N/A</v>
      </c>
      <c r="AK56" s="1">
        <f t="shared" si="20"/>
        <v>1040</v>
      </c>
      <c r="AL56" s="1">
        <f t="shared" si="21"/>
        <v>0</v>
      </c>
      <c r="AS56" s="1" t="e">
        <f t="shared" si="22"/>
        <v>#N/A</v>
      </c>
      <c r="AT56" s="1" t="e">
        <f t="shared" si="3"/>
        <v>#N/A</v>
      </c>
      <c r="AU56" s="1" t="e">
        <f t="shared" si="23"/>
        <v>#N/A</v>
      </c>
      <c r="AV56" s="8" t="e" cm="1">
        <f t="array" ref="AV56">IF(AS56="","", IFERROR(((IF(AS$5&lt;&gt;"", AS$5*AK$5, 0) + SUMPRODUCT(--(AS$6:AS56&lt;&gt;""), AS$6:AS56, (AK$6:AK56-AK$5:AK55)))/1000)/AR$3, ""))</f>
        <v>#N/A</v>
      </c>
      <c r="AW56" s="1">
        <f t="shared" si="24"/>
        <v>1040</v>
      </c>
      <c r="AX56" s="1">
        <f t="shared" si="25"/>
        <v>0</v>
      </c>
      <c r="BE56" s="1" t="e">
        <f t="shared" si="26"/>
        <v>#N/A</v>
      </c>
      <c r="BF56" s="1" t="e">
        <f t="shared" si="4"/>
        <v>#N/A</v>
      </c>
      <c r="BG56" s="1" t="e">
        <f t="shared" si="27"/>
        <v>#N/A</v>
      </c>
      <c r="BH56" s="8" t="e" cm="1">
        <f t="array" ref="BH56">IF(BE56="","", IFERROR(((IF(BE$5&lt;&gt;"", BE$5*AW$5, 0) + SUMPRODUCT(--(BE$6:BE56&lt;&gt;""), BE$6:BE56, (AW$6:AW56-AW$5:AW55)))/1000)/BD$3, ""))</f>
        <v>#N/A</v>
      </c>
      <c r="BI56" s="1">
        <f t="shared" si="28"/>
        <v>1040</v>
      </c>
      <c r="BJ56" s="1">
        <f t="shared" si="29"/>
        <v>0</v>
      </c>
      <c r="BQ56" s="1" t="e">
        <f t="shared" si="30"/>
        <v>#N/A</v>
      </c>
      <c r="BR56" s="1" t="e">
        <f t="shared" si="5"/>
        <v>#N/A</v>
      </c>
      <c r="BS56" s="1" t="e">
        <f t="shared" si="31"/>
        <v>#N/A</v>
      </c>
      <c r="BT56" s="8" t="e" cm="1">
        <f t="array" ref="BT56">IF(BQ56="","", IFERROR(((IF(BQ$5&lt;&gt;"", BQ$5*BI$5, 0) + SUMPRODUCT(--(BQ$6:BQ56&lt;&gt;""), BQ$6:BQ56, (BI$6:BI56-BI$5:BI55)))/1000)/BP$3, ""))</f>
        <v>#N/A</v>
      </c>
      <c r="BU56" s="1">
        <f t="shared" si="32"/>
        <v>1040</v>
      </c>
      <c r="BV56" s="1">
        <f t="shared" si="33"/>
        <v>0</v>
      </c>
      <c r="CC56" s="1" t="e">
        <f t="shared" si="34"/>
        <v>#N/A</v>
      </c>
      <c r="CD56" s="1" t="e">
        <f t="shared" si="6"/>
        <v>#N/A</v>
      </c>
      <c r="CE56" s="1" t="e">
        <f t="shared" si="35"/>
        <v>#N/A</v>
      </c>
      <c r="CF56" s="8" t="e" cm="1">
        <f t="array" ref="CF56">IF(CC56="","", IFERROR(((IF(CC$5&lt;&gt;"", CC$5*BU$5, 0) + SUMPRODUCT(--(CC$6:CC56&lt;&gt;""), CC$6:CC56, (BU$6:BU56-BU$5:BU55)))/1000)/CB$3, ""))</f>
        <v>#N/A</v>
      </c>
      <c r="CG56" s="1">
        <f t="shared" si="36"/>
        <v>1040</v>
      </c>
      <c r="CH56" s="1">
        <f t="shared" si="37"/>
        <v>0</v>
      </c>
      <c r="CO56" s="1" t="e">
        <f t="shared" si="38"/>
        <v>#N/A</v>
      </c>
      <c r="CP56" s="1" t="e">
        <f t="shared" si="7"/>
        <v>#N/A</v>
      </c>
      <c r="CQ56" s="1" t="e">
        <f t="shared" si="39"/>
        <v>#N/A</v>
      </c>
      <c r="CR56" s="8" t="e" cm="1">
        <f t="array" ref="CR56">IF(CO56="","", IFERROR(((IF(CO$5&lt;&gt;"", CO$5*CG$5, 0) + SUMPRODUCT(--(CO$6:CO56&lt;&gt;""), CO$6:CO56, (CG$6:CG56-CG$5:CG55)))/1000)/CN$3, ""))</f>
        <v>#N/A</v>
      </c>
    </row>
    <row r="57" spans="1:96" x14ac:dyDescent="0.25">
      <c r="A57" s="1">
        <f t="shared" si="8"/>
        <v>1060</v>
      </c>
      <c r="B57" s="1">
        <f t="shared" si="9"/>
        <v>0</v>
      </c>
      <c r="I57" s="1" t="e">
        <f t="shared" si="10"/>
        <v>#N/A</v>
      </c>
      <c r="J57" s="1" t="e">
        <f t="shared" si="0"/>
        <v>#N/A</v>
      </c>
      <c r="K57" s="1" t="e">
        <f t="shared" si="11"/>
        <v>#N/A</v>
      </c>
      <c r="L57" s="8" t="e" cm="1">
        <f t="array" ref="L57">IF(I57="","", IFERROR(((IF(I$5&lt;&gt;"", I$5*A$5, 0) + SUMPRODUCT(--(I$6:I57&lt;&gt;""), I$6:I57, (A$6:A57-A$5:A56)))/1000)/H$3, ""))</f>
        <v>#N/A</v>
      </c>
      <c r="M57" s="1">
        <f t="shared" si="12"/>
        <v>1060</v>
      </c>
      <c r="N57" s="1">
        <f t="shared" si="13"/>
        <v>0</v>
      </c>
      <c r="U57" s="1" t="e">
        <f t="shared" si="14"/>
        <v>#N/A</v>
      </c>
      <c r="V57" s="1" t="e">
        <f t="shared" si="1"/>
        <v>#N/A</v>
      </c>
      <c r="W57" s="1" t="e">
        <f t="shared" si="15"/>
        <v>#N/A</v>
      </c>
      <c r="X57" s="8" t="e" cm="1">
        <f t="array" ref="X57">IF(U57="","", IFERROR(((IF(U$5&lt;&gt;"", U$5*M$5, 0) + SUMPRODUCT(--(U$6:U57&lt;&gt;""), U$6:U57, (M$6:M57-M$5:M56)))/1000)/T$3, ""))</f>
        <v>#N/A</v>
      </c>
      <c r="Y57" s="1">
        <f t="shared" si="16"/>
        <v>1060</v>
      </c>
      <c r="Z57" s="1">
        <f t="shared" si="17"/>
        <v>0</v>
      </c>
      <c r="AG57" s="1" t="e">
        <f t="shared" si="18"/>
        <v>#N/A</v>
      </c>
      <c r="AH57" s="1" t="e">
        <f t="shared" si="2"/>
        <v>#N/A</v>
      </c>
      <c r="AI57" s="1" t="e">
        <f t="shared" si="19"/>
        <v>#N/A</v>
      </c>
      <c r="AJ57" s="8" t="e" cm="1">
        <f t="array" ref="AJ57">IF(AG57="","", IFERROR(((IF(AG$5&lt;&gt;"", AG$5*Y$5, 0) + SUMPRODUCT(--(AG$6:AG57&lt;&gt;""), AG$6:AG57, (Y$6:Y57-Y$5:Y56)))/1000)/AF$3, ""))</f>
        <v>#N/A</v>
      </c>
      <c r="AK57" s="1">
        <f t="shared" si="20"/>
        <v>1060</v>
      </c>
      <c r="AL57" s="1">
        <f t="shared" si="21"/>
        <v>0</v>
      </c>
      <c r="AS57" s="1" t="e">
        <f t="shared" si="22"/>
        <v>#N/A</v>
      </c>
      <c r="AT57" s="1" t="e">
        <f t="shared" si="3"/>
        <v>#N/A</v>
      </c>
      <c r="AU57" s="1" t="e">
        <f t="shared" si="23"/>
        <v>#N/A</v>
      </c>
      <c r="AV57" s="8" t="e" cm="1">
        <f t="array" ref="AV57">IF(AS57="","", IFERROR(((IF(AS$5&lt;&gt;"", AS$5*AK$5, 0) + SUMPRODUCT(--(AS$6:AS57&lt;&gt;""), AS$6:AS57, (AK$6:AK57-AK$5:AK56)))/1000)/AR$3, ""))</f>
        <v>#N/A</v>
      </c>
      <c r="AW57" s="1">
        <f t="shared" si="24"/>
        <v>1060</v>
      </c>
      <c r="AX57" s="1">
        <f t="shared" si="25"/>
        <v>0</v>
      </c>
      <c r="BE57" s="1" t="e">
        <f t="shared" si="26"/>
        <v>#N/A</v>
      </c>
      <c r="BF57" s="1" t="e">
        <f t="shared" si="4"/>
        <v>#N/A</v>
      </c>
      <c r="BG57" s="1" t="e">
        <f t="shared" si="27"/>
        <v>#N/A</v>
      </c>
      <c r="BH57" s="8" t="e" cm="1">
        <f t="array" ref="BH57">IF(BE57="","", IFERROR(((IF(BE$5&lt;&gt;"", BE$5*AW$5, 0) + SUMPRODUCT(--(BE$6:BE57&lt;&gt;""), BE$6:BE57, (AW$6:AW57-AW$5:AW56)))/1000)/BD$3, ""))</f>
        <v>#N/A</v>
      </c>
      <c r="BI57" s="1">
        <f t="shared" si="28"/>
        <v>1060</v>
      </c>
      <c r="BJ57" s="1">
        <f t="shared" si="29"/>
        <v>0</v>
      </c>
      <c r="BQ57" s="1" t="e">
        <f t="shared" si="30"/>
        <v>#N/A</v>
      </c>
      <c r="BR57" s="1" t="e">
        <f t="shared" si="5"/>
        <v>#N/A</v>
      </c>
      <c r="BS57" s="1" t="e">
        <f t="shared" si="31"/>
        <v>#N/A</v>
      </c>
      <c r="BT57" s="8" t="e" cm="1">
        <f t="array" ref="BT57">IF(BQ57="","", IFERROR(((IF(BQ$5&lt;&gt;"", BQ$5*BI$5, 0) + SUMPRODUCT(--(BQ$6:BQ57&lt;&gt;""), BQ$6:BQ57, (BI$6:BI57-BI$5:BI56)))/1000)/BP$3, ""))</f>
        <v>#N/A</v>
      </c>
      <c r="BU57" s="1">
        <f t="shared" si="32"/>
        <v>1060</v>
      </c>
      <c r="BV57" s="1">
        <f t="shared" si="33"/>
        <v>0</v>
      </c>
      <c r="CC57" s="1" t="e">
        <f t="shared" si="34"/>
        <v>#N/A</v>
      </c>
      <c r="CD57" s="1" t="e">
        <f t="shared" si="6"/>
        <v>#N/A</v>
      </c>
      <c r="CE57" s="1" t="e">
        <f t="shared" si="35"/>
        <v>#N/A</v>
      </c>
      <c r="CF57" s="8" t="e" cm="1">
        <f t="array" ref="CF57">IF(CC57="","", IFERROR(((IF(CC$5&lt;&gt;"", CC$5*BU$5, 0) + SUMPRODUCT(--(CC$6:CC57&lt;&gt;""), CC$6:CC57, (BU$6:BU57-BU$5:BU56)))/1000)/CB$3, ""))</f>
        <v>#N/A</v>
      </c>
      <c r="CG57" s="1">
        <f t="shared" si="36"/>
        <v>1060</v>
      </c>
      <c r="CH57" s="1">
        <f t="shared" si="37"/>
        <v>0</v>
      </c>
      <c r="CO57" s="1" t="e">
        <f t="shared" si="38"/>
        <v>#N/A</v>
      </c>
      <c r="CP57" s="1" t="e">
        <f t="shared" si="7"/>
        <v>#N/A</v>
      </c>
      <c r="CQ57" s="1" t="e">
        <f t="shared" si="39"/>
        <v>#N/A</v>
      </c>
      <c r="CR57" s="8" t="e" cm="1">
        <f t="array" ref="CR57">IF(CO57="","", IFERROR(((IF(CO$5&lt;&gt;"", CO$5*CG$5, 0) + SUMPRODUCT(--(CO$6:CO57&lt;&gt;""), CO$6:CO57, (CG$6:CG57-CG$5:CG56)))/1000)/CN$3, ""))</f>
        <v>#N/A</v>
      </c>
    </row>
    <row r="58" spans="1:96" x14ac:dyDescent="0.25">
      <c r="A58" s="1">
        <f t="shared" si="8"/>
        <v>1080</v>
      </c>
      <c r="B58" s="1">
        <f t="shared" si="9"/>
        <v>0</v>
      </c>
      <c r="I58" s="1" t="e">
        <f t="shared" si="10"/>
        <v>#N/A</v>
      </c>
      <c r="J58" s="1" t="e">
        <f t="shared" si="0"/>
        <v>#N/A</v>
      </c>
      <c r="K58" s="1" t="e">
        <f t="shared" si="11"/>
        <v>#N/A</v>
      </c>
      <c r="L58" s="8" t="e" cm="1">
        <f t="array" ref="L58">IF(I58="","", IFERROR(((IF(I$5&lt;&gt;"", I$5*A$5, 0) + SUMPRODUCT(--(I$6:I58&lt;&gt;""), I$6:I58, (A$6:A58-A$5:A57)))/1000)/H$3, ""))</f>
        <v>#N/A</v>
      </c>
      <c r="M58" s="1">
        <f t="shared" si="12"/>
        <v>1080</v>
      </c>
      <c r="N58" s="1">
        <f t="shared" si="13"/>
        <v>0</v>
      </c>
      <c r="U58" s="1" t="e">
        <f t="shared" si="14"/>
        <v>#N/A</v>
      </c>
      <c r="V58" s="1" t="e">
        <f t="shared" si="1"/>
        <v>#N/A</v>
      </c>
      <c r="W58" s="1" t="e">
        <f t="shared" si="15"/>
        <v>#N/A</v>
      </c>
      <c r="X58" s="8" t="e" cm="1">
        <f t="array" ref="X58">IF(U58="","", IFERROR(((IF(U$5&lt;&gt;"", U$5*M$5, 0) + SUMPRODUCT(--(U$6:U58&lt;&gt;""), U$6:U58, (M$6:M58-M$5:M57)))/1000)/T$3, ""))</f>
        <v>#N/A</v>
      </c>
      <c r="Y58" s="1">
        <f t="shared" si="16"/>
        <v>1080</v>
      </c>
      <c r="Z58" s="1">
        <f t="shared" si="17"/>
        <v>0</v>
      </c>
      <c r="AG58" s="1" t="e">
        <f t="shared" si="18"/>
        <v>#N/A</v>
      </c>
      <c r="AH58" s="1" t="e">
        <f t="shared" si="2"/>
        <v>#N/A</v>
      </c>
      <c r="AI58" s="1" t="e">
        <f t="shared" si="19"/>
        <v>#N/A</v>
      </c>
      <c r="AJ58" s="8" t="e" cm="1">
        <f t="array" ref="AJ58">IF(AG58="","", IFERROR(((IF(AG$5&lt;&gt;"", AG$5*Y$5, 0) + SUMPRODUCT(--(AG$6:AG58&lt;&gt;""), AG$6:AG58, (Y$6:Y58-Y$5:Y57)))/1000)/AF$3, ""))</f>
        <v>#N/A</v>
      </c>
      <c r="AK58" s="1">
        <f t="shared" si="20"/>
        <v>1080</v>
      </c>
      <c r="AL58" s="1">
        <f t="shared" si="21"/>
        <v>0</v>
      </c>
      <c r="AS58" s="1" t="e">
        <f t="shared" si="22"/>
        <v>#N/A</v>
      </c>
      <c r="AT58" s="1" t="e">
        <f t="shared" si="3"/>
        <v>#N/A</v>
      </c>
      <c r="AU58" s="1" t="e">
        <f t="shared" si="23"/>
        <v>#N/A</v>
      </c>
      <c r="AV58" s="8" t="e" cm="1">
        <f t="array" ref="AV58">IF(AS58="","", IFERROR(((IF(AS$5&lt;&gt;"", AS$5*AK$5, 0) + SUMPRODUCT(--(AS$6:AS58&lt;&gt;""), AS$6:AS58, (AK$6:AK58-AK$5:AK57)))/1000)/AR$3, ""))</f>
        <v>#N/A</v>
      </c>
      <c r="AW58" s="1">
        <f t="shared" si="24"/>
        <v>1080</v>
      </c>
      <c r="AX58" s="1">
        <f t="shared" si="25"/>
        <v>0</v>
      </c>
      <c r="BE58" s="1" t="e">
        <f t="shared" si="26"/>
        <v>#N/A</v>
      </c>
      <c r="BF58" s="1" t="e">
        <f t="shared" si="4"/>
        <v>#N/A</v>
      </c>
      <c r="BG58" s="1" t="e">
        <f t="shared" si="27"/>
        <v>#N/A</v>
      </c>
      <c r="BH58" s="8" t="e" cm="1">
        <f t="array" ref="BH58">IF(BE58="","", IFERROR(((IF(BE$5&lt;&gt;"", BE$5*AW$5, 0) + SUMPRODUCT(--(BE$6:BE58&lt;&gt;""), BE$6:BE58, (AW$6:AW58-AW$5:AW57)))/1000)/BD$3, ""))</f>
        <v>#N/A</v>
      </c>
      <c r="BI58" s="1">
        <f t="shared" si="28"/>
        <v>1080</v>
      </c>
      <c r="BJ58" s="1">
        <f t="shared" si="29"/>
        <v>0</v>
      </c>
      <c r="BQ58" s="1" t="e">
        <f t="shared" si="30"/>
        <v>#N/A</v>
      </c>
      <c r="BR58" s="1" t="e">
        <f t="shared" si="5"/>
        <v>#N/A</v>
      </c>
      <c r="BS58" s="1" t="e">
        <f t="shared" si="31"/>
        <v>#N/A</v>
      </c>
      <c r="BT58" s="8" t="e" cm="1">
        <f t="array" ref="BT58">IF(BQ58="","", IFERROR(((IF(BQ$5&lt;&gt;"", BQ$5*BI$5, 0) + SUMPRODUCT(--(BQ$6:BQ58&lt;&gt;""), BQ$6:BQ58, (BI$6:BI58-BI$5:BI57)))/1000)/BP$3, ""))</f>
        <v>#N/A</v>
      </c>
      <c r="BU58" s="1">
        <f t="shared" si="32"/>
        <v>1080</v>
      </c>
      <c r="BV58" s="1">
        <f t="shared" si="33"/>
        <v>0</v>
      </c>
      <c r="CC58" s="1" t="e">
        <f t="shared" si="34"/>
        <v>#N/A</v>
      </c>
      <c r="CD58" s="1" t="e">
        <f t="shared" si="6"/>
        <v>#N/A</v>
      </c>
      <c r="CE58" s="1" t="e">
        <f t="shared" si="35"/>
        <v>#N/A</v>
      </c>
      <c r="CF58" s="8" t="e" cm="1">
        <f t="array" ref="CF58">IF(CC58="","", IFERROR(((IF(CC$5&lt;&gt;"", CC$5*BU$5, 0) + SUMPRODUCT(--(CC$6:CC58&lt;&gt;""), CC$6:CC58, (BU$6:BU58-BU$5:BU57)))/1000)/CB$3, ""))</f>
        <v>#N/A</v>
      </c>
      <c r="CG58" s="1">
        <f t="shared" si="36"/>
        <v>1080</v>
      </c>
      <c r="CH58" s="1">
        <f t="shared" si="37"/>
        <v>0</v>
      </c>
      <c r="CO58" s="1" t="e">
        <f t="shared" si="38"/>
        <v>#N/A</v>
      </c>
      <c r="CP58" s="1" t="e">
        <f t="shared" si="7"/>
        <v>#N/A</v>
      </c>
      <c r="CQ58" s="1" t="e">
        <f t="shared" si="39"/>
        <v>#N/A</v>
      </c>
      <c r="CR58" s="8" t="e" cm="1">
        <f t="array" ref="CR58">IF(CO58="","", IFERROR(((IF(CO$5&lt;&gt;"", CO$5*CG$5, 0) + SUMPRODUCT(--(CO$6:CO58&lt;&gt;""), CO$6:CO58, (CG$6:CG58-CG$5:CG57)))/1000)/CN$3, ""))</f>
        <v>#N/A</v>
      </c>
    </row>
    <row r="59" spans="1:96" x14ac:dyDescent="0.25">
      <c r="A59" s="1">
        <f t="shared" si="8"/>
        <v>1100</v>
      </c>
      <c r="B59" s="1">
        <f t="shared" si="9"/>
        <v>0</v>
      </c>
      <c r="I59" s="1" t="e">
        <f t="shared" si="10"/>
        <v>#N/A</v>
      </c>
      <c r="J59" s="1" t="e">
        <f t="shared" si="0"/>
        <v>#N/A</v>
      </c>
      <c r="K59" s="1" t="e">
        <f t="shared" si="11"/>
        <v>#N/A</v>
      </c>
      <c r="L59" s="8" t="e" cm="1">
        <f t="array" ref="L59">IF(I59="","", IFERROR(((IF(I$5&lt;&gt;"", I$5*A$5, 0) + SUMPRODUCT(--(I$6:I59&lt;&gt;""), I$6:I59, (A$6:A59-A$5:A58)))/1000)/H$3, ""))</f>
        <v>#N/A</v>
      </c>
      <c r="M59" s="1">
        <f t="shared" si="12"/>
        <v>1100</v>
      </c>
      <c r="N59" s="1">
        <f t="shared" si="13"/>
        <v>0</v>
      </c>
      <c r="U59" s="1" t="e">
        <f t="shared" si="14"/>
        <v>#N/A</v>
      </c>
      <c r="V59" s="1" t="e">
        <f t="shared" si="1"/>
        <v>#N/A</v>
      </c>
      <c r="W59" s="1" t="e">
        <f t="shared" si="15"/>
        <v>#N/A</v>
      </c>
      <c r="X59" s="8" t="e" cm="1">
        <f t="array" ref="X59">IF(U59="","", IFERROR(((IF(U$5&lt;&gt;"", U$5*M$5, 0) + SUMPRODUCT(--(U$6:U59&lt;&gt;""), U$6:U59, (M$6:M59-M$5:M58)))/1000)/T$3, ""))</f>
        <v>#N/A</v>
      </c>
      <c r="Y59" s="1">
        <f t="shared" si="16"/>
        <v>1100</v>
      </c>
      <c r="Z59" s="1">
        <f t="shared" si="17"/>
        <v>0</v>
      </c>
      <c r="AG59" s="1" t="e">
        <f t="shared" si="18"/>
        <v>#N/A</v>
      </c>
      <c r="AH59" s="1" t="e">
        <f t="shared" si="2"/>
        <v>#N/A</v>
      </c>
      <c r="AI59" s="1" t="e">
        <f t="shared" si="19"/>
        <v>#N/A</v>
      </c>
      <c r="AJ59" s="8" t="e" cm="1">
        <f t="array" ref="AJ59">IF(AG59="","", IFERROR(((IF(AG$5&lt;&gt;"", AG$5*Y$5, 0) + SUMPRODUCT(--(AG$6:AG59&lt;&gt;""), AG$6:AG59, (Y$6:Y59-Y$5:Y58)))/1000)/AF$3, ""))</f>
        <v>#N/A</v>
      </c>
      <c r="AK59" s="1">
        <f t="shared" si="20"/>
        <v>1100</v>
      </c>
      <c r="AL59" s="1">
        <f t="shared" si="21"/>
        <v>0</v>
      </c>
      <c r="AS59" s="1" t="e">
        <f t="shared" si="22"/>
        <v>#N/A</v>
      </c>
      <c r="AT59" s="1" t="e">
        <f t="shared" si="3"/>
        <v>#N/A</v>
      </c>
      <c r="AU59" s="1" t="e">
        <f t="shared" si="23"/>
        <v>#N/A</v>
      </c>
      <c r="AV59" s="8" t="e" cm="1">
        <f t="array" ref="AV59">IF(AS59="","", IFERROR(((IF(AS$5&lt;&gt;"", AS$5*AK$5, 0) + SUMPRODUCT(--(AS$6:AS59&lt;&gt;""), AS$6:AS59, (AK$6:AK59-AK$5:AK58)))/1000)/AR$3, ""))</f>
        <v>#N/A</v>
      </c>
      <c r="AW59" s="1">
        <f t="shared" si="24"/>
        <v>1100</v>
      </c>
      <c r="AX59" s="1">
        <f t="shared" si="25"/>
        <v>0</v>
      </c>
      <c r="BE59" s="1" t="e">
        <f t="shared" si="26"/>
        <v>#N/A</v>
      </c>
      <c r="BF59" s="1" t="e">
        <f t="shared" si="4"/>
        <v>#N/A</v>
      </c>
      <c r="BG59" s="1" t="e">
        <f t="shared" si="27"/>
        <v>#N/A</v>
      </c>
      <c r="BH59" s="8" t="e" cm="1">
        <f t="array" ref="BH59">IF(BE59="","", IFERROR(((IF(BE$5&lt;&gt;"", BE$5*AW$5, 0) + SUMPRODUCT(--(BE$6:BE59&lt;&gt;""), BE$6:BE59, (AW$6:AW59-AW$5:AW58)))/1000)/BD$3, ""))</f>
        <v>#N/A</v>
      </c>
      <c r="BI59" s="1">
        <f t="shared" si="28"/>
        <v>1100</v>
      </c>
      <c r="BJ59" s="1">
        <f t="shared" si="29"/>
        <v>0</v>
      </c>
      <c r="BQ59" s="1" t="e">
        <f t="shared" si="30"/>
        <v>#N/A</v>
      </c>
      <c r="BR59" s="1" t="e">
        <f t="shared" si="5"/>
        <v>#N/A</v>
      </c>
      <c r="BS59" s="1" t="e">
        <f t="shared" si="31"/>
        <v>#N/A</v>
      </c>
      <c r="BT59" s="8" t="e" cm="1">
        <f t="array" ref="BT59">IF(BQ59="","", IFERROR(((IF(BQ$5&lt;&gt;"", BQ$5*BI$5, 0) + SUMPRODUCT(--(BQ$6:BQ59&lt;&gt;""), BQ$6:BQ59, (BI$6:BI59-BI$5:BI58)))/1000)/BP$3, ""))</f>
        <v>#N/A</v>
      </c>
      <c r="BU59" s="1">
        <f t="shared" si="32"/>
        <v>1100</v>
      </c>
      <c r="BV59" s="1">
        <f t="shared" si="33"/>
        <v>0</v>
      </c>
      <c r="CC59" s="1" t="e">
        <f t="shared" si="34"/>
        <v>#N/A</v>
      </c>
      <c r="CD59" s="1" t="e">
        <f t="shared" si="6"/>
        <v>#N/A</v>
      </c>
      <c r="CE59" s="1" t="e">
        <f t="shared" si="35"/>
        <v>#N/A</v>
      </c>
      <c r="CF59" s="8" t="e" cm="1">
        <f t="array" ref="CF59">IF(CC59="","", IFERROR(((IF(CC$5&lt;&gt;"", CC$5*BU$5, 0) + SUMPRODUCT(--(CC$6:CC59&lt;&gt;""), CC$6:CC59, (BU$6:BU59-BU$5:BU58)))/1000)/CB$3, ""))</f>
        <v>#N/A</v>
      </c>
      <c r="CG59" s="1">
        <f t="shared" si="36"/>
        <v>1100</v>
      </c>
      <c r="CH59" s="1">
        <f t="shared" si="37"/>
        <v>0</v>
      </c>
      <c r="CO59" s="1" t="e">
        <f t="shared" si="38"/>
        <v>#N/A</v>
      </c>
      <c r="CP59" s="1" t="e">
        <f t="shared" si="7"/>
        <v>#N/A</v>
      </c>
      <c r="CQ59" s="1" t="e">
        <f t="shared" si="39"/>
        <v>#N/A</v>
      </c>
      <c r="CR59" s="8" t="e" cm="1">
        <f t="array" ref="CR59">IF(CO59="","", IFERROR(((IF(CO$5&lt;&gt;"", CO$5*CG$5, 0) + SUMPRODUCT(--(CO$6:CO59&lt;&gt;""), CO$6:CO59, (CG$6:CG59-CG$5:CG58)))/1000)/CN$3, ""))</f>
        <v>#N/A</v>
      </c>
    </row>
    <row r="60" spans="1:96" x14ac:dyDescent="0.25">
      <c r="A60" s="1">
        <f t="shared" si="8"/>
        <v>1120</v>
      </c>
      <c r="B60" s="1">
        <f t="shared" si="9"/>
        <v>0</v>
      </c>
      <c r="I60" s="1" t="e">
        <f t="shared" si="10"/>
        <v>#N/A</v>
      </c>
      <c r="J60" s="1" t="e">
        <f t="shared" si="0"/>
        <v>#N/A</v>
      </c>
      <c r="K60" s="1" t="e">
        <f t="shared" si="11"/>
        <v>#N/A</v>
      </c>
      <c r="L60" s="8" t="e" cm="1">
        <f t="array" ref="L60">IF(I60="","", IFERROR(((IF(I$5&lt;&gt;"", I$5*A$5, 0) + SUMPRODUCT(--(I$6:I60&lt;&gt;""), I$6:I60, (A$6:A60-A$5:A59)))/1000)/H$3, ""))</f>
        <v>#N/A</v>
      </c>
      <c r="M60" s="1">
        <f t="shared" si="12"/>
        <v>1120</v>
      </c>
      <c r="N60" s="1">
        <f t="shared" si="13"/>
        <v>0</v>
      </c>
      <c r="U60" s="1" t="e">
        <f t="shared" si="14"/>
        <v>#N/A</v>
      </c>
      <c r="V60" s="1" t="e">
        <f t="shared" si="1"/>
        <v>#N/A</v>
      </c>
      <c r="W60" s="1" t="e">
        <f t="shared" si="15"/>
        <v>#N/A</v>
      </c>
      <c r="X60" s="8" t="e" cm="1">
        <f t="array" ref="X60">IF(U60="","", IFERROR(((IF(U$5&lt;&gt;"", U$5*M$5, 0) + SUMPRODUCT(--(U$6:U60&lt;&gt;""), U$6:U60, (M$6:M60-M$5:M59)))/1000)/T$3, ""))</f>
        <v>#N/A</v>
      </c>
      <c r="Y60" s="1">
        <f t="shared" si="16"/>
        <v>1120</v>
      </c>
      <c r="Z60" s="1">
        <f t="shared" si="17"/>
        <v>0</v>
      </c>
      <c r="AG60" s="1" t="e">
        <f t="shared" si="18"/>
        <v>#N/A</v>
      </c>
      <c r="AH60" s="1" t="e">
        <f t="shared" si="2"/>
        <v>#N/A</v>
      </c>
      <c r="AI60" s="1" t="e">
        <f t="shared" si="19"/>
        <v>#N/A</v>
      </c>
      <c r="AJ60" s="8" t="e" cm="1">
        <f t="array" ref="AJ60">IF(AG60="","", IFERROR(((IF(AG$5&lt;&gt;"", AG$5*Y$5, 0) + SUMPRODUCT(--(AG$6:AG60&lt;&gt;""), AG$6:AG60, (Y$6:Y60-Y$5:Y59)))/1000)/AF$3, ""))</f>
        <v>#N/A</v>
      </c>
      <c r="AK60" s="1">
        <f t="shared" si="20"/>
        <v>1120</v>
      </c>
      <c r="AL60" s="1">
        <f t="shared" si="21"/>
        <v>0</v>
      </c>
      <c r="AS60" s="1" t="e">
        <f t="shared" si="22"/>
        <v>#N/A</v>
      </c>
      <c r="AT60" s="1" t="e">
        <f t="shared" si="3"/>
        <v>#N/A</v>
      </c>
      <c r="AU60" s="1" t="e">
        <f t="shared" si="23"/>
        <v>#N/A</v>
      </c>
      <c r="AV60" s="8" t="e" cm="1">
        <f t="array" ref="AV60">IF(AS60="","", IFERROR(((IF(AS$5&lt;&gt;"", AS$5*AK$5, 0) + SUMPRODUCT(--(AS$6:AS60&lt;&gt;""), AS$6:AS60, (AK$6:AK60-AK$5:AK59)))/1000)/AR$3, ""))</f>
        <v>#N/A</v>
      </c>
      <c r="AW60" s="1">
        <f t="shared" si="24"/>
        <v>1120</v>
      </c>
      <c r="AX60" s="1">
        <f t="shared" si="25"/>
        <v>0</v>
      </c>
      <c r="BE60" s="1" t="e">
        <f t="shared" si="26"/>
        <v>#N/A</v>
      </c>
      <c r="BF60" s="1" t="e">
        <f t="shared" si="4"/>
        <v>#N/A</v>
      </c>
      <c r="BG60" s="1" t="e">
        <f t="shared" si="27"/>
        <v>#N/A</v>
      </c>
      <c r="BH60" s="8" t="e" cm="1">
        <f t="array" ref="BH60">IF(BE60="","", IFERROR(((IF(BE$5&lt;&gt;"", BE$5*AW$5, 0) + SUMPRODUCT(--(BE$6:BE60&lt;&gt;""), BE$6:BE60, (AW$6:AW60-AW$5:AW59)))/1000)/BD$3, ""))</f>
        <v>#N/A</v>
      </c>
      <c r="BI60" s="1">
        <f t="shared" si="28"/>
        <v>1120</v>
      </c>
      <c r="BJ60" s="1">
        <f t="shared" si="29"/>
        <v>0</v>
      </c>
      <c r="BQ60" s="1" t="e">
        <f t="shared" si="30"/>
        <v>#N/A</v>
      </c>
      <c r="BR60" s="1" t="e">
        <f t="shared" si="5"/>
        <v>#N/A</v>
      </c>
      <c r="BS60" s="1" t="e">
        <f t="shared" si="31"/>
        <v>#N/A</v>
      </c>
      <c r="BT60" s="8" t="e" cm="1">
        <f t="array" ref="BT60">IF(BQ60="","", IFERROR(((IF(BQ$5&lt;&gt;"", BQ$5*BI$5, 0) + SUMPRODUCT(--(BQ$6:BQ60&lt;&gt;""), BQ$6:BQ60, (BI$6:BI60-BI$5:BI59)))/1000)/BP$3, ""))</f>
        <v>#N/A</v>
      </c>
      <c r="BU60" s="1">
        <f t="shared" si="32"/>
        <v>1120</v>
      </c>
      <c r="BV60" s="1">
        <f t="shared" si="33"/>
        <v>0</v>
      </c>
      <c r="CC60" s="1" t="e">
        <f t="shared" si="34"/>
        <v>#N/A</v>
      </c>
      <c r="CD60" s="1" t="e">
        <f t="shared" si="6"/>
        <v>#N/A</v>
      </c>
      <c r="CE60" s="1" t="e">
        <f t="shared" si="35"/>
        <v>#N/A</v>
      </c>
      <c r="CF60" s="8" t="e" cm="1">
        <f t="array" ref="CF60">IF(CC60="","", IFERROR(((IF(CC$5&lt;&gt;"", CC$5*BU$5, 0) + SUMPRODUCT(--(CC$6:CC60&lt;&gt;""), CC$6:CC60, (BU$6:BU60-BU$5:BU59)))/1000)/CB$3, ""))</f>
        <v>#N/A</v>
      </c>
      <c r="CG60" s="1">
        <f t="shared" si="36"/>
        <v>1120</v>
      </c>
      <c r="CH60" s="1">
        <f t="shared" si="37"/>
        <v>0</v>
      </c>
      <c r="CO60" s="1" t="e">
        <f t="shared" si="38"/>
        <v>#N/A</v>
      </c>
      <c r="CP60" s="1" t="e">
        <f t="shared" si="7"/>
        <v>#N/A</v>
      </c>
      <c r="CQ60" s="1" t="e">
        <f t="shared" si="39"/>
        <v>#N/A</v>
      </c>
      <c r="CR60" s="8" t="e" cm="1">
        <f t="array" ref="CR60">IF(CO60="","", IFERROR(((IF(CO$5&lt;&gt;"", CO$5*CG$5, 0) + SUMPRODUCT(--(CO$6:CO60&lt;&gt;""), CO$6:CO60, (CG$6:CG60-CG$5:CG59)))/1000)/CN$3, ""))</f>
        <v>#N/A</v>
      </c>
    </row>
    <row r="61" spans="1:96" x14ac:dyDescent="0.25">
      <c r="A61" s="1">
        <f t="shared" si="8"/>
        <v>1140</v>
      </c>
      <c r="B61" s="1">
        <f t="shared" si="9"/>
        <v>0</v>
      </c>
      <c r="I61" s="1" t="e">
        <f t="shared" si="10"/>
        <v>#N/A</v>
      </c>
      <c r="J61" s="1" t="e">
        <f t="shared" si="0"/>
        <v>#N/A</v>
      </c>
      <c r="K61" s="1" t="e">
        <f t="shared" si="11"/>
        <v>#N/A</v>
      </c>
      <c r="L61" s="8" t="e" cm="1">
        <f t="array" ref="L61">IF(I61="","", IFERROR(((IF(I$5&lt;&gt;"", I$5*A$5, 0) + SUMPRODUCT(--(I$6:I61&lt;&gt;""), I$6:I61, (A$6:A61-A$5:A60)))/1000)/H$3, ""))</f>
        <v>#N/A</v>
      </c>
      <c r="M61" s="1">
        <f t="shared" si="12"/>
        <v>1140</v>
      </c>
      <c r="N61" s="1">
        <f t="shared" si="13"/>
        <v>0</v>
      </c>
      <c r="U61" s="1" t="e">
        <f t="shared" si="14"/>
        <v>#N/A</v>
      </c>
      <c r="V61" s="1" t="e">
        <f t="shared" si="1"/>
        <v>#N/A</v>
      </c>
      <c r="W61" s="1" t="e">
        <f t="shared" si="15"/>
        <v>#N/A</v>
      </c>
      <c r="X61" s="8" t="e" cm="1">
        <f t="array" ref="X61">IF(U61="","", IFERROR(((IF(U$5&lt;&gt;"", U$5*M$5, 0) + SUMPRODUCT(--(U$6:U61&lt;&gt;""), U$6:U61, (M$6:M61-M$5:M60)))/1000)/T$3, ""))</f>
        <v>#N/A</v>
      </c>
      <c r="Y61" s="1">
        <f t="shared" si="16"/>
        <v>1140</v>
      </c>
      <c r="Z61" s="1">
        <f t="shared" si="17"/>
        <v>0</v>
      </c>
      <c r="AG61" s="1" t="e">
        <f t="shared" si="18"/>
        <v>#N/A</v>
      </c>
      <c r="AH61" s="1" t="e">
        <f t="shared" si="2"/>
        <v>#N/A</v>
      </c>
      <c r="AI61" s="1" t="e">
        <f t="shared" si="19"/>
        <v>#N/A</v>
      </c>
      <c r="AJ61" s="8" t="e" cm="1">
        <f t="array" ref="AJ61">IF(AG61="","", IFERROR(((IF(AG$5&lt;&gt;"", AG$5*Y$5, 0) + SUMPRODUCT(--(AG$6:AG61&lt;&gt;""), AG$6:AG61, (Y$6:Y61-Y$5:Y60)))/1000)/AF$3, ""))</f>
        <v>#N/A</v>
      </c>
      <c r="AK61" s="1">
        <f t="shared" si="20"/>
        <v>1140</v>
      </c>
      <c r="AL61" s="1">
        <f t="shared" si="21"/>
        <v>0</v>
      </c>
      <c r="AS61" s="1" t="e">
        <f t="shared" si="22"/>
        <v>#N/A</v>
      </c>
      <c r="AT61" s="1" t="e">
        <f t="shared" si="3"/>
        <v>#N/A</v>
      </c>
      <c r="AU61" s="1" t="e">
        <f t="shared" si="23"/>
        <v>#N/A</v>
      </c>
      <c r="AV61" s="8" t="e" cm="1">
        <f t="array" ref="AV61">IF(AS61="","", IFERROR(((IF(AS$5&lt;&gt;"", AS$5*AK$5, 0) + SUMPRODUCT(--(AS$6:AS61&lt;&gt;""), AS$6:AS61, (AK$6:AK61-AK$5:AK60)))/1000)/AR$3, ""))</f>
        <v>#N/A</v>
      </c>
      <c r="AW61" s="1">
        <f t="shared" si="24"/>
        <v>1140</v>
      </c>
      <c r="AX61" s="1">
        <f t="shared" si="25"/>
        <v>0</v>
      </c>
      <c r="BE61" s="1" t="e">
        <f t="shared" si="26"/>
        <v>#N/A</v>
      </c>
      <c r="BF61" s="1" t="e">
        <f t="shared" si="4"/>
        <v>#N/A</v>
      </c>
      <c r="BG61" s="1" t="e">
        <f t="shared" si="27"/>
        <v>#N/A</v>
      </c>
      <c r="BH61" s="8" t="e" cm="1">
        <f t="array" ref="BH61">IF(BE61="","", IFERROR(((IF(BE$5&lt;&gt;"", BE$5*AW$5, 0) + SUMPRODUCT(--(BE$6:BE61&lt;&gt;""), BE$6:BE61, (AW$6:AW61-AW$5:AW60)))/1000)/BD$3, ""))</f>
        <v>#N/A</v>
      </c>
      <c r="BI61" s="1">
        <f t="shared" si="28"/>
        <v>1140</v>
      </c>
      <c r="BJ61" s="1">
        <f t="shared" si="29"/>
        <v>0</v>
      </c>
      <c r="BQ61" s="1" t="e">
        <f t="shared" si="30"/>
        <v>#N/A</v>
      </c>
      <c r="BR61" s="1" t="e">
        <f t="shared" si="5"/>
        <v>#N/A</v>
      </c>
      <c r="BS61" s="1" t="e">
        <f t="shared" si="31"/>
        <v>#N/A</v>
      </c>
      <c r="BT61" s="8" t="e" cm="1">
        <f t="array" ref="BT61">IF(BQ61="","", IFERROR(((IF(BQ$5&lt;&gt;"", BQ$5*BI$5, 0) + SUMPRODUCT(--(BQ$6:BQ61&lt;&gt;""), BQ$6:BQ61, (BI$6:BI61-BI$5:BI60)))/1000)/BP$3, ""))</f>
        <v>#N/A</v>
      </c>
      <c r="BU61" s="1">
        <f t="shared" si="32"/>
        <v>1140</v>
      </c>
      <c r="BV61" s="1">
        <f t="shared" si="33"/>
        <v>0</v>
      </c>
      <c r="CC61" s="1" t="e">
        <f t="shared" si="34"/>
        <v>#N/A</v>
      </c>
      <c r="CD61" s="1" t="e">
        <f t="shared" si="6"/>
        <v>#N/A</v>
      </c>
      <c r="CE61" s="1" t="e">
        <f t="shared" si="35"/>
        <v>#N/A</v>
      </c>
      <c r="CF61" s="8" t="e" cm="1">
        <f t="array" ref="CF61">IF(CC61="","", IFERROR(((IF(CC$5&lt;&gt;"", CC$5*BU$5, 0) + SUMPRODUCT(--(CC$6:CC61&lt;&gt;""), CC$6:CC61, (BU$6:BU61-BU$5:BU60)))/1000)/CB$3, ""))</f>
        <v>#N/A</v>
      </c>
      <c r="CG61" s="1">
        <f t="shared" si="36"/>
        <v>1140</v>
      </c>
      <c r="CH61" s="1">
        <f t="shared" si="37"/>
        <v>0</v>
      </c>
      <c r="CO61" s="1" t="e">
        <f t="shared" si="38"/>
        <v>#N/A</v>
      </c>
      <c r="CP61" s="1" t="e">
        <f t="shared" si="7"/>
        <v>#N/A</v>
      </c>
      <c r="CQ61" s="1" t="e">
        <f t="shared" si="39"/>
        <v>#N/A</v>
      </c>
      <c r="CR61" s="8" t="e" cm="1">
        <f t="array" ref="CR61">IF(CO61="","", IFERROR(((IF(CO$5&lt;&gt;"", CO$5*CG$5, 0) + SUMPRODUCT(--(CO$6:CO61&lt;&gt;""), CO$6:CO61, (CG$6:CG61-CG$5:CG60)))/1000)/CN$3, ""))</f>
        <v>#N/A</v>
      </c>
    </row>
    <row r="62" spans="1:96" x14ac:dyDescent="0.25">
      <c r="A62" s="1">
        <f t="shared" si="8"/>
        <v>1160</v>
      </c>
      <c r="B62" s="1">
        <f t="shared" si="9"/>
        <v>0</v>
      </c>
      <c r="I62" s="1" t="e">
        <f t="shared" si="10"/>
        <v>#N/A</v>
      </c>
      <c r="J62" s="1" t="e">
        <f t="shared" si="0"/>
        <v>#N/A</v>
      </c>
      <c r="K62" s="1" t="e">
        <f t="shared" si="11"/>
        <v>#N/A</v>
      </c>
      <c r="L62" s="8" t="e" cm="1">
        <f t="array" ref="L62">IF(I62="","", IFERROR(((IF(I$5&lt;&gt;"", I$5*A$5, 0) + SUMPRODUCT(--(I$6:I62&lt;&gt;""), I$6:I62, (A$6:A62-A$5:A61)))/1000)/H$3, ""))</f>
        <v>#N/A</v>
      </c>
      <c r="M62" s="1">
        <f t="shared" si="12"/>
        <v>1160</v>
      </c>
      <c r="N62" s="1">
        <f t="shared" si="13"/>
        <v>0</v>
      </c>
      <c r="U62" s="1" t="e">
        <f t="shared" si="14"/>
        <v>#N/A</v>
      </c>
      <c r="V62" s="1" t="e">
        <f t="shared" si="1"/>
        <v>#N/A</v>
      </c>
      <c r="W62" s="1" t="e">
        <f t="shared" si="15"/>
        <v>#N/A</v>
      </c>
      <c r="X62" s="8" t="e" cm="1">
        <f t="array" ref="X62">IF(U62="","", IFERROR(((IF(U$5&lt;&gt;"", U$5*M$5, 0) + SUMPRODUCT(--(U$6:U62&lt;&gt;""), U$6:U62, (M$6:M62-M$5:M61)))/1000)/T$3, ""))</f>
        <v>#N/A</v>
      </c>
      <c r="Y62" s="1">
        <f t="shared" si="16"/>
        <v>1160</v>
      </c>
      <c r="Z62" s="1">
        <f t="shared" si="17"/>
        <v>0</v>
      </c>
      <c r="AG62" s="1" t="e">
        <f t="shared" si="18"/>
        <v>#N/A</v>
      </c>
      <c r="AH62" s="1" t="e">
        <f t="shared" si="2"/>
        <v>#N/A</v>
      </c>
      <c r="AI62" s="1" t="e">
        <f t="shared" si="19"/>
        <v>#N/A</v>
      </c>
      <c r="AJ62" s="8" t="e" cm="1">
        <f t="array" ref="AJ62">IF(AG62="","", IFERROR(((IF(AG$5&lt;&gt;"", AG$5*Y$5, 0) + SUMPRODUCT(--(AG$6:AG62&lt;&gt;""), AG$6:AG62, (Y$6:Y62-Y$5:Y61)))/1000)/AF$3, ""))</f>
        <v>#N/A</v>
      </c>
      <c r="AK62" s="1">
        <f t="shared" si="20"/>
        <v>1160</v>
      </c>
      <c r="AL62" s="1">
        <f t="shared" si="21"/>
        <v>0</v>
      </c>
      <c r="AS62" s="1" t="e">
        <f t="shared" si="22"/>
        <v>#N/A</v>
      </c>
      <c r="AT62" s="1" t="e">
        <f t="shared" si="3"/>
        <v>#N/A</v>
      </c>
      <c r="AU62" s="1" t="e">
        <f t="shared" si="23"/>
        <v>#N/A</v>
      </c>
      <c r="AV62" s="8" t="e" cm="1">
        <f t="array" ref="AV62">IF(AS62="","", IFERROR(((IF(AS$5&lt;&gt;"", AS$5*AK$5, 0) + SUMPRODUCT(--(AS$6:AS62&lt;&gt;""), AS$6:AS62, (AK$6:AK62-AK$5:AK61)))/1000)/AR$3, ""))</f>
        <v>#N/A</v>
      </c>
      <c r="AW62" s="1">
        <f t="shared" si="24"/>
        <v>1160</v>
      </c>
      <c r="AX62" s="1">
        <f t="shared" si="25"/>
        <v>0</v>
      </c>
      <c r="BE62" s="1" t="e">
        <f t="shared" si="26"/>
        <v>#N/A</v>
      </c>
      <c r="BF62" s="1" t="e">
        <f t="shared" si="4"/>
        <v>#N/A</v>
      </c>
      <c r="BG62" s="1" t="e">
        <f t="shared" si="27"/>
        <v>#N/A</v>
      </c>
      <c r="BH62" s="8" t="e" cm="1">
        <f t="array" ref="BH62">IF(BE62="","", IFERROR(((IF(BE$5&lt;&gt;"", BE$5*AW$5, 0) + SUMPRODUCT(--(BE$6:BE62&lt;&gt;""), BE$6:BE62, (AW$6:AW62-AW$5:AW61)))/1000)/BD$3, ""))</f>
        <v>#N/A</v>
      </c>
      <c r="BI62" s="1">
        <f t="shared" si="28"/>
        <v>1160</v>
      </c>
      <c r="BJ62" s="1">
        <f t="shared" si="29"/>
        <v>0</v>
      </c>
      <c r="BQ62" s="1" t="e">
        <f t="shared" si="30"/>
        <v>#N/A</v>
      </c>
      <c r="BR62" s="1" t="e">
        <f t="shared" si="5"/>
        <v>#N/A</v>
      </c>
      <c r="BS62" s="1" t="e">
        <f t="shared" si="31"/>
        <v>#N/A</v>
      </c>
      <c r="BT62" s="8" t="e" cm="1">
        <f t="array" ref="BT62">IF(BQ62="","", IFERROR(((IF(BQ$5&lt;&gt;"", BQ$5*BI$5, 0) + SUMPRODUCT(--(BQ$6:BQ62&lt;&gt;""), BQ$6:BQ62, (BI$6:BI62-BI$5:BI61)))/1000)/BP$3, ""))</f>
        <v>#N/A</v>
      </c>
      <c r="BU62" s="1">
        <f t="shared" si="32"/>
        <v>1160</v>
      </c>
      <c r="BV62" s="1">
        <f t="shared" si="33"/>
        <v>0</v>
      </c>
      <c r="CC62" s="1" t="e">
        <f t="shared" si="34"/>
        <v>#N/A</v>
      </c>
      <c r="CD62" s="1" t="e">
        <f t="shared" si="6"/>
        <v>#N/A</v>
      </c>
      <c r="CE62" s="1" t="e">
        <f t="shared" si="35"/>
        <v>#N/A</v>
      </c>
      <c r="CF62" s="8" t="e" cm="1">
        <f t="array" ref="CF62">IF(CC62="","", IFERROR(((IF(CC$5&lt;&gt;"", CC$5*BU$5, 0) + SUMPRODUCT(--(CC$6:CC62&lt;&gt;""), CC$6:CC62, (BU$6:BU62-BU$5:BU61)))/1000)/CB$3, ""))</f>
        <v>#N/A</v>
      </c>
      <c r="CG62" s="1">
        <f t="shared" si="36"/>
        <v>1160</v>
      </c>
      <c r="CH62" s="1">
        <f t="shared" si="37"/>
        <v>0</v>
      </c>
      <c r="CO62" s="1" t="e">
        <f t="shared" si="38"/>
        <v>#N/A</v>
      </c>
      <c r="CP62" s="1" t="e">
        <f t="shared" si="7"/>
        <v>#N/A</v>
      </c>
      <c r="CQ62" s="1" t="e">
        <f t="shared" si="39"/>
        <v>#N/A</v>
      </c>
      <c r="CR62" s="8" t="e" cm="1">
        <f t="array" ref="CR62">IF(CO62="","", IFERROR(((IF(CO$5&lt;&gt;"", CO$5*CG$5, 0) + SUMPRODUCT(--(CO$6:CO62&lt;&gt;""), CO$6:CO62, (CG$6:CG62-CG$5:CG61)))/1000)/CN$3, ""))</f>
        <v>#N/A</v>
      </c>
    </row>
    <row r="63" spans="1:96" x14ac:dyDescent="0.25">
      <c r="A63" s="1">
        <f t="shared" si="8"/>
        <v>1180</v>
      </c>
      <c r="B63" s="1">
        <f t="shared" si="9"/>
        <v>0</v>
      </c>
      <c r="I63" s="1" t="e">
        <f t="shared" si="10"/>
        <v>#N/A</v>
      </c>
      <c r="J63" s="1" t="e">
        <f t="shared" si="0"/>
        <v>#N/A</v>
      </c>
      <c r="K63" s="1" t="e">
        <f t="shared" si="11"/>
        <v>#N/A</v>
      </c>
      <c r="L63" s="8" t="e" cm="1">
        <f t="array" ref="L63">IF(I63="","", IFERROR(((IF(I$5&lt;&gt;"", I$5*A$5, 0) + SUMPRODUCT(--(I$6:I63&lt;&gt;""), I$6:I63, (A$6:A63-A$5:A62)))/1000)/H$3, ""))</f>
        <v>#N/A</v>
      </c>
      <c r="M63" s="1">
        <f t="shared" si="12"/>
        <v>1180</v>
      </c>
      <c r="N63" s="1">
        <f t="shared" si="13"/>
        <v>0</v>
      </c>
      <c r="U63" s="1" t="e">
        <f t="shared" si="14"/>
        <v>#N/A</v>
      </c>
      <c r="V63" s="1" t="e">
        <f t="shared" si="1"/>
        <v>#N/A</v>
      </c>
      <c r="W63" s="1" t="e">
        <f t="shared" si="15"/>
        <v>#N/A</v>
      </c>
      <c r="X63" s="8" t="e" cm="1">
        <f t="array" ref="X63">IF(U63="","", IFERROR(((IF(U$5&lt;&gt;"", U$5*M$5, 0) + SUMPRODUCT(--(U$6:U63&lt;&gt;""), U$6:U63, (M$6:M63-M$5:M62)))/1000)/T$3, ""))</f>
        <v>#N/A</v>
      </c>
      <c r="Y63" s="1">
        <f t="shared" si="16"/>
        <v>1180</v>
      </c>
      <c r="Z63" s="1">
        <f t="shared" si="17"/>
        <v>0</v>
      </c>
      <c r="AG63" s="1" t="e">
        <f t="shared" si="18"/>
        <v>#N/A</v>
      </c>
      <c r="AH63" s="1" t="e">
        <f t="shared" si="2"/>
        <v>#N/A</v>
      </c>
      <c r="AI63" s="1" t="e">
        <f t="shared" si="19"/>
        <v>#N/A</v>
      </c>
      <c r="AJ63" s="8" t="e" cm="1">
        <f t="array" ref="AJ63">IF(AG63="","", IFERROR(((IF(AG$5&lt;&gt;"", AG$5*Y$5, 0) + SUMPRODUCT(--(AG$6:AG63&lt;&gt;""), AG$6:AG63, (Y$6:Y63-Y$5:Y62)))/1000)/AF$3, ""))</f>
        <v>#N/A</v>
      </c>
      <c r="AK63" s="1">
        <f t="shared" si="20"/>
        <v>1180</v>
      </c>
      <c r="AL63" s="1">
        <f t="shared" si="21"/>
        <v>0</v>
      </c>
      <c r="AS63" s="1" t="e">
        <f t="shared" si="22"/>
        <v>#N/A</v>
      </c>
      <c r="AT63" s="1" t="e">
        <f t="shared" si="3"/>
        <v>#N/A</v>
      </c>
      <c r="AU63" s="1" t="e">
        <f t="shared" si="23"/>
        <v>#N/A</v>
      </c>
      <c r="AV63" s="8" t="e" cm="1">
        <f t="array" ref="AV63">IF(AS63="","", IFERROR(((IF(AS$5&lt;&gt;"", AS$5*AK$5, 0) + SUMPRODUCT(--(AS$6:AS63&lt;&gt;""), AS$6:AS63, (AK$6:AK63-AK$5:AK62)))/1000)/AR$3, ""))</f>
        <v>#N/A</v>
      </c>
      <c r="AW63" s="1">
        <f t="shared" si="24"/>
        <v>1180</v>
      </c>
      <c r="AX63" s="1">
        <f t="shared" si="25"/>
        <v>0</v>
      </c>
      <c r="BE63" s="1" t="e">
        <f t="shared" si="26"/>
        <v>#N/A</v>
      </c>
      <c r="BF63" s="1" t="e">
        <f t="shared" si="4"/>
        <v>#N/A</v>
      </c>
      <c r="BG63" s="1" t="e">
        <f t="shared" si="27"/>
        <v>#N/A</v>
      </c>
      <c r="BH63" s="8" t="e" cm="1">
        <f t="array" ref="BH63">IF(BE63="","", IFERROR(((IF(BE$5&lt;&gt;"", BE$5*AW$5, 0) + SUMPRODUCT(--(BE$6:BE63&lt;&gt;""), BE$6:BE63, (AW$6:AW63-AW$5:AW62)))/1000)/BD$3, ""))</f>
        <v>#N/A</v>
      </c>
      <c r="BI63" s="1">
        <f t="shared" si="28"/>
        <v>1180</v>
      </c>
      <c r="BJ63" s="1">
        <f t="shared" si="29"/>
        <v>0</v>
      </c>
      <c r="BQ63" s="1" t="e">
        <f t="shared" si="30"/>
        <v>#N/A</v>
      </c>
      <c r="BR63" s="1" t="e">
        <f t="shared" si="5"/>
        <v>#N/A</v>
      </c>
      <c r="BS63" s="1" t="e">
        <f t="shared" si="31"/>
        <v>#N/A</v>
      </c>
      <c r="BT63" s="8" t="e" cm="1">
        <f t="array" ref="BT63">IF(BQ63="","", IFERROR(((IF(BQ$5&lt;&gt;"", BQ$5*BI$5, 0) + SUMPRODUCT(--(BQ$6:BQ63&lt;&gt;""), BQ$6:BQ63, (BI$6:BI63-BI$5:BI62)))/1000)/BP$3, ""))</f>
        <v>#N/A</v>
      </c>
      <c r="BU63" s="1">
        <f t="shared" si="32"/>
        <v>1180</v>
      </c>
      <c r="BV63" s="1">
        <f t="shared" si="33"/>
        <v>0</v>
      </c>
      <c r="CC63" s="1" t="e">
        <f t="shared" si="34"/>
        <v>#N/A</v>
      </c>
      <c r="CD63" s="1" t="e">
        <f t="shared" si="6"/>
        <v>#N/A</v>
      </c>
      <c r="CE63" s="1" t="e">
        <f t="shared" si="35"/>
        <v>#N/A</v>
      </c>
      <c r="CF63" s="8" t="e" cm="1">
        <f t="array" ref="CF63">IF(CC63="","", IFERROR(((IF(CC$5&lt;&gt;"", CC$5*BU$5, 0) + SUMPRODUCT(--(CC$6:CC63&lt;&gt;""), CC$6:CC63, (BU$6:BU63-BU$5:BU62)))/1000)/CB$3, ""))</f>
        <v>#N/A</v>
      </c>
      <c r="CG63" s="1">
        <f t="shared" si="36"/>
        <v>1180</v>
      </c>
      <c r="CH63" s="1">
        <f t="shared" si="37"/>
        <v>0</v>
      </c>
      <c r="CO63" s="1" t="e">
        <f t="shared" si="38"/>
        <v>#N/A</v>
      </c>
      <c r="CP63" s="1" t="e">
        <f t="shared" si="7"/>
        <v>#N/A</v>
      </c>
      <c r="CQ63" s="1" t="e">
        <f t="shared" si="39"/>
        <v>#N/A</v>
      </c>
      <c r="CR63" s="8" t="e" cm="1">
        <f t="array" ref="CR63">IF(CO63="","", IFERROR(((IF(CO$5&lt;&gt;"", CO$5*CG$5, 0) + SUMPRODUCT(--(CO$6:CO63&lt;&gt;""), CO$6:CO63, (CG$6:CG63-CG$5:CG62)))/1000)/CN$3, ""))</f>
        <v>#N/A</v>
      </c>
    </row>
    <row r="64" spans="1:96" x14ac:dyDescent="0.25">
      <c r="A64" s="1">
        <f t="shared" si="8"/>
        <v>1200</v>
      </c>
      <c r="B64" s="1">
        <f t="shared" si="9"/>
        <v>0</v>
      </c>
      <c r="I64" s="1" t="e">
        <f t="shared" si="10"/>
        <v>#N/A</v>
      </c>
      <c r="J64" s="1" t="e">
        <f t="shared" si="0"/>
        <v>#N/A</v>
      </c>
      <c r="K64" s="1" t="e">
        <f t="shared" si="11"/>
        <v>#N/A</v>
      </c>
      <c r="L64" s="8" t="e" cm="1">
        <f t="array" ref="L64">IF(I64="","", IFERROR(((IF(I$5&lt;&gt;"", I$5*A$5, 0) + SUMPRODUCT(--(I$6:I64&lt;&gt;""), I$6:I64, (A$6:A64-A$5:A63)))/1000)/H$3, ""))</f>
        <v>#N/A</v>
      </c>
      <c r="M64" s="1">
        <f t="shared" si="12"/>
        <v>1200</v>
      </c>
      <c r="N64" s="1">
        <f t="shared" si="13"/>
        <v>0</v>
      </c>
      <c r="U64" s="1" t="e">
        <f t="shared" si="14"/>
        <v>#N/A</v>
      </c>
      <c r="V64" s="1" t="e">
        <f t="shared" si="1"/>
        <v>#N/A</v>
      </c>
      <c r="W64" s="1" t="e">
        <f t="shared" si="15"/>
        <v>#N/A</v>
      </c>
      <c r="X64" s="8" t="e" cm="1">
        <f t="array" ref="X64">IF(U64="","", IFERROR(((IF(U$5&lt;&gt;"", U$5*M$5, 0) + SUMPRODUCT(--(U$6:U64&lt;&gt;""), U$6:U64, (M$6:M64-M$5:M63)))/1000)/T$3, ""))</f>
        <v>#N/A</v>
      </c>
      <c r="Y64" s="1">
        <f t="shared" si="16"/>
        <v>1200</v>
      </c>
      <c r="Z64" s="1">
        <f t="shared" si="17"/>
        <v>0</v>
      </c>
      <c r="AG64" s="1" t="e">
        <f t="shared" si="18"/>
        <v>#N/A</v>
      </c>
      <c r="AH64" s="1" t="e">
        <f t="shared" si="2"/>
        <v>#N/A</v>
      </c>
      <c r="AI64" s="1" t="e">
        <f t="shared" si="19"/>
        <v>#N/A</v>
      </c>
      <c r="AJ64" s="8" t="e" cm="1">
        <f t="array" ref="AJ64">IF(AG64="","", IFERROR(((IF(AG$5&lt;&gt;"", AG$5*Y$5, 0) + SUMPRODUCT(--(AG$6:AG64&lt;&gt;""), AG$6:AG64, (Y$6:Y64-Y$5:Y63)))/1000)/AF$3, ""))</f>
        <v>#N/A</v>
      </c>
      <c r="AK64" s="1">
        <f t="shared" si="20"/>
        <v>1200</v>
      </c>
      <c r="AL64" s="1">
        <f t="shared" si="21"/>
        <v>0</v>
      </c>
      <c r="AS64" s="1" t="e">
        <f t="shared" si="22"/>
        <v>#N/A</v>
      </c>
      <c r="AT64" s="1" t="e">
        <f t="shared" si="3"/>
        <v>#N/A</v>
      </c>
      <c r="AU64" s="1" t="e">
        <f t="shared" si="23"/>
        <v>#N/A</v>
      </c>
      <c r="AV64" s="8" t="e" cm="1">
        <f t="array" ref="AV64">IF(AS64="","", IFERROR(((IF(AS$5&lt;&gt;"", AS$5*AK$5, 0) + SUMPRODUCT(--(AS$6:AS64&lt;&gt;""), AS$6:AS64, (AK$6:AK64-AK$5:AK63)))/1000)/AR$3, ""))</f>
        <v>#N/A</v>
      </c>
      <c r="AW64" s="1">
        <f t="shared" si="24"/>
        <v>1200</v>
      </c>
      <c r="AX64" s="1">
        <f t="shared" si="25"/>
        <v>0</v>
      </c>
      <c r="BE64" s="1" t="e">
        <f t="shared" si="26"/>
        <v>#N/A</v>
      </c>
      <c r="BF64" s="1" t="e">
        <f t="shared" si="4"/>
        <v>#N/A</v>
      </c>
      <c r="BG64" s="1" t="e">
        <f t="shared" si="27"/>
        <v>#N/A</v>
      </c>
      <c r="BH64" s="8" t="e" cm="1">
        <f t="array" ref="BH64">IF(BE64="","", IFERROR(((IF(BE$5&lt;&gt;"", BE$5*AW$5, 0) + SUMPRODUCT(--(BE$6:BE64&lt;&gt;""), BE$6:BE64, (AW$6:AW64-AW$5:AW63)))/1000)/BD$3, ""))</f>
        <v>#N/A</v>
      </c>
      <c r="BI64" s="1">
        <f t="shared" si="28"/>
        <v>1200</v>
      </c>
      <c r="BJ64" s="1">
        <f t="shared" si="29"/>
        <v>0</v>
      </c>
      <c r="BQ64" s="1" t="e">
        <f t="shared" si="30"/>
        <v>#N/A</v>
      </c>
      <c r="BR64" s="1" t="e">
        <f t="shared" si="5"/>
        <v>#N/A</v>
      </c>
      <c r="BS64" s="1" t="e">
        <f t="shared" si="31"/>
        <v>#N/A</v>
      </c>
      <c r="BT64" s="8" t="e" cm="1">
        <f t="array" ref="BT64">IF(BQ64="","", IFERROR(((IF(BQ$5&lt;&gt;"", BQ$5*BI$5, 0) + SUMPRODUCT(--(BQ$6:BQ64&lt;&gt;""), BQ$6:BQ64, (BI$6:BI64-BI$5:BI63)))/1000)/BP$3, ""))</f>
        <v>#N/A</v>
      </c>
      <c r="BU64" s="1">
        <f t="shared" si="32"/>
        <v>1200</v>
      </c>
      <c r="BV64" s="1">
        <f t="shared" si="33"/>
        <v>0</v>
      </c>
      <c r="CC64" s="1" t="e">
        <f t="shared" si="34"/>
        <v>#N/A</v>
      </c>
      <c r="CD64" s="1" t="e">
        <f t="shared" si="6"/>
        <v>#N/A</v>
      </c>
      <c r="CE64" s="1" t="e">
        <f t="shared" si="35"/>
        <v>#N/A</v>
      </c>
      <c r="CF64" s="8" t="e" cm="1">
        <f t="array" ref="CF64">IF(CC64="","", IFERROR(((IF(CC$5&lt;&gt;"", CC$5*BU$5, 0) + SUMPRODUCT(--(CC$6:CC64&lt;&gt;""), CC$6:CC64, (BU$6:BU64-BU$5:BU63)))/1000)/CB$3, ""))</f>
        <v>#N/A</v>
      </c>
      <c r="CG64" s="1">
        <f t="shared" si="36"/>
        <v>1200</v>
      </c>
      <c r="CH64" s="1">
        <f t="shared" si="37"/>
        <v>0</v>
      </c>
      <c r="CO64" s="1" t="e">
        <f t="shared" si="38"/>
        <v>#N/A</v>
      </c>
      <c r="CP64" s="1" t="e">
        <f t="shared" si="7"/>
        <v>#N/A</v>
      </c>
      <c r="CQ64" s="1" t="e">
        <f t="shared" si="39"/>
        <v>#N/A</v>
      </c>
      <c r="CR64" s="8" t="e" cm="1">
        <f t="array" ref="CR64">IF(CO64="","", IFERROR(((IF(CO$5&lt;&gt;"", CO$5*CG$5, 0) + SUMPRODUCT(--(CO$6:CO64&lt;&gt;""), CO$6:CO64, (CG$6:CG64-CG$5:CG63)))/1000)/CN$3, ""))</f>
        <v>#N/A</v>
      </c>
    </row>
    <row r="65" spans="1:96" x14ac:dyDescent="0.25">
      <c r="A65" s="1">
        <f t="shared" si="8"/>
        <v>1220</v>
      </c>
      <c r="B65" s="1">
        <f t="shared" si="9"/>
        <v>0</v>
      </c>
      <c r="I65" s="1" t="e">
        <f t="shared" si="10"/>
        <v>#N/A</v>
      </c>
      <c r="J65" s="1" t="e">
        <f t="shared" si="0"/>
        <v>#N/A</v>
      </c>
      <c r="K65" s="1" t="e">
        <f t="shared" si="11"/>
        <v>#N/A</v>
      </c>
      <c r="L65" s="8" t="e" cm="1">
        <f t="array" ref="L65">IF(I65="","", IFERROR(((IF(I$5&lt;&gt;"", I$5*A$5, 0) + SUMPRODUCT(--(I$6:I65&lt;&gt;""), I$6:I65, (A$6:A65-A$5:A64)))/1000)/H$3, ""))</f>
        <v>#N/A</v>
      </c>
      <c r="M65" s="1">
        <f t="shared" si="12"/>
        <v>1220</v>
      </c>
      <c r="N65" s="1">
        <f t="shared" si="13"/>
        <v>0</v>
      </c>
      <c r="U65" s="1" t="e">
        <f t="shared" si="14"/>
        <v>#N/A</v>
      </c>
      <c r="V65" s="1" t="e">
        <f t="shared" si="1"/>
        <v>#N/A</v>
      </c>
      <c r="W65" s="1" t="e">
        <f t="shared" si="15"/>
        <v>#N/A</v>
      </c>
      <c r="X65" s="8" t="e" cm="1">
        <f t="array" ref="X65">IF(U65="","", IFERROR(((IF(U$5&lt;&gt;"", U$5*M$5, 0) + SUMPRODUCT(--(U$6:U65&lt;&gt;""), U$6:U65, (M$6:M65-M$5:M64)))/1000)/T$3, ""))</f>
        <v>#N/A</v>
      </c>
      <c r="Y65" s="1">
        <f t="shared" si="16"/>
        <v>1220</v>
      </c>
      <c r="Z65" s="1">
        <f t="shared" si="17"/>
        <v>0</v>
      </c>
      <c r="AG65" s="1" t="e">
        <f t="shared" si="18"/>
        <v>#N/A</v>
      </c>
      <c r="AH65" s="1" t="e">
        <f t="shared" si="2"/>
        <v>#N/A</v>
      </c>
      <c r="AI65" s="1" t="e">
        <f t="shared" si="19"/>
        <v>#N/A</v>
      </c>
      <c r="AJ65" s="8" t="e" cm="1">
        <f t="array" ref="AJ65">IF(AG65="","", IFERROR(((IF(AG$5&lt;&gt;"", AG$5*Y$5, 0) + SUMPRODUCT(--(AG$6:AG65&lt;&gt;""), AG$6:AG65, (Y$6:Y65-Y$5:Y64)))/1000)/AF$3, ""))</f>
        <v>#N/A</v>
      </c>
      <c r="AK65" s="1">
        <f t="shared" si="20"/>
        <v>1220</v>
      </c>
      <c r="AL65" s="1">
        <f t="shared" si="21"/>
        <v>0</v>
      </c>
      <c r="AS65" s="1" t="e">
        <f t="shared" si="22"/>
        <v>#N/A</v>
      </c>
      <c r="AT65" s="1" t="e">
        <f t="shared" si="3"/>
        <v>#N/A</v>
      </c>
      <c r="AU65" s="1" t="e">
        <f t="shared" si="23"/>
        <v>#N/A</v>
      </c>
      <c r="AV65" s="8" t="e" cm="1">
        <f t="array" ref="AV65">IF(AS65="","", IFERROR(((IF(AS$5&lt;&gt;"", AS$5*AK$5, 0) + SUMPRODUCT(--(AS$6:AS65&lt;&gt;""), AS$6:AS65, (AK$6:AK65-AK$5:AK64)))/1000)/AR$3, ""))</f>
        <v>#N/A</v>
      </c>
      <c r="AW65" s="1">
        <f t="shared" si="24"/>
        <v>1220</v>
      </c>
      <c r="AX65" s="1">
        <f t="shared" si="25"/>
        <v>0</v>
      </c>
      <c r="BE65" s="1" t="e">
        <f t="shared" si="26"/>
        <v>#N/A</v>
      </c>
      <c r="BF65" s="1" t="e">
        <f t="shared" si="4"/>
        <v>#N/A</v>
      </c>
      <c r="BG65" s="1" t="e">
        <f t="shared" si="27"/>
        <v>#N/A</v>
      </c>
      <c r="BH65" s="8" t="e" cm="1">
        <f t="array" ref="BH65">IF(BE65="","", IFERROR(((IF(BE$5&lt;&gt;"", BE$5*AW$5, 0) + SUMPRODUCT(--(BE$6:BE65&lt;&gt;""), BE$6:BE65, (AW$6:AW65-AW$5:AW64)))/1000)/BD$3, ""))</f>
        <v>#N/A</v>
      </c>
      <c r="BI65" s="1">
        <f t="shared" si="28"/>
        <v>1220</v>
      </c>
      <c r="BJ65" s="1">
        <f t="shared" si="29"/>
        <v>0</v>
      </c>
      <c r="BQ65" s="1" t="e">
        <f t="shared" si="30"/>
        <v>#N/A</v>
      </c>
      <c r="BR65" s="1" t="e">
        <f t="shared" si="5"/>
        <v>#N/A</v>
      </c>
      <c r="BS65" s="1" t="e">
        <f t="shared" si="31"/>
        <v>#N/A</v>
      </c>
      <c r="BT65" s="8" t="e" cm="1">
        <f t="array" ref="BT65">IF(BQ65="","", IFERROR(((IF(BQ$5&lt;&gt;"", BQ$5*BI$5, 0) + SUMPRODUCT(--(BQ$6:BQ65&lt;&gt;""), BQ$6:BQ65, (BI$6:BI65-BI$5:BI64)))/1000)/BP$3, ""))</f>
        <v>#N/A</v>
      </c>
      <c r="BU65" s="1">
        <f t="shared" si="32"/>
        <v>1220</v>
      </c>
      <c r="BV65" s="1">
        <f t="shared" si="33"/>
        <v>0</v>
      </c>
      <c r="CC65" s="1" t="e">
        <f t="shared" si="34"/>
        <v>#N/A</v>
      </c>
      <c r="CD65" s="1" t="e">
        <f t="shared" si="6"/>
        <v>#N/A</v>
      </c>
      <c r="CE65" s="1" t="e">
        <f t="shared" si="35"/>
        <v>#N/A</v>
      </c>
      <c r="CF65" s="8" t="e" cm="1">
        <f t="array" ref="CF65">IF(CC65="","", IFERROR(((IF(CC$5&lt;&gt;"", CC$5*BU$5, 0) + SUMPRODUCT(--(CC$6:CC65&lt;&gt;""), CC$6:CC65, (BU$6:BU65-BU$5:BU64)))/1000)/CB$3, ""))</f>
        <v>#N/A</v>
      </c>
      <c r="CG65" s="1">
        <f t="shared" si="36"/>
        <v>1220</v>
      </c>
      <c r="CH65" s="1">
        <f t="shared" si="37"/>
        <v>0</v>
      </c>
      <c r="CO65" s="1" t="e">
        <f t="shared" si="38"/>
        <v>#N/A</v>
      </c>
      <c r="CP65" s="1" t="e">
        <f t="shared" si="7"/>
        <v>#N/A</v>
      </c>
      <c r="CQ65" s="1" t="e">
        <f t="shared" si="39"/>
        <v>#N/A</v>
      </c>
      <c r="CR65" s="8" t="e" cm="1">
        <f t="array" ref="CR65">IF(CO65="","", IFERROR(((IF(CO$5&lt;&gt;"", CO$5*CG$5, 0) + SUMPRODUCT(--(CO$6:CO65&lt;&gt;""), CO$6:CO65, (CG$6:CG65-CG$5:CG64)))/1000)/CN$3, ""))</f>
        <v>#N/A</v>
      </c>
    </row>
    <row r="66" spans="1:96" x14ac:dyDescent="0.25">
      <c r="A66" s="1">
        <f t="shared" si="8"/>
        <v>1240</v>
      </c>
      <c r="B66" s="1">
        <f t="shared" si="9"/>
        <v>0</v>
      </c>
      <c r="I66" s="1" t="e">
        <f t="shared" si="10"/>
        <v>#N/A</v>
      </c>
      <c r="J66" s="1" t="e">
        <f t="shared" si="0"/>
        <v>#N/A</v>
      </c>
      <c r="K66" s="1" t="e">
        <f t="shared" si="11"/>
        <v>#N/A</v>
      </c>
      <c r="L66" s="8" t="e" cm="1">
        <f t="array" ref="L66">IF(I66="","", IFERROR(((IF(I$5&lt;&gt;"", I$5*A$5, 0) + SUMPRODUCT(--(I$6:I66&lt;&gt;""), I$6:I66, (A$6:A66-A$5:A65)))/1000)/H$3, ""))</f>
        <v>#N/A</v>
      </c>
      <c r="M66" s="1">
        <f t="shared" si="12"/>
        <v>1240</v>
      </c>
      <c r="N66" s="1">
        <f t="shared" si="13"/>
        <v>0</v>
      </c>
      <c r="U66" s="1" t="e">
        <f t="shared" si="14"/>
        <v>#N/A</v>
      </c>
      <c r="V66" s="1" t="e">
        <f t="shared" si="1"/>
        <v>#N/A</v>
      </c>
      <c r="W66" s="1" t="e">
        <f t="shared" si="15"/>
        <v>#N/A</v>
      </c>
      <c r="X66" s="8" t="e" cm="1">
        <f t="array" ref="X66">IF(U66="","", IFERROR(((IF(U$5&lt;&gt;"", U$5*M$5, 0) + SUMPRODUCT(--(U$6:U66&lt;&gt;""), U$6:U66, (M$6:M66-M$5:M65)))/1000)/T$3, ""))</f>
        <v>#N/A</v>
      </c>
      <c r="Y66" s="1">
        <f t="shared" si="16"/>
        <v>1240</v>
      </c>
      <c r="Z66" s="1">
        <f t="shared" si="17"/>
        <v>0</v>
      </c>
      <c r="AG66" s="1" t="e">
        <f t="shared" si="18"/>
        <v>#N/A</v>
      </c>
      <c r="AH66" s="1" t="e">
        <f t="shared" si="2"/>
        <v>#N/A</v>
      </c>
      <c r="AI66" s="1" t="e">
        <f t="shared" si="19"/>
        <v>#N/A</v>
      </c>
      <c r="AJ66" s="8" t="e" cm="1">
        <f t="array" ref="AJ66">IF(AG66="","", IFERROR(((IF(AG$5&lt;&gt;"", AG$5*Y$5, 0) + SUMPRODUCT(--(AG$6:AG66&lt;&gt;""), AG$6:AG66, (Y$6:Y66-Y$5:Y65)))/1000)/AF$3, ""))</f>
        <v>#N/A</v>
      </c>
      <c r="AK66" s="1">
        <f t="shared" si="20"/>
        <v>1240</v>
      </c>
      <c r="AL66" s="1">
        <f t="shared" si="21"/>
        <v>0</v>
      </c>
      <c r="AS66" s="1" t="e">
        <f t="shared" si="22"/>
        <v>#N/A</v>
      </c>
      <c r="AT66" s="1" t="e">
        <f t="shared" si="3"/>
        <v>#N/A</v>
      </c>
      <c r="AU66" s="1" t="e">
        <f t="shared" si="23"/>
        <v>#N/A</v>
      </c>
      <c r="AV66" s="8" t="e" cm="1">
        <f t="array" ref="AV66">IF(AS66="","", IFERROR(((IF(AS$5&lt;&gt;"", AS$5*AK$5, 0) + SUMPRODUCT(--(AS$6:AS66&lt;&gt;""), AS$6:AS66, (AK$6:AK66-AK$5:AK65)))/1000)/AR$3, ""))</f>
        <v>#N/A</v>
      </c>
      <c r="AW66" s="1">
        <f t="shared" si="24"/>
        <v>1240</v>
      </c>
      <c r="AX66" s="1">
        <f t="shared" si="25"/>
        <v>0</v>
      </c>
      <c r="BE66" s="1" t="e">
        <f t="shared" si="26"/>
        <v>#N/A</v>
      </c>
      <c r="BF66" s="1" t="e">
        <f t="shared" si="4"/>
        <v>#N/A</v>
      </c>
      <c r="BG66" s="1" t="e">
        <f t="shared" si="27"/>
        <v>#N/A</v>
      </c>
      <c r="BH66" s="8" t="e" cm="1">
        <f t="array" ref="BH66">IF(BE66="","", IFERROR(((IF(BE$5&lt;&gt;"", BE$5*AW$5, 0) + SUMPRODUCT(--(BE$6:BE66&lt;&gt;""), BE$6:BE66, (AW$6:AW66-AW$5:AW65)))/1000)/BD$3, ""))</f>
        <v>#N/A</v>
      </c>
      <c r="BI66" s="1">
        <f t="shared" si="28"/>
        <v>1240</v>
      </c>
      <c r="BJ66" s="1">
        <f t="shared" si="29"/>
        <v>0</v>
      </c>
      <c r="BQ66" s="1" t="e">
        <f t="shared" si="30"/>
        <v>#N/A</v>
      </c>
      <c r="BR66" s="1" t="e">
        <f t="shared" si="5"/>
        <v>#N/A</v>
      </c>
      <c r="BS66" s="1" t="e">
        <f t="shared" si="31"/>
        <v>#N/A</v>
      </c>
      <c r="BT66" s="8" t="e" cm="1">
        <f t="array" ref="BT66">IF(BQ66="","", IFERROR(((IF(BQ$5&lt;&gt;"", BQ$5*BI$5, 0) + SUMPRODUCT(--(BQ$6:BQ66&lt;&gt;""), BQ$6:BQ66, (BI$6:BI66-BI$5:BI65)))/1000)/BP$3, ""))</f>
        <v>#N/A</v>
      </c>
      <c r="BU66" s="1">
        <f t="shared" si="32"/>
        <v>1240</v>
      </c>
      <c r="BV66" s="1">
        <f t="shared" si="33"/>
        <v>0</v>
      </c>
      <c r="CC66" s="1" t="e">
        <f t="shared" si="34"/>
        <v>#N/A</v>
      </c>
      <c r="CD66" s="1" t="e">
        <f t="shared" si="6"/>
        <v>#N/A</v>
      </c>
      <c r="CE66" s="1" t="e">
        <f t="shared" si="35"/>
        <v>#N/A</v>
      </c>
      <c r="CF66" s="8" t="e" cm="1">
        <f t="array" ref="CF66">IF(CC66="","", IFERROR(((IF(CC$5&lt;&gt;"", CC$5*BU$5, 0) + SUMPRODUCT(--(CC$6:CC66&lt;&gt;""), CC$6:CC66, (BU$6:BU66-BU$5:BU65)))/1000)/CB$3, ""))</f>
        <v>#N/A</v>
      </c>
      <c r="CG66" s="1">
        <f t="shared" si="36"/>
        <v>1240</v>
      </c>
      <c r="CH66" s="1">
        <f t="shared" si="37"/>
        <v>0</v>
      </c>
      <c r="CO66" s="1" t="e">
        <f t="shared" si="38"/>
        <v>#N/A</v>
      </c>
      <c r="CP66" s="1" t="e">
        <f t="shared" si="7"/>
        <v>#N/A</v>
      </c>
      <c r="CQ66" s="1" t="e">
        <f t="shared" si="39"/>
        <v>#N/A</v>
      </c>
      <c r="CR66" s="8" t="e" cm="1">
        <f t="array" ref="CR66">IF(CO66="","", IFERROR(((IF(CO$5&lt;&gt;"", CO$5*CG$5, 0) + SUMPRODUCT(--(CO$6:CO66&lt;&gt;""), CO$6:CO66, (CG$6:CG66-CG$5:CG65)))/1000)/CN$3, ""))</f>
        <v>#N/A</v>
      </c>
    </row>
    <row r="67" spans="1:96" x14ac:dyDescent="0.25">
      <c r="A67" s="1">
        <f t="shared" si="8"/>
        <v>1260</v>
      </c>
      <c r="B67" s="1">
        <f t="shared" si="9"/>
        <v>0</v>
      </c>
      <c r="I67" s="1" t="e">
        <f t="shared" si="10"/>
        <v>#N/A</v>
      </c>
      <c r="J67" s="1" t="e">
        <f t="shared" si="0"/>
        <v>#N/A</v>
      </c>
      <c r="K67" s="1" t="e">
        <f t="shared" si="11"/>
        <v>#N/A</v>
      </c>
      <c r="L67" s="8" t="e" cm="1">
        <f t="array" ref="L67">IF(I67="","", IFERROR(((IF(I$5&lt;&gt;"", I$5*A$5, 0) + SUMPRODUCT(--(I$6:I67&lt;&gt;""), I$6:I67, (A$6:A67-A$5:A66)))/1000)/H$3, ""))</f>
        <v>#N/A</v>
      </c>
      <c r="M67" s="1">
        <f t="shared" si="12"/>
        <v>1260</v>
      </c>
      <c r="N67" s="1">
        <f t="shared" si="13"/>
        <v>0</v>
      </c>
      <c r="U67" s="1" t="e">
        <f t="shared" si="14"/>
        <v>#N/A</v>
      </c>
      <c r="V67" s="1" t="e">
        <f t="shared" si="1"/>
        <v>#N/A</v>
      </c>
      <c r="W67" s="1" t="e">
        <f t="shared" si="15"/>
        <v>#N/A</v>
      </c>
      <c r="X67" s="8" t="e" cm="1">
        <f t="array" ref="X67">IF(U67="","", IFERROR(((IF(U$5&lt;&gt;"", U$5*M$5, 0) + SUMPRODUCT(--(U$6:U67&lt;&gt;""), U$6:U67, (M$6:M67-M$5:M66)))/1000)/T$3, ""))</f>
        <v>#N/A</v>
      </c>
      <c r="Y67" s="1">
        <f t="shared" si="16"/>
        <v>1260</v>
      </c>
      <c r="Z67" s="1">
        <f t="shared" si="17"/>
        <v>0</v>
      </c>
      <c r="AG67" s="1" t="e">
        <f t="shared" si="18"/>
        <v>#N/A</v>
      </c>
      <c r="AH67" s="1" t="e">
        <f t="shared" si="2"/>
        <v>#N/A</v>
      </c>
      <c r="AI67" s="1" t="e">
        <f t="shared" si="19"/>
        <v>#N/A</v>
      </c>
      <c r="AJ67" s="8" t="e" cm="1">
        <f t="array" ref="AJ67">IF(AG67="","", IFERROR(((IF(AG$5&lt;&gt;"", AG$5*Y$5, 0) + SUMPRODUCT(--(AG$6:AG67&lt;&gt;""), AG$6:AG67, (Y$6:Y67-Y$5:Y66)))/1000)/AF$3, ""))</f>
        <v>#N/A</v>
      </c>
      <c r="AK67" s="1">
        <f t="shared" si="20"/>
        <v>1260</v>
      </c>
      <c r="AL67" s="1">
        <f t="shared" si="21"/>
        <v>0</v>
      </c>
      <c r="AS67" s="1" t="e">
        <f t="shared" si="22"/>
        <v>#N/A</v>
      </c>
      <c r="AT67" s="1" t="e">
        <f t="shared" si="3"/>
        <v>#N/A</v>
      </c>
      <c r="AU67" s="1" t="e">
        <f t="shared" si="23"/>
        <v>#N/A</v>
      </c>
      <c r="AV67" s="8" t="e" cm="1">
        <f t="array" ref="AV67">IF(AS67="","", IFERROR(((IF(AS$5&lt;&gt;"", AS$5*AK$5, 0) + SUMPRODUCT(--(AS$6:AS67&lt;&gt;""), AS$6:AS67, (AK$6:AK67-AK$5:AK66)))/1000)/AR$3, ""))</f>
        <v>#N/A</v>
      </c>
      <c r="AW67" s="1">
        <f t="shared" si="24"/>
        <v>1260</v>
      </c>
      <c r="AX67" s="1">
        <f t="shared" si="25"/>
        <v>0</v>
      </c>
      <c r="BE67" s="1" t="e">
        <f t="shared" si="26"/>
        <v>#N/A</v>
      </c>
      <c r="BF67" s="1" t="e">
        <f t="shared" si="4"/>
        <v>#N/A</v>
      </c>
      <c r="BG67" s="1" t="e">
        <f t="shared" si="27"/>
        <v>#N/A</v>
      </c>
      <c r="BH67" s="8" t="e" cm="1">
        <f t="array" ref="BH67">IF(BE67="","", IFERROR(((IF(BE$5&lt;&gt;"", BE$5*AW$5, 0) + SUMPRODUCT(--(BE$6:BE67&lt;&gt;""), BE$6:BE67, (AW$6:AW67-AW$5:AW66)))/1000)/BD$3, ""))</f>
        <v>#N/A</v>
      </c>
      <c r="BI67" s="1">
        <f t="shared" si="28"/>
        <v>1260</v>
      </c>
      <c r="BJ67" s="1">
        <f t="shared" si="29"/>
        <v>0</v>
      </c>
      <c r="BQ67" s="1" t="e">
        <f t="shared" si="30"/>
        <v>#N/A</v>
      </c>
      <c r="BR67" s="1" t="e">
        <f t="shared" si="5"/>
        <v>#N/A</v>
      </c>
      <c r="BS67" s="1" t="e">
        <f t="shared" si="31"/>
        <v>#N/A</v>
      </c>
      <c r="BT67" s="8" t="e" cm="1">
        <f t="array" ref="BT67">IF(BQ67="","", IFERROR(((IF(BQ$5&lt;&gt;"", BQ$5*BI$5, 0) + SUMPRODUCT(--(BQ$6:BQ67&lt;&gt;""), BQ$6:BQ67, (BI$6:BI67-BI$5:BI66)))/1000)/BP$3, ""))</f>
        <v>#N/A</v>
      </c>
      <c r="BU67" s="1">
        <f t="shared" si="32"/>
        <v>1260</v>
      </c>
      <c r="BV67" s="1">
        <f t="shared" si="33"/>
        <v>0</v>
      </c>
      <c r="CC67" s="1" t="e">
        <f t="shared" si="34"/>
        <v>#N/A</v>
      </c>
      <c r="CD67" s="1" t="e">
        <f t="shared" si="6"/>
        <v>#N/A</v>
      </c>
      <c r="CE67" s="1" t="e">
        <f t="shared" si="35"/>
        <v>#N/A</v>
      </c>
      <c r="CF67" s="8" t="e" cm="1">
        <f t="array" ref="CF67">IF(CC67="","", IFERROR(((IF(CC$5&lt;&gt;"", CC$5*BU$5, 0) + SUMPRODUCT(--(CC$6:CC67&lt;&gt;""), CC$6:CC67, (BU$6:BU67-BU$5:BU66)))/1000)/CB$3, ""))</f>
        <v>#N/A</v>
      </c>
      <c r="CG67" s="1">
        <f t="shared" si="36"/>
        <v>1260</v>
      </c>
      <c r="CH67" s="1">
        <f t="shared" si="37"/>
        <v>0</v>
      </c>
      <c r="CO67" s="1" t="e">
        <f t="shared" si="38"/>
        <v>#N/A</v>
      </c>
      <c r="CP67" s="1" t="e">
        <f t="shared" si="7"/>
        <v>#N/A</v>
      </c>
      <c r="CQ67" s="1" t="e">
        <f t="shared" si="39"/>
        <v>#N/A</v>
      </c>
      <c r="CR67" s="8" t="e" cm="1">
        <f t="array" ref="CR67">IF(CO67="","", IFERROR(((IF(CO$5&lt;&gt;"", CO$5*CG$5, 0) + SUMPRODUCT(--(CO$6:CO67&lt;&gt;""), CO$6:CO67, (CG$6:CG67-CG$5:CG66)))/1000)/CN$3, ""))</f>
        <v>#N/A</v>
      </c>
    </row>
    <row r="68" spans="1:96" x14ac:dyDescent="0.25">
      <c r="A68" s="1">
        <f t="shared" si="8"/>
        <v>1280</v>
      </c>
      <c r="B68" s="1">
        <f t="shared" si="9"/>
        <v>0</v>
      </c>
      <c r="I68" s="1" t="e">
        <f t="shared" si="10"/>
        <v>#N/A</v>
      </c>
      <c r="J68" s="1" t="e">
        <f t="shared" si="0"/>
        <v>#N/A</v>
      </c>
      <c r="K68" s="1" t="e">
        <f t="shared" si="11"/>
        <v>#N/A</v>
      </c>
      <c r="L68" s="8" t="e" cm="1">
        <f t="array" ref="L68">IF(I68="","", IFERROR(((IF(I$5&lt;&gt;"", I$5*A$5, 0) + SUMPRODUCT(--(I$6:I68&lt;&gt;""), I$6:I68, (A$6:A68-A$5:A67)))/1000)/H$3, ""))</f>
        <v>#N/A</v>
      </c>
      <c r="M68" s="1">
        <f t="shared" si="12"/>
        <v>1280</v>
      </c>
      <c r="N68" s="1">
        <f t="shared" si="13"/>
        <v>0</v>
      </c>
      <c r="U68" s="1" t="e">
        <f t="shared" si="14"/>
        <v>#N/A</v>
      </c>
      <c r="V68" s="1" t="e">
        <f t="shared" si="1"/>
        <v>#N/A</v>
      </c>
      <c r="W68" s="1" t="e">
        <f t="shared" si="15"/>
        <v>#N/A</v>
      </c>
      <c r="X68" s="8" t="e" cm="1">
        <f t="array" ref="X68">IF(U68="","", IFERROR(((IF(U$5&lt;&gt;"", U$5*M$5, 0) + SUMPRODUCT(--(U$6:U68&lt;&gt;""), U$6:U68, (M$6:M68-M$5:M67)))/1000)/T$3, ""))</f>
        <v>#N/A</v>
      </c>
      <c r="Y68" s="1">
        <f t="shared" si="16"/>
        <v>1280</v>
      </c>
      <c r="Z68" s="1">
        <f t="shared" si="17"/>
        <v>0</v>
      </c>
      <c r="AG68" s="1" t="e">
        <f t="shared" si="18"/>
        <v>#N/A</v>
      </c>
      <c r="AH68" s="1" t="e">
        <f t="shared" si="2"/>
        <v>#N/A</v>
      </c>
      <c r="AI68" s="1" t="e">
        <f t="shared" si="19"/>
        <v>#N/A</v>
      </c>
      <c r="AJ68" s="8" t="e" cm="1">
        <f t="array" ref="AJ68">IF(AG68="","", IFERROR(((IF(AG$5&lt;&gt;"", AG$5*Y$5, 0) + SUMPRODUCT(--(AG$6:AG68&lt;&gt;""), AG$6:AG68, (Y$6:Y68-Y$5:Y67)))/1000)/AF$3, ""))</f>
        <v>#N/A</v>
      </c>
      <c r="AK68" s="1">
        <f t="shared" si="20"/>
        <v>1280</v>
      </c>
      <c r="AL68" s="1">
        <f t="shared" si="21"/>
        <v>0</v>
      </c>
      <c r="AS68" s="1" t="e">
        <f t="shared" si="22"/>
        <v>#N/A</v>
      </c>
      <c r="AT68" s="1" t="e">
        <f t="shared" si="3"/>
        <v>#N/A</v>
      </c>
      <c r="AU68" s="1" t="e">
        <f t="shared" si="23"/>
        <v>#N/A</v>
      </c>
      <c r="AV68" s="8" t="e" cm="1">
        <f t="array" ref="AV68">IF(AS68="","", IFERROR(((IF(AS$5&lt;&gt;"", AS$5*AK$5, 0) + SUMPRODUCT(--(AS$6:AS68&lt;&gt;""), AS$6:AS68, (AK$6:AK68-AK$5:AK67)))/1000)/AR$3, ""))</f>
        <v>#N/A</v>
      </c>
      <c r="AW68" s="1">
        <f t="shared" si="24"/>
        <v>1280</v>
      </c>
      <c r="AX68" s="1">
        <f t="shared" si="25"/>
        <v>0</v>
      </c>
      <c r="BE68" s="1" t="e">
        <f t="shared" si="26"/>
        <v>#N/A</v>
      </c>
      <c r="BF68" s="1" t="e">
        <f t="shared" si="4"/>
        <v>#N/A</v>
      </c>
      <c r="BG68" s="1" t="e">
        <f t="shared" si="27"/>
        <v>#N/A</v>
      </c>
      <c r="BH68" s="8" t="e" cm="1">
        <f t="array" ref="BH68">IF(BE68="","", IFERROR(((IF(BE$5&lt;&gt;"", BE$5*AW$5, 0) + SUMPRODUCT(--(BE$6:BE68&lt;&gt;""), BE$6:BE68, (AW$6:AW68-AW$5:AW67)))/1000)/BD$3, ""))</f>
        <v>#N/A</v>
      </c>
      <c r="BI68" s="1">
        <f t="shared" si="28"/>
        <v>1280</v>
      </c>
      <c r="BJ68" s="1">
        <f t="shared" si="29"/>
        <v>0</v>
      </c>
      <c r="BQ68" s="1" t="e">
        <f t="shared" si="30"/>
        <v>#N/A</v>
      </c>
      <c r="BR68" s="1" t="e">
        <f t="shared" si="5"/>
        <v>#N/A</v>
      </c>
      <c r="BS68" s="1" t="e">
        <f t="shared" si="31"/>
        <v>#N/A</v>
      </c>
      <c r="BT68" s="8" t="e" cm="1">
        <f t="array" ref="BT68">IF(BQ68="","", IFERROR(((IF(BQ$5&lt;&gt;"", BQ$5*BI$5, 0) + SUMPRODUCT(--(BQ$6:BQ68&lt;&gt;""), BQ$6:BQ68, (BI$6:BI68-BI$5:BI67)))/1000)/BP$3, ""))</f>
        <v>#N/A</v>
      </c>
      <c r="BU68" s="1">
        <f t="shared" si="32"/>
        <v>1280</v>
      </c>
      <c r="BV68" s="1">
        <f t="shared" si="33"/>
        <v>0</v>
      </c>
      <c r="CC68" s="1" t="e">
        <f t="shared" si="34"/>
        <v>#N/A</v>
      </c>
      <c r="CD68" s="1" t="e">
        <f t="shared" si="6"/>
        <v>#N/A</v>
      </c>
      <c r="CE68" s="1" t="e">
        <f t="shared" si="35"/>
        <v>#N/A</v>
      </c>
      <c r="CF68" s="8" t="e" cm="1">
        <f t="array" ref="CF68">IF(CC68="","", IFERROR(((IF(CC$5&lt;&gt;"", CC$5*BU$5, 0) + SUMPRODUCT(--(CC$6:CC68&lt;&gt;""), CC$6:CC68, (BU$6:BU68-BU$5:BU67)))/1000)/CB$3, ""))</f>
        <v>#N/A</v>
      </c>
      <c r="CG68" s="1">
        <f t="shared" si="36"/>
        <v>1280</v>
      </c>
      <c r="CH68" s="1">
        <f t="shared" si="37"/>
        <v>0</v>
      </c>
      <c r="CO68" s="1" t="e">
        <f t="shared" si="38"/>
        <v>#N/A</v>
      </c>
      <c r="CP68" s="1" t="e">
        <f t="shared" si="7"/>
        <v>#N/A</v>
      </c>
      <c r="CQ68" s="1" t="e">
        <f t="shared" si="39"/>
        <v>#N/A</v>
      </c>
      <c r="CR68" s="8" t="e" cm="1">
        <f t="array" ref="CR68">IF(CO68="","", IFERROR(((IF(CO$5&lt;&gt;"", CO$5*CG$5, 0) + SUMPRODUCT(--(CO$6:CO68&lt;&gt;""), CO$6:CO68, (CG$6:CG68-CG$5:CG67)))/1000)/CN$3, ""))</f>
        <v>#N/A</v>
      </c>
    </row>
    <row r="69" spans="1:96" x14ac:dyDescent="0.25">
      <c r="A69" s="1">
        <f t="shared" si="8"/>
        <v>1300</v>
      </c>
      <c r="B69" s="1">
        <f t="shared" si="9"/>
        <v>0</v>
      </c>
      <c r="I69" s="1" t="e">
        <f t="shared" si="10"/>
        <v>#N/A</v>
      </c>
      <c r="J69" s="1" t="e">
        <f t="shared" si="0"/>
        <v>#N/A</v>
      </c>
      <c r="K69" s="1" t="e">
        <f t="shared" si="11"/>
        <v>#N/A</v>
      </c>
      <c r="L69" s="8" t="e" cm="1">
        <f t="array" ref="L69">IF(I69="","", IFERROR(((IF(I$5&lt;&gt;"", I$5*A$5, 0) + SUMPRODUCT(--(I$6:I69&lt;&gt;""), I$6:I69, (A$6:A69-A$5:A68)))/1000)/H$3, ""))</f>
        <v>#N/A</v>
      </c>
      <c r="M69" s="1">
        <f t="shared" si="12"/>
        <v>1300</v>
      </c>
      <c r="N69" s="1">
        <f t="shared" si="13"/>
        <v>0</v>
      </c>
      <c r="U69" s="1" t="e">
        <f t="shared" si="14"/>
        <v>#N/A</v>
      </c>
      <c r="V69" s="1" t="e">
        <f t="shared" si="1"/>
        <v>#N/A</v>
      </c>
      <c r="W69" s="1" t="e">
        <f t="shared" si="15"/>
        <v>#N/A</v>
      </c>
      <c r="X69" s="8" t="e" cm="1">
        <f t="array" ref="X69">IF(U69="","", IFERROR(((IF(U$5&lt;&gt;"", U$5*M$5, 0) + SUMPRODUCT(--(U$6:U69&lt;&gt;""), U$6:U69, (M$6:M69-M$5:M68)))/1000)/T$3, ""))</f>
        <v>#N/A</v>
      </c>
      <c r="Y69" s="1">
        <f t="shared" si="16"/>
        <v>1300</v>
      </c>
      <c r="Z69" s="1">
        <f t="shared" si="17"/>
        <v>0</v>
      </c>
      <c r="AG69" s="1" t="e">
        <f t="shared" si="18"/>
        <v>#N/A</v>
      </c>
      <c r="AH69" s="1" t="e">
        <f t="shared" si="2"/>
        <v>#N/A</v>
      </c>
      <c r="AI69" s="1" t="e">
        <f t="shared" si="19"/>
        <v>#N/A</v>
      </c>
      <c r="AJ69" s="8" t="e" cm="1">
        <f t="array" ref="AJ69">IF(AG69="","", IFERROR(((IF(AG$5&lt;&gt;"", AG$5*Y$5, 0) + SUMPRODUCT(--(AG$6:AG69&lt;&gt;""), AG$6:AG69, (Y$6:Y69-Y$5:Y68)))/1000)/AF$3, ""))</f>
        <v>#N/A</v>
      </c>
      <c r="AK69" s="1">
        <f t="shared" si="20"/>
        <v>1300</v>
      </c>
      <c r="AL69" s="1">
        <f t="shared" si="21"/>
        <v>0</v>
      </c>
      <c r="AS69" s="1" t="e">
        <f t="shared" si="22"/>
        <v>#N/A</v>
      </c>
      <c r="AT69" s="1" t="e">
        <f t="shared" si="3"/>
        <v>#N/A</v>
      </c>
      <c r="AU69" s="1" t="e">
        <f t="shared" si="23"/>
        <v>#N/A</v>
      </c>
      <c r="AV69" s="8" t="e" cm="1">
        <f t="array" ref="AV69">IF(AS69="","", IFERROR(((IF(AS$5&lt;&gt;"", AS$5*AK$5, 0) + SUMPRODUCT(--(AS$6:AS69&lt;&gt;""), AS$6:AS69, (AK$6:AK69-AK$5:AK68)))/1000)/AR$3, ""))</f>
        <v>#N/A</v>
      </c>
      <c r="AW69" s="1">
        <f t="shared" si="24"/>
        <v>1300</v>
      </c>
      <c r="AX69" s="1">
        <f t="shared" si="25"/>
        <v>0</v>
      </c>
      <c r="BE69" s="1" t="e">
        <f t="shared" si="26"/>
        <v>#N/A</v>
      </c>
      <c r="BF69" s="1" t="e">
        <f t="shared" si="4"/>
        <v>#N/A</v>
      </c>
      <c r="BG69" s="1" t="e">
        <f t="shared" si="27"/>
        <v>#N/A</v>
      </c>
      <c r="BH69" s="8" t="e" cm="1">
        <f t="array" ref="BH69">IF(BE69="","", IFERROR(((IF(BE$5&lt;&gt;"", BE$5*AW$5, 0) + SUMPRODUCT(--(BE$6:BE69&lt;&gt;""), BE$6:BE69, (AW$6:AW69-AW$5:AW68)))/1000)/BD$3, ""))</f>
        <v>#N/A</v>
      </c>
      <c r="BI69" s="1">
        <f t="shared" si="28"/>
        <v>1300</v>
      </c>
      <c r="BJ69" s="1">
        <f t="shared" si="29"/>
        <v>0</v>
      </c>
      <c r="BQ69" s="1" t="e">
        <f t="shared" si="30"/>
        <v>#N/A</v>
      </c>
      <c r="BR69" s="1" t="e">
        <f t="shared" si="5"/>
        <v>#N/A</v>
      </c>
      <c r="BS69" s="1" t="e">
        <f t="shared" si="31"/>
        <v>#N/A</v>
      </c>
      <c r="BT69" s="8" t="e" cm="1">
        <f t="array" ref="BT69">IF(BQ69="","", IFERROR(((IF(BQ$5&lt;&gt;"", BQ$5*BI$5, 0) + SUMPRODUCT(--(BQ$6:BQ69&lt;&gt;""), BQ$6:BQ69, (BI$6:BI69-BI$5:BI68)))/1000)/BP$3, ""))</f>
        <v>#N/A</v>
      </c>
      <c r="BU69" s="1">
        <f t="shared" si="32"/>
        <v>1300</v>
      </c>
      <c r="BV69" s="1">
        <f t="shared" si="33"/>
        <v>0</v>
      </c>
      <c r="CC69" s="1" t="e">
        <f t="shared" si="34"/>
        <v>#N/A</v>
      </c>
      <c r="CD69" s="1" t="e">
        <f t="shared" si="6"/>
        <v>#N/A</v>
      </c>
      <c r="CE69" s="1" t="e">
        <f t="shared" si="35"/>
        <v>#N/A</v>
      </c>
      <c r="CF69" s="8" t="e" cm="1">
        <f t="array" ref="CF69">IF(CC69="","", IFERROR(((IF(CC$5&lt;&gt;"", CC$5*BU$5, 0) + SUMPRODUCT(--(CC$6:CC69&lt;&gt;""), CC$6:CC69, (BU$6:BU69-BU$5:BU68)))/1000)/CB$3, ""))</f>
        <v>#N/A</v>
      </c>
      <c r="CG69" s="1">
        <f t="shared" si="36"/>
        <v>1300</v>
      </c>
      <c r="CH69" s="1">
        <f t="shared" si="37"/>
        <v>0</v>
      </c>
      <c r="CO69" s="1" t="e">
        <f t="shared" si="38"/>
        <v>#N/A</v>
      </c>
      <c r="CP69" s="1" t="e">
        <f t="shared" si="7"/>
        <v>#N/A</v>
      </c>
      <c r="CQ69" s="1" t="e">
        <f t="shared" si="39"/>
        <v>#N/A</v>
      </c>
      <c r="CR69" s="8" t="e" cm="1">
        <f t="array" ref="CR69">IF(CO69="","", IFERROR(((IF(CO$5&lt;&gt;"", CO$5*CG$5, 0) + SUMPRODUCT(--(CO$6:CO69&lt;&gt;""), CO$6:CO69, (CG$6:CG69-CG$5:CG68)))/1000)/CN$3, ""))</f>
        <v>#N/A</v>
      </c>
    </row>
    <row r="70" spans="1:96" x14ac:dyDescent="0.25">
      <c r="A70" s="1">
        <f t="shared" si="8"/>
        <v>1320</v>
      </c>
      <c r="B70" s="1">
        <f t="shared" si="9"/>
        <v>0</v>
      </c>
      <c r="I70" s="1" t="e">
        <f t="shared" si="10"/>
        <v>#N/A</v>
      </c>
      <c r="J70" s="1" t="e">
        <f t="shared" ref="J70:J115" si="40">IF(I70="","",I70/F$2/2.5)</f>
        <v>#N/A</v>
      </c>
      <c r="K70" s="1" t="e">
        <f t="shared" si="11"/>
        <v>#N/A</v>
      </c>
      <c r="L70" s="8" t="e" cm="1">
        <f t="array" ref="L70">IF(I70="","", IFERROR(((IF(I$5&lt;&gt;"", I$5*A$5, 0) + SUMPRODUCT(--(I$6:I70&lt;&gt;""), I$6:I70, (A$6:A70-A$5:A69)))/1000)/H$3, ""))</f>
        <v>#N/A</v>
      </c>
      <c r="M70" s="1">
        <f t="shared" si="12"/>
        <v>1320</v>
      </c>
      <c r="N70" s="1">
        <f t="shared" si="13"/>
        <v>0</v>
      </c>
      <c r="U70" s="1" t="e">
        <f t="shared" si="14"/>
        <v>#N/A</v>
      </c>
      <c r="V70" s="1" t="e">
        <f t="shared" ref="V70:V115" si="41">IF(U70="","",U70/R$2/2.5)</f>
        <v>#N/A</v>
      </c>
      <c r="W70" s="1" t="e">
        <f t="shared" si="15"/>
        <v>#N/A</v>
      </c>
      <c r="X70" s="8" t="e" cm="1">
        <f t="array" ref="X70">IF(U70="","", IFERROR(((IF(U$5&lt;&gt;"", U$5*M$5, 0) + SUMPRODUCT(--(U$6:U70&lt;&gt;""), U$6:U70, (M$6:M70-M$5:M69)))/1000)/T$3, ""))</f>
        <v>#N/A</v>
      </c>
      <c r="Y70" s="1">
        <f t="shared" si="16"/>
        <v>1320</v>
      </c>
      <c r="Z70" s="1">
        <f t="shared" si="17"/>
        <v>0</v>
      </c>
      <c r="AG70" s="1" t="e">
        <f t="shared" si="18"/>
        <v>#N/A</v>
      </c>
      <c r="AH70" s="1" t="e">
        <f t="shared" ref="AH70:AH115" si="42">IF(AG70="","",AG70/AD$2/2.5)</f>
        <v>#N/A</v>
      </c>
      <c r="AI70" s="1" t="e">
        <f t="shared" si="19"/>
        <v>#N/A</v>
      </c>
      <c r="AJ70" s="8" t="e" cm="1">
        <f t="array" ref="AJ70">IF(AG70="","", IFERROR(((IF(AG$5&lt;&gt;"", AG$5*Y$5, 0) + SUMPRODUCT(--(AG$6:AG70&lt;&gt;""), AG$6:AG70, (Y$6:Y70-Y$5:Y69)))/1000)/AF$3, ""))</f>
        <v>#N/A</v>
      </c>
      <c r="AK70" s="1">
        <f t="shared" si="20"/>
        <v>1320</v>
      </c>
      <c r="AL70" s="1">
        <f t="shared" si="21"/>
        <v>0</v>
      </c>
      <c r="AS70" s="1" t="e">
        <f t="shared" si="22"/>
        <v>#N/A</v>
      </c>
      <c r="AT70" s="1" t="e">
        <f t="shared" ref="AT70:AT115" si="43">IF(AS70="","",AS70/AP$2/2.5)</f>
        <v>#N/A</v>
      </c>
      <c r="AU70" s="1" t="e">
        <f t="shared" si="23"/>
        <v>#N/A</v>
      </c>
      <c r="AV70" s="8" t="e" cm="1">
        <f t="array" ref="AV70">IF(AS70="","", IFERROR(((IF(AS$5&lt;&gt;"", AS$5*AK$5, 0) + SUMPRODUCT(--(AS$6:AS70&lt;&gt;""), AS$6:AS70, (AK$6:AK70-AK$5:AK69)))/1000)/AR$3, ""))</f>
        <v>#N/A</v>
      </c>
      <c r="AW70" s="1">
        <f t="shared" si="24"/>
        <v>1320</v>
      </c>
      <c r="AX70" s="1">
        <f t="shared" si="25"/>
        <v>0</v>
      </c>
      <c r="BE70" s="1" t="e">
        <f t="shared" si="26"/>
        <v>#N/A</v>
      </c>
      <c r="BF70" s="1" t="e">
        <f t="shared" ref="BF70:BF115" si="44">IF(BE70="","",BE70/BB$2/2.5)</f>
        <v>#N/A</v>
      </c>
      <c r="BG70" s="1" t="e">
        <f t="shared" si="27"/>
        <v>#N/A</v>
      </c>
      <c r="BH70" s="8" t="e" cm="1">
        <f t="array" ref="BH70">IF(BE70="","", IFERROR(((IF(BE$5&lt;&gt;"", BE$5*AW$5, 0) + SUMPRODUCT(--(BE$6:BE70&lt;&gt;""), BE$6:BE70, (AW$6:AW70-AW$5:AW69)))/1000)/BD$3, ""))</f>
        <v>#N/A</v>
      </c>
      <c r="BI70" s="1">
        <f t="shared" si="28"/>
        <v>1320</v>
      </c>
      <c r="BJ70" s="1">
        <f t="shared" si="29"/>
        <v>0</v>
      </c>
      <c r="BQ70" s="1" t="e">
        <f t="shared" si="30"/>
        <v>#N/A</v>
      </c>
      <c r="BR70" s="1" t="e">
        <f t="shared" ref="BR70:BR115" si="45">IF(BQ70="","",BQ70/BN$2/2.5)</f>
        <v>#N/A</v>
      </c>
      <c r="BS70" s="1" t="e">
        <f t="shared" si="31"/>
        <v>#N/A</v>
      </c>
      <c r="BT70" s="8" t="e" cm="1">
        <f t="array" ref="BT70">IF(BQ70="","", IFERROR(((IF(BQ$5&lt;&gt;"", BQ$5*BI$5, 0) + SUMPRODUCT(--(BQ$6:BQ70&lt;&gt;""), BQ$6:BQ70, (BI$6:BI70-BI$5:BI69)))/1000)/BP$3, ""))</f>
        <v>#N/A</v>
      </c>
      <c r="BU70" s="1">
        <f t="shared" si="32"/>
        <v>1320</v>
      </c>
      <c r="BV70" s="1">
        <f t="shared" si="33"/>
        <v>0</v>
      </c>
      <c r="CC70" s="1" t="e">
        <f t="shared" si="34"/>
        <v>#N/A</v>
      </c>
      <c r="CD70" s="1" t="e">
        <f t="shared" ref="CD70:CD115" si="46">IF(CC70="","",CC70/BZ$2/2.5)</f>
        <v>#N/A</v>
      </c>
      <c r="CE70" s="1" t="e">
        <f t="shared" si="35"/>
        <v>#N/A</v>
      </c>
      <c r="CF70" s="8" t="e" cm="1">
        <f t="array" ref="CF70">IF(CC70="","", IFERROR(((IF(CC$5&lt;&gt;"", CC$5*BU$5, 0) + SUMPRODUCT(--(CC$6:CC70&lt;&gt;""), CC$6:CC70, (BU$6:BU70-BU$5:BU69)))/1000)/CB$3, ""))</f>
        <v>#N/A</v>
      </c>
      <c r="CG70" s="1">
        <f t="shared" si="36"/>
        <v>1320</v>
      </c>
      <c r="CH70" s="1">
        <f t="shared" si="37"/>
        <v>0</v>
      </c>
      <c r="CO70" s="1" t="e">
        <f t="shared" si="38"/>
        <v>#N/A</v>
      </c>
      <c r="CP70" s="1" t="e">
        <f t="shared" ref="CP70:CP115" si="47">IF(CO70="","",CO70/CL$2/2.5)</f>
        <v>#N/A</v>
      </c>
      <c r="CQ70" s="1" t="e">
        <f t="shared" si="39"/>
        <v>#N/A</v>
      </c>
      <c r="CR70" s="8" t="e" cm="1">
        <f t="array" ref="CR70">IF(CO70="","", IFERROR(((IF(CO$5&lt;&gt;"", CO$5*CG$5, 0) + SUMPRODUCT(--(CO$6:CO70&lt;&gt;""), CO$6:CO70, (CG$6:CG70-CG$5:CG69)))/1000)/CN$3, ""))</f>
        <v>#N/A</v>
      </c>
    </row>
    <row r="71" spans="1:96" x14ac:dyDescent="0.25">
      <c r="A71" s="1">
        <f t="shared" ref="A71:A115" si="48">A70+20</f>
        <v>1340</v>
      </c>
      <c r="B71" s="1">
        <f t="shared" ref="B71:B115" si="49">C70</f>
        <v>0</v>
      </c>
      <c r="I71" s="1" t="e">
        <f t="shared" ref="I71:I115" si="50">IF(C71="", NA(), (B71-C71)*1000/(A71-A70))</f>
        <v>#N/A</v>
      </c>
      <c r="J71" s="1" t="e">
        <f t="shared" si="40"/>
        <v>#N/A</v>
      </c>
      <c r="K71" s="1" t="e">
        <f t="shared" ref="K71:K115" si="51">IF(I71="","", 100*_xlfn.STDEV.P(I70:I71)/AVERAGE(I70:I71))</f>
        <v>#N/A</v>
      </c>
      <c r="L71" s="8" t="e" cm="1">
        <f t="array" ref="L71">IF(I71="","", IFERROR(((IF(I$5&lt;&gt;"", I$5*A$5, 0) + SUMPRODUCT(--(I$6:I71&lt;&gt;""), I$6:I71, (A$6:A71-A$5:A70)))/1000)/H$3, ""))</f>
        <v>#N/A</v>
      </c>
      <c r="M71" s="1">
        <f t="shared" ref="M71:M115" si="52">M70+20</f>
        <v>1340</v>
      </c>
      <c r="N71" s="1">
        <f t="shared" ref="N71:N115" si="53">O70</f>
        <v>0</v>
      </c>
      <c r="U71" s="1" t="e">
        <f t="shared" ref="U71:U115" si="54">IF(O71="", NA(), (N71-O71)*1000/(M71-M70))</f>
        <v>#N/A</v>
      </c>
      <c r="V71" s="1" t="e">
        <f t="shared" si="41"/>
        <v>#N/A</v>
      </c>
      <c r="W71" s="1" t="e">
        <f t="shared" ref="W71:W115" si="55">IF(U71="","", 100*_xlfn.STDEV.P(U70:U71)/AVERAGE(U70:U71))</f>
        <v>#N/A</v>
      </c>
      <c r="X71" s="8" t="e" cm="1">
        <f t="array" ref="X71">IF(U71="","", IFERROR(((IF(U$5&lt;&gt;"", U$5*M$5, 0) + SUMPRODUCT(--(U$6:U71&lt;&gt;""), U$6:U71, (M$6:M71-M$5:M70)))/1000)/T$3, ""))</f>
        <v>#N/A</v>
      </c>
      <c r="Y71" s="1">
        <f t="shared" ref="Y71:Y115" si="56">Y70+20</f>
        <v>1340</v>
      </c>
      <c r="Z71" s="1">
        <f t="shared" ref="Z71:Z115" si="57">AA70</f>
        <v>0</v>
      </c>
      <c r="AG71" s="1" t="e">
        <f t="shared" ref="AG71:AG115" si="58">IF(AA71="", NA(), (Z71-AA71)*1000/(Y71-Y70))</f>
        <v>#N/A</v>
      </c>
      <c r="AH71" s="1" t="e">
        <f t="shared" si="42"/>
        <v>#N/A</v>
      </c>
      <c r="AI71" s="1" t="e">
        <f t="shared" ref="AI71:AI115" si="59">IF(AG71="","", 100*_xlfn.STDEV.P(AG70:AG71)/AVERAGE(AG70:AG71))</f>
        <v>#N/A</v>
      </c>
      <c r="AJ71" s="8" t="e" cm="1">
        <f t="array" ref="AJ71">IF(AG71="","", IFERROR(((IF(AG$5&lt;&gt;"", AG$5*Y$5, 0) + SUMPRODUCT(--(AG$6:AG71&lt;&gt;""), AG$6:AG71, (Y$6:Y71-Y$5:Y70)))/1000)/AF$3, ""))</f>
        <v>#N/A</v>
      </c>
      <c r="AK71" s="1">
        <f t="shared" ref="AK71:AK115" si="60">AK70+20</f>
        <v>1340</v>
      </c>
      <c r="AL71" s="1">
        <f t="shared" ref="AL71:AL115" si="61">AM70</f>
        <v>0</v>
      </c>
      <c r="AS71" s="1" t="e">
        <f t="shared" ref="AS71:AS115" si="62">IF(AM71="", NA(), (AL71-AM71)*1000/(AK71-AK70))</f>
        <v>#N/A</v>
      </c>
      <c r="AT71" s="1" t="e">
        <f t="shared" si="43"/>
        <v>#N/A</v>
      </c>
      <c r="AU71" s="1" t="e">
        <f t="shared" ref="AU71:AU115" si="63">IF(AS71="","", 100*_xlfn.STDEV.P(AS70:AS71)/AVERAGE(AS70:AS71))</f>
        <v>#N/A</v>
      </c>
      <c r="AV71" s="8" t="e" cm="1">
        <f t="array" ref="AV71">IF(AS71="","", IFERROR(((IF(AS$5&lt;&gt;"", AS$5*AK$5, 0) + SUMPRODUCT(--(AS$6:AS71&lt;&gt;""), AS$6:AS71, (AK$6:AK71-AK$5:AK70)))/1000)/AR$3, ""))</f>
        <v>#N/A</v>
      </c>
      <c r="AW71" s="1">
        <f t="shared" ref="AW71:AW115" si="64">AW70+20</f>
        <v>1340</v>
      </c>
      <c r="AX71" s="1">
        <f t="shared" ref="AX71:AX115" si="65">AY70</f>
        <v>0</v>
      </c>
      <c r="BE71" s="1" t="e">
        <f t="shared" ref="BE71:BE115" si="66">IF(AY71="", NA(), (AX71-AY71)*1000/(AW71-AW70))</f>
        <v>#N/A</v>
      </c>
      <c r="BF71" s="1" t="e">
        <f t="shared" si="44"/>
        <v>#N/A</v>
      </c>
      <c r="BG71" s="1" t="e">
        <f t="shared" ref="BG71:BG115" si="67">IF(BE71="","", 100*_xlfn.STDEV.P(BE70:BE71)/AVERAGE(BE70:BE71))</f>
        <v>#N/A</v>
      </c>
      <c r="BH71" s="8" t="e" cm="1">
        <f t="array" ref="BH71">IF(BE71="","", IFERROR(((IF(BE$5&lt;&gt;"", BE$5*AW$5, 0) + SUMPRODUCT(--(BE$6:BE71&lt;&gt;""), BE$6:BE71, (AW$6:AW71-AW$5:AW70)))/1000)/BD$3, ""))</f>
        <v>#N/A</v>
      </c>
      <c r="BI71" s="1">
        <f t="shared" ref="BI71:BI115" si="68">BI70+20</f>
        <v>1340</v>
      </c>
      <c r="BJ71" s="1">
        <f t="shared" ref="BJ71:BJ115" si="69">BK70</f>
        <v>0</v>
      </c>
      <c r="BQ71" s="1" t="e">
        <f t="shared" ref="BQ71:BQ115" si="70">IF(BK71="", NA(), (BJ71-BK71)*1000/(BI71-BI70))</f>
        <v>#N/A</v>
      </c>
      <c r="BR71" s="1" t="e">
        <f t="shared" si="45"/>
        <v>#N/A</v>
      </c>
      <c r="BS71" s="1" t="e">
        <f t="shared" ref="BS71:BS115" si="71">IF(BQ71="","", 100*_xlfn.STDEV.P(BQ70:BQ71)/AVERAGE(BQ70:BQ71))</f>
        <v>#N/A</v>
      </c>
      <c r="BT71" s="8" t="e" cm="1">
        <f t="array" ref="BT71">IF(BQ71="","", IFERROR(((IF(BQ$5&lt;&gt;"", BQ$5*BI$5, 0) + SUMPRODUCT(--(BQ$6:BQ71&lt;&gt;""), BQ$6:BQ71, (BI$6:BI71-BI$5:BI70)))/1000)/BP$3, ""))</f>
        <v>#N/A</v>
      </c>
      <c r="BU71" s="1">
        <f t="shared" ref="BU71:BU115" si="72">BU70+20</f>
        <v>1340</v>
      </c>
      <c r="BV71" s="1">
        <f t="shared" ref="BV71:BV115" si="73">BW70</f>
        <v>0</v>
      </c>
      <c r="CC71" s="1" t="e">
        <f t="shared" ref="CC71:CC115" si="74">IF(BW71="", NA(), (BV71-BW71)*1000/(BU71-BU70))</f>
        <v>#N/A</v>
      </c>
      <c r="CD71" s="1" t="e">
        <f t="shared" si="46"/>
        <v>#N/A</v>
      </c>
      <c r="CE71" s="1" t="e">
        <f t="shared" ref="CE71:CE115" si="75">IF(CC71="","", 100*_xlfn.STDEV.P(CC70:CC71)/AVERAGE(CC70:CC71))</f>
        <v>#N/A</v>
      </c>
      <c r="CF71" s="8" t="e" cm="1">
        <f t="array" ref="CF71">IF(CC71="","", IFERROR(((IF(CC$5&lt;&gt;"", CC$5*BU$5, 0) + SUMPRODUCT(--(CC$6:CC71&lt;&gt;""), CC$6:CC71, (BU$6:BU71-BU$5:BU70)))/1000)/CB$3, ""))</f>
        <v>#N/A</v>
      </c>
      <c r="CG71" s="1">
        <f t="shared" ref="CG71:CG115" si="76">CG70+20</f>
        <v>1340</v>
      </c>
      <c r="CH71" s="1">
        <f t="shared" ref="CH71:CH115" si="77">CI70</f>
        <v>0</v>
      </c>
      <c r="CO71" s="1" t="e">
        <f t="shared" ref="CO71:CO115" si="78">IF(CI71="", NA(), (CH71-CI71)*1000/(CG71-CG70))</f>
        <v>#N/A</v>
      </c>
      <c r="CP71" s="1" t="e">
        <f t="shared" si="47"/>
        <v>#N/A</v>
      </c>
      <c r="CQ71" s="1" t="e">
        <f t="shared" ref="CQ71:CQ115" si="79">IF(CO71="","", 100*_xlfn.STDEV.P(CO70:CO71)/AVERAGE(CO70:CO71))</f>
        <v>#N/A</v>
      </c>
      <c r="CR71" s="8" t="e" cm="1">
        <f t="array" ref="CR71">IF(CO71="","", IFERROR(((IF(CO$5&lt;&gt;"", CO$5*CG$5, 0) + SUMPRODUCT(--(CO$6:CO71&lt;&gt;""), CO$6:CO71, (CG$6:CG71-CG$5:CG70)))/1000)/CN$3, ""))</f>
        <v>#N/A</v>
      </c>
    </row>
    <row r="72" spans="1:96" x14ac:dyDescent="0.25">
      <c r="A72" s="1">
        <f t="shared" si="48"/>
        <v>1360</v>
      </c>
      <c r="B72" s="1">
        <f t="shared" si="49"/>
        <v>0</v>
      </c>
      <c r="I72" s="1" t="e">
        <f t="shared" si="50"/>
        <v>#N/A</v>
      </c>
      <c r="J72" s="1" t="e">
        <f t="shared" si="40"/>
        <v>#N/A</v>
      </c>
      <c r="K72" s="1" t="e">
        <f t="shared" si="51"/>
        <v>#N/A</v>
      </c>
      <c r="L72" s="8" t="e" cm="1">
        <f t="array" ref="L72">IF(I72="","", IFERROR(((IF(I$5&lt;&gt;"", I$5*A$5, 0) + SUMPRODUCT(--(I$6:I72&lt;&gt;""), I$6:I72, (A$6:A72-A$5:A71)))/1000)/H$3, ""))</f>
        <v>#N/A</v>
      </c>
      <c r="M72" s="1">
        <f t="shared" si="52"/>
        <v>1360</v>
      </c>
      <c r="N72" s="1">
        <f t="shared" si="53"/>
        <v>0</v>
      </c>
      <c r="U72" s="1" t="e">
        <f t="shared" si="54"/>
        <v>#N/A</v>
      </c>
      <c r="V72" s="1" t="e">
        <f t="shared" si="41"/>
        <v>#N/A</v>
      </c>
      <c r="W72" s="1" t="e">
        <f t="shared" si="55"/>
        <v>#N/A</v>
      </c>
      <c r="X72" s="8" t="e" cm="1">
        <f t="array" ref="X72">IF(U72="","", IFERROR(((IF(U$5&lt;&gt;"", U$5*M$5, 0) + SUMPRODUCT(--(U$6:U72&lt;&gt;""), U$6:U72, (M$6:M72-M$5:M71)))/1000)/T$3, ""))</f>
        <v>#N/A</v>
      </c>
      <c r="Y72" s="1">
        <f t="shared" si="56"/>
        <v>1360</v>
      </c>
      <c r="Z72" s="1">
        <f t="shared" si="57"/>
        <v>0</v>
      </c>
      <c r="AG72" s="1" t="e">
        <f t="shared" si="58"/>
        <v>#N/A</v>
      </c>
      <c r="AH72" s="1" t="e">
        <f t="shared" si="42"/>
        <v>#N/A</v>
      </c>
      <c r="AI72" s="1" t="e">
        <f t="shared" si="59"/>
        <v>#N/A</v>
      </c>
      <c r="AJ72" s="8" t="e" cm="1">
        <f t="array" ref="AJ72">IF(AG72="","", IFERROR(((IF(AG$5&lt;&gt;"", AG$5*Y$5, 0) + SUMPRODUCT(--(AG$6:AG72&lt;&gt;""), AG$6:AG72, (Y$6:Y72-Y$5:Y71)))/1000)/AF$3, ""))</f>
        <v>#N/A</v>
      </c>
      <c r="AK72" s="1">
        <f t="shared" si="60"/>
        <v>1360</v>
      </c>
      <c r="AL72" s="1">
        <f t="shared" si="61"/>
        <v>0</v>
      </c>
      <c r="AS72" s="1" t="e">
        <f t="shared" si="62"/>
        <v>#N/A</v>
      </c>
      <c r="AT72" s="1" t="e">
        <f t="shared" si="43"/>
        <v>#N/A</v>
      </c>
      <c r="AU72" s="1" t="e">
        <f t="shared" si="63"/>
        <v>#N/A</v>
      </c>
      <c r="AV72" s="8" t="e" cm="1">
        <f t="array" ref="AV72">IF(AS72="","", IFERROR(((IF(AS$5&lt;&gt;"", AS$5*AK$5, 0) + SUMPRODUCT(--(AS$6:AS72&lt;&gt;""), AS$6:AS72, (AK$6:AK72-AK$5:AK71)))/1000)/AR$3, ""))</f>
        <v>#N/A</v>
      </c>
      <c r="AW72" s="1">
        <f t="shared" si="64"/>
        <v>1360</v>
      </c>
      <c r="AX72" s="1">
        <f t="shared" si="65"/>
        <v>0</v>
      </c>
      <c r="BE72" s="1" t="e">
        <f t="shared" si="66"/>
        <v>#N/A</v>
      </c>
      <c r="BF72" s="1" t="e">
        <f t="shared" si="44"/>
        <v>#N/A</v>
      </c>
      <c r="BG72" s="1" t="e">
        <f t="shared" si="67"/>
        <v>#N/A</v>
      </c>
      <c r="BH72" s="8" t="e" cm="1">
        <f t="array" ref="BH72">IF(BE72="","", IFERROR(((IF(BE$5&lt;&gt;"", BE$5*AW$5, 0) + SUMPRODUCT(--(BE$6:BE72&lt;&gt;""), BE$6:BE72, (AW$6:AW72-AW$5:AW71)))/1000)/BD$3, ""))</f>
        <v>#N/A</v>
      </c>
      <c r="BI72" s="1">
        <f t="shared" si="68"/>
        <v>1360</v>
      </c>
      <c r="BJ72" s="1">
        <f t="shared" si="69"/>
        <v>0</v>
      </c>
      <c r="BQ72" s="1" t="e">
        <f t="shared" si="70"/>
        <v>#N/A</v>
      </c>
      <c r="BR72" s="1" t="e">
        <f t="shared" si="45"/>
        <v>#N/A</v>
      </c>
      <c r="BS72" s="1" t="e">
        <f t="shared" si="71"/>
        <v>#N/A</v>
      </c>
      <c r="BT72" s="8" t="e" cm="1">
        <f t="array" ref="BT72">IF(BQ72="","", IFERROR(((IF(BQ$5&lt;&gt;"", BQ$5*BI$5, 0) + SUMPRODUCT(--(BQ$6:BQ72&lt;&gt;""), BQ$6:BQ72, (BI$6:BI72-BI$5:BI71)))/1000)/BP$3, ""))</f>
        <v>#N/A</v>
      </c>
      <c r="BU72" s="1">
        <f t="shared" si="72"/>
        <v>1360</v>
      </c>
      <c r="BV72" s="1">
        <f t="shared" si="73"/>
        <v>0</v>
      </c>
      <c r="CC72" s="1" t="e">
        <f t="shared" si="74"/>
        <v>#N/A</v>
      </c>
      <c r="CD72" s="1" t="e">
        <f t="shared" si="46"/>
        <v>#N/A</v>
      </c>
      <c r="CE72" s="1" t="e">
        <f t="shared" si="75"/>
        <v>#N/A</v>
      </c>
      <c r="CF72" s="8" t="e" cm="1">
        <f t="array" ref="CF72">IF(CC72="","", IFERROR(((IF(CC$5&lt;&gt;"", CC$5*BU$5, 0) + SUMPRODUCT(--(CC$6:CC72&lt;&gt;""), CC$6:CC72, (BU$6:BU72-BU$5:BU71)))/1000)/CB$3, ""))</f>
        <v>#N/A</v>
      </c>
      <c r="CG72" s="1">
        <f t="shared" si="76"/>
        <v>1360</v>
      </c>
      <c r="CH72" s="1">
        <f t="shared" si="77"/>
        <v>0</v>
      </c>
      <c r="CO72" s="1" t="e">
        <f t="shared" si="78"/>
        <v>#N/A</v>
      </c>
      <c r="CP72" s="1" t="e">
        <f t="shared" si="47"/>
        <v>#N/A</v>
      </c>
      <c r="CQ72" s="1" t="e">
        <f t="shared" si="79"/>
        <v>#N/A</v>
      </c>
      <c r="CR72" s="8" t="e" cm="1">
        <f t="array" ref="CR72">IF(CO72="","", IFERROR(((IF(CO$5&lt;&gt;"", CO$5*CG$5, 0) + SUMPRODUCT(--(CO$6:CO72&lt;&gt;""), CO$6:CO72, (CG$6:CG72-CG$5:CG71)))/1000)/CN$3, ""))</f>
        <v>#N/A</v>
      </c>
    </row>
    <row r="73" spans="1:96" x14ac:dyDescent="0.25">
      <c r="A73" s="1">
        <f t="shared" si="48"/>
        <v>1380</v>
      </c>
      <c r="B73" s="1">
        <f t="shared" si="49"/>
        <v>0</v>
      </c>
      <c r="I73" s="1" t="e">
        <f t="shared" si="50"/>
        <v>#N/A</v>
      </c>
      <c r="J73" s="1" t="e">
        <f t="shared" si="40"/>
        <v>#N/A</v>
      </c>
      <c r="K73" s="1" t="e">
        <f t="shared" si="51"/>
        <v>#N/A</v>
      </c>
      <c r="L73" s="8" t="e" cm="1">
        <f t="array" ref="L73">IF(I73="","", IFERROR(((IF(I$5&lt;&gt;"", I$5*A$5, 0) + SUMPRODUCT(--(I$6:I73&lt;&gt;""), I$6:I73, (A$6:A73-A$5:A72)))/1000)/H$3, ""))</f>
        <v>#N/A</v>
      </c>
      <c r="M73" s="1">
        <f t="shared" si="52"/>
        <v>1380</v>
      </c>
      <c r="N73" s="1">
        <f t="shared" si="53"/>
        <v>0</v>
      </c>
      <c r="U73" s="1" t="e">
        <f t="shared" si="54"/>
        <v>#N/A</v>
      </c>
      <c r="V73" s="1" t="e">
        <f t="shared" si="41"/>
        <v>#N/A</v>
      </c>
      <c r="W73" s="1" t="e">
        <f t="shared" si="55"/>
        <v>#N/A</v>
      </c>
      <c r="X73" s="8" t="e" cm="1">
        <f t="array" ref="X73">IF(U73="","", IFERROR(((IF(U$5&lt;&gt;"", U$5*M$5, 0) + SUMPRODUCT(--(U$6:U73&lt;&gt;""), U$6:U73, (M$6:M73-M$5:M72)))/1000)/T$3, ""))</f>
        <v>#N/A</v>
      </c>
      <c r="Y73" s="1">
        <f t="shared" si="56"/>
        <v>1380</v>
      </c>
      <c r="Z73" s="1">
        <f t="shared" si="57"/>
        <v>0</v>
      </c>
      <c r="AG73" s="1" t="e">
        <f t="shared" si="58"/>
        <v>#N/A</v>
      </c>
      <c r="AH73" s="1" t="e">
        <f t="shared" si="42"/>
        <v>#N/A</v>
      </c>
      <c r="AI73" s="1" t="e">
        <f t="shared" si="59"/>
        <v>#N/A</v>
      </c>
      <c r="AJ73" s="8" t="e" cm="1">
        <f t="array" ref="AJ73">IF(AG73="","", IFERROR(((IF(AG$5&lt;&gt;"", AG$5*Y$5, 0) + SUMPRODUCT(--(AG$6:AG73&lt;&gt;""), AG$6:AG73, (Y$6:Y73-Y$5:Y72)))/1000)/AF$3, ""))</f>
        <v>#N/A</v>
      </c>
      <c r="AK73" s="1">
        <f t="shared" si="60"/>
        <v>1380</v>
      </c>
      <c r="AL73" s="1">
        <f t="shared" si="61"/>
        <v>0</v>
      </c>
      <c r="AS73" s="1" t="e">
        <f t="shared" si="62"/>
        <v>#N/A</v>
      </c>
      <c r="AT73" s="1" t="e">
        <f t="shared" si="43"/>
        <v>#N/A</v>
      </c>
      <c r="AU73" s="1" t="e">
        <f t="shared" si="63"/>
        <v>#N/A</v>
      </c>
      <c r="AV73" s="8" t="e" cm="1">
        <f t="array" ref="AV73">IF(AS73="","", IFERROR(((IF(AS$5&lt;&gt;"", AS$5*AK$5, 0) + SUMPRODUCT(--(AS$6:AS73&lt;&gt;""), AS$6:AS73, (AK$6:AK73-AK$5:AK72)))/1000)/AR$3, ""))</f>
        <v>#N/A</v>
      </c>
      <c r="AW73" s="1">
        <f t="shared" si="64"/>
        <v>1380</v>
      </c>
      <c r="AX73" s="1">
        <f t="shared" si="65"/>
        <v>0</v>
      </c>
      <c r="BE73" s="1" t="e">
        <f t="shared" si="66"/>
        <v>#N/A</v>
      </c>
      <c r="BF73" s="1" t="e">
        <f t="shared" si="44"/>
        <v>#N/A</v>
      </c>
      <c r="BG73" s="1" t="e">
        <f t="shared" si="67"/>
        <v>#N/A</v>
      </c>
      <c r="BH73" s="8" t="e" cm="1">
        <f t="array" ref="BH73">IF(BE73="","", IFERROR(((IF(BE$5&lt;&gt;"", BE$5*AW$5, 0) + SUMPRODUCT(--(BE$6:BE73&lt;&gt;""), BE$6:BE73, (AW$6:AW73-AW$5:AW72)))/1000)/BD$3, ""))</f>
        <v>#N/A</v>
      </c>
      <c r="BI73" s="1">
        <f t="shared" si="68"/>
        <v>1380</v>
      </c>
      <c r="BJ73" s="1">
        <f t="shared" si="69"/>
        <v>0</v>
      </c>
      <c r="BQ73" s="1" t="e">
        <f t="shared" si="70"/>
        <v>#N/A</v>
      </c>
      <c r="BR73" s="1" t="e">
        <f t="shared" si="45"/>
        <v>#N/A</v>
      </c>
      <c r="BS73" s="1" t="e">
        <f t="shared" si="71"/>
        <v>#N/A</v>
      </c>
      <c r="BT73" s="8" t="e" cm="1">
        <f t="array" ref="BT73">IF(BQ73="","", IFERROR(((IF(BQ$5&lt;&gt;"", BQ$5*BI$5, 0) + SUMPRODUCT(--(BQ$6:BQ73&lt;&gt;""), BQ$6:BQ73, (BI$6:BI73-BI$5:BI72)))/1000)/BP$3, ""))</f>
        <v>#N/A</v>
      </c>
      <c r="BU73" s="1">
        <f t="shared" si="72"/>
        <v>1380</v>
      </c>
      <c r="BV73" s="1">
        <f t="shared" si="73"/>
        <v>0</v>
      </c>
      <c r="CC73" s="1" t="e">
        <f t="shared" si="74"/>
        <v>#N/A</v>
      </c>
      <c r="CD73" s="1" t="e">
        <f t="shared" si="46"/>
        <v>#N/A</v>
      </c>
      <c r="CE73" s="1" t="e">
        <f t="shared" si="75"/>
        <v>#N/A</v>
      </c>
      <c r="CF73" s="8" t="e" cm="1">
        <f t="array" ref="CF73">IF(CC73="","", IFERROR(((IF(CC$5&lt;&gt;"", CC$5*BU$5, 0) + SUMPRODUCT(--(CC$6:CC73&lt;&gt;""), CC$6:CC73, (BU$6:BU73-BU$5:BU72)))/1000)/CB$3, ""))</f>
        <v>#N/A</v>
      </c>
      <c r="CG73" s="1">
        <f t="shared" si="76"/>
        <v>1380</v>
      </c>
      <c r="CH73" s="1">
        <f t="shared" si="77"/>
        <v>0</v>
      </c>
      <c r="CO73" s="1" t="e">
        <f t="shared" si="78"/>
        <v>#N/A</v>
      </c>
      <c r="CP73" s="1" t="e">
        <f t="shared" si="47"/>
        <v>#N/A</v>
      </c>
      <c r="CQ73" s="1" t="e">
        <f t="shared" si="79"/>
        <v>#N/A</v>
      </c>
      <c r="CR73" s="8" t="e" cm="1">
        <f t="array" ref="CR73">IF(CO73="","", IFERROR(((IF(CO$5&lt;&gt;"", CO$5*CG$5, 0) + SUMPRODUCT(--(CO$6:CO73&lt;&gt;""), CO$6:CO73, (CG$6:CG73-CG$5:CG72)))/1000)/CN$3, ""))</f>
        <v>#N/A</v>
      </c>
    </row>
    <row r="74" spans="1:96" x14ac:dyDescent="0.25">
      <c r="A74" s="1">
        <f t="shared" si="48"/>
        <v>1400</v>
      </c>
      <c r="B74" s="1">
        <f t="shared" si="49"/>
        <v>0</v>
      </c>
      <c r="I74" s="1" t="e">
        <f t="shared" si="50"/>
        <v>#N/A</v>
      </c>
      <c r="J74" s="1" t="e">
        <f t="shared" si="40"/>
        <v>#N/A</v>
      </c>
      <c r="K74" s="1" t="e">
        <f t="shared" si="51"/>
        <v>#N/A</v>
      </c>
      <c r="L74" s="8" t="e" cm="1">
        <f t="array" ref="L74">IF(I74="","", IFERROR(((IF(I$5&lt;&gt;"", I$5*A$5, 0) + SUMPRODUCT(--(I$6:I74&lt;&gt;""), I$6:I74, (A$6:A74-A$5:A73)))/1000)/H$3, ""))</f>
        <v>#N/A</v>
      </c>
      <c r="M74" s="1">
        <f t="shared" si="52"/>
        <v>1400</v>
      </c>
      <c r="N74" s="1">
        <f t="shared" si="53"/>
        <v>0</v>
      </c>
      <c r="U74" s="1" t="e">
        <f t="shared" si="54"/>
        <v>#N/A</v>
      </c>
      <c r="V74" s="1" t="e">
        <f t="shared" si="41"/>
        <v>#N/A</v>
      </c>
      <c r="W74" s="1" t="e">
        <f t="shared" si="55"/>
        <v>#N/A</v>
      </c>
      <c r="X74" s="8" t="e" cm="1">
        <f t="array" ref="X74">IF(U74="","", IFERROR(((IF(U$5&lt;&gt;"", U$5*M$5, 0) + SUMPRODUCT(--(U$6:U74&lt;&gt;""), U$6:U74, (M$6:M74-M$5:M73)))/1000)/T$3, ""))</f>
        <v>#N/A</v>
      </c>
      <c r="Y74" s="1">
        <f t="shared" si="56"/>
        <v>1400</v>
      </c>
      <c r="Z74" s="1">
        <f t="shared" si="57"/>
        <v>0</v>
      </c>
      <c r="AG74" s="1" t="e">
        <f t="shared" si="58"/>
        <v>#N/A</v>
      </c>
      <c r="AH74" s="1" t="e">
        <f t="shared" si="42"/>
        <v>#N/A</v>
      </c>
      <c r="AI74" s="1" t="e">
        <f t="shared" si="59"/>
        <v>#N/A</v>
      </c>
      <c r="AJ74" s="8" t="e" cm="1">
        <f t="array" ref="AJ74">IF(AG74="","", IFERROR(((IF(AG$5&lt;&gt;"", AG$5*Y$5, 0) + SUMPRODUCT(--(AG$6:AG74&lt;&gt;""), AG$6:AG74, (Y$6:Y74-Y$5:Y73)))/1000)/AF$3, ""))</f>
        <v>#N/A</v>
      </c>
      <c r="AK74" s="1">
        <f t="shared" si="60"/>
        <v>1400</v>
      </c>
      <c r="AL74" s="1">
        <f t="shared" si="61"/>
        <v>0</v>
      </c>
      <c r="AS74" s="1" t="e">
        <f t="shared" si="62"/>
        <v>#N/A</v>
      </c>
      <c r="AT74" s="1" t="e">
        <f t="shared" si="43"/>
        <v>#N/A</v>
      </c>
      <c r="AU74" s="1" t="e">
        <f t="shared" si="63"/>
        <v>#N/A</v>
      </c>
      <c r="AV74" s="8" t="e" cm="1">
        <f t="array" ref="AV74">IF(AS74="","", IFERROR(((IF(AS$5&lt;&gt;"", AS$5*AK$5, 0) + SUMPRODUCT(--(AS$6:AS74&lt;&gt;""), AS$6:AS74, (AK$6:AK74-AK$5:AK73)))/1000)/AR$3, ""))</f>
        <v>#N/A</v>
      </c>
      <c r="AW74" s="1">
        <f t="shared" si="64"/>
        <v>1400</v>
      </c>
      <c r="AX74" s="1">
        <f t="shared" si="65"/>
        <v>0</v>
      </c>
      <c r="BE74" s="1" t="e">
        <f t="shared" si="66"/>
        <v>#N/A</v>
      </c>
      <c r="BF74" s="1" t="e">
        <f t="shared" si="44"/>
        <v>#N/A</v>
      </c>
      <c r="BG74" s="1" t="e">
        <f t="shared" si="67"/>
        <v>#N/A</v>
      </c>
      <c r="BH74" s="8" t="e" cm="1">
        <f t="array" ref="BH74">IF(BE74="","", IFERROR(((IF(BE$5&lt;&gt;"", BE$5*AW$5, 0) + SUMPRODUCT(--(BE$6:BE74&lt;&gt;""), BE$6:BE74, (AW$6:AW74-AW$5:AW73)))/1000)/BD$3, ""))</f>
        <v>#N/A</v>
      </c>
      <c r="BI74" s="1">
        <f t="shared" si="68"/>
        <v>1400</v>
      </c>
      <c r="BJ74" s="1">
        <f t="shared" si="69"/>
        <v>0</v>
      </c>
      <c r="BQ74" s="1" t="e">
        <f t="shared" si="70"/>
        <v>#N/A</v>
      </c>
      <c r="BR74" s="1" t="e">
        <f t="shared" si="45"/>
        <v>#N/A</v>
      </c>
      <c r="BS74" s="1" t="e">
        <f t="shared" si="71"/>
        <v>#N/A</v>
      </c>
      <c r="BT74" s="8" t="e" cm="1">
        <f t="array" ref="BT74">IF(BQ74="","", IFERROR(((IF(BQ$5&lt;&gt;"", BQ$5*BI$5, 0) + SUMPRODUCT(--(BQ$6:BQ74&lt;&gt;""), BQ$6:BQ74, (BI$6:BI74-BI$5:BI73)))/1000)/BP$3, ""))</f>
        <v>#N/A</v>
      </c>
      <c r="BU74" s="1">
        <f t="shared" si="72"/>
        <v>1400</v>
      </c>
      <c r="BV74" s="1">
        <f t="shared" si="73"/>
        <v>0</v>
      </c>
      <c r="CC74" s="1" t="e">
        <f t="shared" si="74"/>
        <v>#N/A</v>
      </c>
      <c r="CD74" s="1" t="e">
        <f t="shared" si="46"/>
        <v>#N/A</v>
      </c>
      <c r="CE74" s="1" t="e">
        <f t="shared" si="75"/>
        <v>#N/A</v>
      </c>
      <c r="CF74" s="8" t="e" cm="1">
        <f t="array" ref="CF74">IF(CC74="","", IFERROR(((IF(CC$5&lt;&gt;"", CC$5*BU$5, 0) + SUMPRODUCT(--(CC$6:CC74&lt;&gt;""), CC$6:CC74, (BU$6:BU74-BU$5:BU73)))/1000)/CB$3, ""))</f>
        <v>#N/A</v>
      </c>
      <c r="CG74" s="1">
        <f t="shared" si="76"/>
        <v>1400</v>
      </c>
      <c r="CH74" s="1">
        <f t="shared" si="77"/>
        <v>0</v>
      </c>
      <c r="CO74" s="1" t="e">
        <f t="shared" si="78"/>
        <v>#N/A</v>
      </c>
      <c r="CP74" s="1" t="e">
        <f t="shared" si="47"/>
        <v>#N/A</v>
      </c>
      <c r="CQ74" s="1" t="e">
        <f t="shared" si="79"/>
        <v>#N/A</v>
      </c>
      <c r="CR74" s="8" t="e" cm="1">
        <f t="array" ref="CR74">IF(CO74="","", IFERROR(((IF(CO$5&lt;&gt;"", CO$5*CG$5, 0) + SUMPRODUCT(--(CO$6:CO74&lt;&gt;""), CO$6:CO74, (CG$6:CG74-CG$5:CG73)))/1000)/CN$3, ""))</f>
        <v>#N/A</v>
      </c>
    </row>
    <row r="75" spans="1:96" x14ac:dyDescent="0.25">
      <c r="A75" s="1">
        <f t="shared" si="48"/>
        <v>1420</v>
      </c>
      <c r="B75" s="1">
        <f t="shared" si="49"/>
        <v>0</v>
      </c>
      <c r="I75" s="1" t="e">
        <f t="shared" si="50"/>
        <v>#N/A</v>
      </c>
      <c r="J75" s="1" t="e">
        <f t="shared" si="40"/>
        <v>#N/A</v>
      </c>
      <c r="K75" s="1" t="e">
        <f t="shared" si="51"/>
        <v>#N/A</v>
      </c>
      <c r="L75" s="8" t="e" cm="1">
        <f t="array" ref="L75">IF(I75="","", IFERROR(((IF(I$5&lt;&gt;"", I$5*A$5, 0) + SUMPRODUCT(--(I$6:I75&lt;&gt;""), I$6:I75, (A$6:A75-A$5:A74)))/1000)/H$3, ""))</f>
        <v>#N/A</v>
      </c>
      <c r="M75" s="1">
        <f t="shared" si="52"/>
        <v>1420</v>
      </c>
      <c r="N75" s="1">
        <f t="shared" si="53"/>
        <v>0</v>
      </c>
      <c r="U75" s="1" t="e">
        <f t="shared" si="54"/>
        <v>#N/A</v>
      </c>
      <c r="V75" s="1" t="e">
        <f t="shared" si="41"/>
        <v>#N/A</v>
      </c>
      <c r="W75" s="1" t="e">
        <f t="shared" si="55"/>
        <v>#N/A</v>
      </c>
      <c r="X75" s="8" t="e" cm="1">
        <f t="array" ref="X75">IF(U75="","", IFERROR(((IF(U$5&lt;&gt;"", U$5*M$5, 0) + SUMPRODUCT(--(U$6:U75&lt;&gt;""), U$6:U75, (M$6:M75-M$5:M74)))/1000)/T$3, ""))</f>
        <v>#N/A</v>
      </c>
      <c r="Y75" s="1">
        <f t="shared" si="56"/>
        <v>1420</v>
      </c>
      <c r="Z75" s="1">
        <f t="shared" si="57"/>
        <v>0</v>
      </c>
      <c r="AG75" s="1" t="e">
        <f t="shared" si="58"/>
        <v>#N/A</v>
      </c>
      <c r="AH75" s="1" t="e">
        <f t="shared" si="42"/>
        <v>#N/A</v>
      </c>
      <c r="AI75" s="1" t="e">
        <f t="shared" si="59"/>
        <v>#N/A</v>
      </c>
      <c r="AJ75" s="8" t="e" cm="1">
        <f t="array" ref="AJ75">IF(AG75="","", IFERROR(((IF(AG$5&lt;&gt;"", AG$5*Y$5, 0) + SUMPRODUCT(--(AG$6:AG75&lt;&gt;""), AG$6:AG75, (Y$6:Y75-Y$5:Y74)))/1000)/AF$3, ""))</f>
        <v>#N/A</v>
      </c>
      <c r="AK75" s="1">
        <f t="shared" si="60"/>
        <v>1420</v>
      </c>
      <c r="AL75" s="1">
        <f t="shared" si="61"/>
        <v>0</v>
      </c>
      <c r="AS75" s="1" t="e">
        <f t="shared" si="62"/>
        <v>#N/A</v>
      </c>
      <c r="AT75" s="1" t="e">
        <f t="shared" si="43"/>
        <v>#N/A</v>
      </c>
      <c r="AU75" s="1" t="e">
        <f t="shared" si="63"/>
        <v>#N/A</v>
      </c>
      <c r="AV75" s="8" t="e" cm="1">
        <f t="array" ref="AV75">IF(AS75="","", IFERROR(((IF(AS$5&lt;&gt;"", AS$5*AK$5, 0) + SUMPRODUCT(--(AS$6:AS75&lt;&gt;""), AS$6:AS75, (AK$6:AK75-AK$5:AK74)))/1000)/AR$3, ""))</f>
        <v>#N/A</v>
      </c>
      <c r="AW75" s="1">
        <f t="shared" si="64"/>
        <v>1420</v>
      </c>
      <c r="AX75" s="1">
        <f t="shared" si="65"/>
        <v>0</v>
      </c>
      <c r="BE75" s="1" t="e">
        <f t="shared" si="66"/>
        <v>#N/A</v>
      </c>
      <c r="BF75" s="1" t="e">
        <f t="shared" si="44"/>
        <v>#N/A</v>
      </c>
      <c r="BG75" s="1" t="e">
        <f t="shared" si="67"/>
        <v>#N/A</v>
      </c>
      <c r="BH75" s="8" t="e" cm="1">
        <f t="array" ref="BH75">IF(BE75="","", IFERROR(((IF(BE$5&lt;&gt;"", BE$5*AW$5, 0) + SUMPRODUCT(--(BE$6:BE75&lt;&gt;""), BE$6:BE75, (AW$6:AW75-AW$5:AW74)))/1000)/BD$3, ""))</f>
        <v>#N/A</v>
      </c>
      <c r="BI75" s="1">
        <f t="shared" si="68"/>
        <v>1420</v>
      </c>
      <c r="BJ75" s="1">
        <f t="shared" si="69"/>
        <v>0</v>
      </c>
      <c r="BQ75" s="1" t="e">
        <f t="shared" si="70"/>
        <v>#N/A</v>
      </c>
      <c r="BR75" s="1" t="e">
        <f t="shared" si="45"/>
        <v>#N/A</v>
      </c>
      <c r="BS75" s="1" t="e">
        <f t="shared" si="71"/>
        <v>#N/A</v>
      </c>
      <c r="BT75" s="8" t="e" cm="1">
        <f t="array" ref="BT75">IF(BQ75="","", IFERROR(((IF(BQ$5&lt;&gt;"", BQ$5*BI$5, 0) + SUMPRODUCT(--(BQ$6:BQ75&lt;&gt;""), BQ$6:BQ75, (BI$6:BI75-BI$5:BI74)))/1000)/BP$3, ""))</f>
        <v>#N/A</v>
      </c>
      <c r="BU75" s="1">
        <f t="shared" si="72"/>
        <v>1420</v>
      </c>
      <c r="BV75" s="1">
        <f t="shared" si="73"/>
        <v>0</v>
      </c>
      <c r="CC75" s="1" t="e">
        <f t="shared" si="74"/>
        <v>#N/A</v>
      </c>
      <c r="CD75" s="1" t="e">
        <f t="shared" si="46"/>
        <v>#N/A</v>
      </c>
      <c r="CE75" s="1" t="e">
        <f t="shared" si="75"/>
        <v>#N/A</v>
      </c>
      <c r="CF75" s="8" t="e" cm="1">
        <f t="array" ref="CF75">IF(CC75="","", IFERROR(((IF(CC$5&lt;&gt;"", CC$5*BU$5, 0) + SUMPRODUCT(--(CC$6:CC75&lt;&gt;""), CC$6:CC75, (BU$6:BU75-BU$5:BU74)))/1000)/CB$3, ""))</f>
        <v>#N/A</v>
      </c>
      <c r="CG75" s="1">
        <f t="shared" si="76"/>
        <v>1420</v>
      </c>
      <c r="CH75" s="1">
        <f t="shared" si="77"/>
        <v>0</v>
      </c>
      <c r="CO75" s="1" t="e">
        <f t="shared" si="78"/>
        <v>#N/A</v>
      </c>
      <c r="CP75" s="1" t="e">
        <f t="shared" si="47"/>
        <v>#N/A</v>
      </c>
      <c r="CQ75" s="1" t="e">
        <f t="shared" si="79"/>
        <v>#N/A</v>
      </c>
      <c r="CR75" s="8" t="e" cm="1">
        <f t="array" ref="CR75">IF(CO75="","", IFERROR(((IF(CO$5&lt;&gt;"", CO$5*CG$5, 0) + SUMPRODUCT(--(CO$6:CO75&lt;&gt;""), CO$6:CO75, (CG$6:CG75-CG$5:CG74)))/1000)/CN$3, ""))</f>
        <v>#N/A</v>
      </c>
    </row>
    <row r="76" spans="1:96" x14ac:dyDescent="0.25">
      <c r="A76" s="1">
        <f t="shared" si="48"/>
        <v>1440</v>
      </c>
      <c r="B76" s="1">
        <f t="shared" si="49"/>
        <v>0</v>
      </c>
      <c r="I76" s="1" t="e">
        <f t="shared" si="50"/>
        <v>#N/A</v>
      </c>
      <c r="J76" s="1" t="e">
        <f t="shared" si="40"/>
        <v>#N/A</v>
      </c>
      <c r="K76" s="1" t="e">
        <f t="shared" si="51"/>
        <v>#N/A</v>
      </c>
      <c r="L76" s="8" t="e" cm="1">
        <f t="array" ref="L76">IF(I76="","", IFERROR(((IF(I$5&lt;&gt;"", I$5*A$5, 0) + SUMPRODUCT(--(I$6:I76&lt;&gt;""), I$6:I76, (A$6:A76-A$5:A75)))/1000)/H$3, ""))</f>
        <v>#N/A</v>
      </c>
      <c r="M76" s="1">
        <f t="shared" si="52"/>
        <v>1440</v>
      </c>
      <c r="N76" s="1">
        <f t="shared" si="53"/>
        <v>0</v>
      </c>
      <c r="U76" s="1" t="e">
        <f t="shared" si="54"/>
        <v>#N/A</v>
      </c>
      <c r="V76" s="1" t="e">
        <f t="shared" si="41"/>
        <v>#N/A</v>
      </c>
      <c r="W76" s="1" t="e">
        <f t="shared" si="55"/>
        <v>#N/A</v>
      </c>
      <c r="X76" s="8" t="e" cm="1">
        <f t="array" ref="X76">IF(U76="","", IFERROR(((IF(U$5&lt;&gt;"", U$5*M$5, 0) + SUMPRODUCT(--(U$6:U76&lt;&gt;""), U$6:U76, (M$6:M76-M$5:M75)))/1000)/T$3, ""))</f>
        <v>#N/A</v>
      </c>
      <c r="Y76" s="1">
        <f t="shared" si="56"/>
        <v>1440</v>
      </c>
      <c r="Z76" s="1">
        <f t="shared" si="57"/>
        <v>0</v>
      </c>
      <c r="AG76" s="1" t="e">
        <f t="shared" si="58"/>
        <v>#N/A</v>
      </c>
      <c r="AH76" s="1" t="e">
        <f t="shared" si="42"/>
        <v>#N/A</v>
      </c>
      <c r="AI76" s="1" t="e">
        <f t="shared" si="59"/>
        <v>#N/A</v>
      </c>
      <c r="AJ76" s="8" t="e" cm="1">
        <f t="array" ref="AJ76">IF(AG76="","", IFERROR(((IF(AG$5&lt;&gt;"", AG$5*Y$5, 0) + SUMPRODUCT(--(AG$6:AG76&lt;&gt;""), AG$6:AG76, (Y$6:Y76-Y$5:Y75)))/1000)/AF$3, ""))</f>
        <v>#N/A</v>
      </c>
      <c r="AK76" s="1">
        <f t="shared" si="60"/>
        <v>1440</v>
      </c>
      <c r="AL76" s="1">
        <f t="shared" si="61"/>
        <v>0</v>
      </c>
      <c r="AS76" s="1" t="e">
        <f t="shared" si="62"/>
        <v>#N/A</v>
      </c>
      <c r="AT76" s="1" t="e">
        <f t="shared" si="43"/>
        <v>#N/A</v>
      </c>
      <c r="AU76" s="1" t="e">
        <f t="shared" si="63"/>
        <v>#N/A</v>
      </c>
      <c r="AV76" s="8" t="e" cm="1">
        <f t="array" ref="AV76">IF(AS76="","", IFERROR(((IF(AS$5&lt;&gt;"", AS$5*AK$5, 0) + SUMPRODUCT(--(AS$6:AS76&lt;&gt;""), AS$6:AS76, (AK$6:AK76-AK$5:AK75)))/1000)/AR$3, ""))</f>
        <v>#N/A</v>
      </c>
      <c r="AW76" s="1">
        <f t="shared" si="64"/>
        <v>1440</v>
      </c>
      <c r="AX76" s="1">
        <f t="shared" si="65"/>
        <v>0</v>
      </c>
      <c r="BE76" s="1" t="e">
        <f t="shared" si="66"/>
        <v>#N/A</v>
      </c>
      <c r="BF76" s="1" t="e">
        <f t="shared" si="44"/>
        <v>#N/A</v>
      </c>
      <c r="BG76" s="1" t="e">
        <f t="shared" si="67"/>
        <v>#N/A</v>
      </c>
      <c r="BH76" s="8" t="e" cm="1">
        <f t="array" ref="BH76">IF(BE76="","", IFERROR(((IF(BE$5&lt;&gt;"", BE$5*AW$5, 0) + SUMPRODUCT(--(BE$6:BE76&lt;&gt;""), BE$6:BE76, (AW$6:AW76-AW$5:AW75)))/1000)/BD$3, ""))</f>
        <v>#N/A</v>
      </c>
      <c r="BI76" s="1">
        <f t="shared" si="68"/>
        <v>1440</v>
      </c>
      <c r="BJ76" s="1">
        <f t="shared" si="69"/>
        <v>0</v>
      </c>
      <c r="BQ76" s="1" t="e">
        <f t="shared" si="70"/>
        <v>#N/A</v>
      </c>
      <c r="BR76" s="1" t="e">
        <f t="shared" si="45"/>
        <v>#N/A</v>
      </c>
      <c r="BS76" s="1" t="e">
        <f t="shared" si="71"/>
        <v>#N/A</v>
      </c>
      <c r="BT76" s="8" t="e" cm="1">
        <f t="array" ref="BT76">IF(BQ76="","", IFERROR(((IF(BQ$5&lt;&gt;"", BQ$5*BI$5, 0) + SUMPRODUCT(--(BQ$6:BQ76&lt;&gt;""), BQ$6:BQ76, (BI$6:BI76-BI$5:BI75)))/1000)/BP$3, ""))</f>
        <v>#N/A</v>
      </c>
      <c r="BU76" s="1">
        <f t="shared" si="72"/>
        <v>1440</v>
      </c>
      <c r="BV76" s="1">
        <f t="shared" si="73"/>
        <v>0</v>
      </c>
      <c r="CC76" s="1" t="e">
        <f t="shared" si="74"/>
        <v>#N/A</v>
      </c>
      <c r="CD76" s="1" t="e">
        <f t="shared" si="46"/>
        <v>#N/A</v>
      </c>
      <c r="CE76" s="1" t="e">
        <f t="shared" si="75"/>
        <v>#N/A</v>
      </c>
      <c r="CF76" s="8" t="e" cm="1">
        <f t="array" ref="CF76">IF(CC76="","", IFERROR(((IF(CC$5&lt;&gt;"", CC$5*BU$5, 0) + SUMPRODUCT(--(CC$6:CC76&lt;&gt;""), CC$6:CC76, (BU$6:BU76-BU$5:BU75)))/1000)/CB$3, ""))</f>
        <v>#N/A</v>
      </c>
      <c r="CG76" s="1">
        <f t="shared" si="76"/>
        <v>1440</v>
      </c>
      <c r="CH76" s="1">
        <f t="shared" si="77"/>
        <v>0</v>
      </c>
      <c r="CO76" s="1" t="e">
        <f t="shared" si="78"/>
        <v>#N/A</v>
      </c>
      <c r="CP76" s="1" t="e">
        <f t="shared" si="47"/>
        <v>#N/A</v>
      </c>
      <c r="CQ76" s="1" t="e">
        <f t="shared" si="79"/>
        <v>#N/A</v>
      </c>
      <c r="CR76" s="8" t="e" cm="1">
        <f t="array" ref="CR76">IF(CO76="","", IFERROR(((IF(CO$5&lt;&gt;"", CO$5*CG$5, 0) + SUMPRODUCT(--(CO$6:CO76&lt;&gt;""), CO$6:CO76, (CG$6:CG76-CG$5:CG75)))/1000)/CN$3, ""))</f>
        <v>#N/A</v>
      </c>
    </row>
    <row r="77" spans="1:96" x14ac:dyDescent="0.25">
      <c r="A77" s="1">
        <f t="shared" si="48"/>
        <v>1460</v>
      </c>
      <c r="B77" s="1">
        <f t="shared" si="49"/>
        <v>0</v>
      </c>
      <c r="I77" s="1" t="e">
        <f t="shared" si="50"/>
        <v>#N/A</v>
      </c>
      <c r="J77" s="1" t="e">
        <f t="shared" si="40"/>
        <v>#N/A</v>
      </c>
      <c r="K77" s="1" t="e">
        <f t="shared" si="51"/>
        <v>#N/A</v>
      </c>
      <c r="L77" s="8" t="e" cm="1">
        <f t="array" ref="L77">IF(I77="","", IFERROR(((IF(I$5&lt;&gt;"", I$5*A$5, 0) + SUMPRODUCT(--(I$6:I77&lt;&gt;""), I$6:I77, (A$6:A77-A$5:A76)))/1000)/H$3, ""))</f>
        <v>#N/A</v>
      </c>
      <c r="M77" s="1">
        <f t="shared" si="52"/>
        <v>1460</v>
      </c>
      <c r="N77" s="1">
        <f t="shared" si="53"/>
        <v>0</v>
      </c>
      <c r="U77" s="1" t="e">
        <f t="shared" si="54"/>
        <v>#N/A</v>
      </c>
      <c r="V77" s="1" t="e">
        <f t="shared" si="41"/>
        <v>#N/A</v>
      </c>
      <c r="W77" s="1" t="e">
        <f t="shared" si="55"/>
        <v>#N/A</v>
      </c>
      <c r="X77" s="8" t="e" cm="1">
        <f t="array" ref="X77">IF(U77="","", IFERROR(((IF(U$5&lt;&gt;"", U$5*M$5, 0) + SUMPRODUCT(--(U$6:U77&lt;&gt;""), U$6:U77, (M$6:M77-M$5:M76)))/1000)/T$3, ""))</f>
        <v>#N/A</v>
      </c>
      <c r="Y77" s="1">
        <f t="shared" si="56"/>
        <v>1460</v>
      </c>
      <c r="Z77" s="1">
        <f t="shared" si="57"/>
        <v>0</v>
      </c>
      <c r="AG77" s="1" t="e">
        <f t="shared" si="58"/>
        <v>#N/A</v>
      </c>
      <c r="AH77" s="1" t="e">
        <f t="shared" si="42"/>
        <v>#N/A</v>
      </c>
      <c r="AI77" s="1" t="e">
        <f t="shared" si="59"/>
        <v>#N/A</v>
      </c>
      <c r="AJ77" s="8" t="e" cm="1">
        <f t="array" ref="AJ77">IF(AG77="","", IFERROR(((IF(AG$5&lt;&gt;"", AG$5*Y$5, 0) + SUMPRODUCT(--(AG$6:AG77&lt;&gt;""), AG$6:AG77, (Y$6:Y77-Y$5:Y76)))/1000)/AF$3, ""))</f>
        <v>#N/A</v>
      </c>
      <c r="AK77" s="1">
        <f t="shared" si="60"/>
        <v>1460</v>
      </c>
      <c r="AL77" s="1">
        <f t="shared" si="61"/>
        <v>0</v>
      </c>
      <c r="AS77" s="1" t="e">
        <f t="shared" si="62"/>
        <v>#N/A</v>
      </c>
      <c r="AT77" s="1" t="e">
        <f t="shared" si="43"/>
        <v>#N/A</v>
      </c>
      <c r="AU77" s="1" t="e">
        <f t="shared" si="63"/>
        <v>#N/A</v>
      </c>
      <c r="AV77" s="8" t="e" cm="1">
        <f t="array" ref="AV77">IF(AS77="","", IFERROR(((IF(AS$5&lt;&gt;"", AS$5*AK$5, 0) + SUMPRODUCT(--(AS$6:AS77&lt;&gt;""), AS$6:AS77, (AK$6:AK77-AK$5:AK76)))/1000)/AR$3, ""))</f>
        <v>#N/A</v>
      </c>
      <c r="AW77" s="1">
        <f t="shared" si="64"/>
        <v>1460</v>
      </c>
      <c r="AX77" s="1">
        <f t="shared" si="65"/>
        <v>0</v>
      </c>
      <c r="BE77" s="1" t="e">
        <f t="shared" si="66"/>
        <v>#N/A</v>
      </c>
      <c r="BF77" s="1" t="e">
        <f t="shared" si="44"/>
        <v>#N/A</v>
      </c>
      <c r="BG77" s="1" t="e">
        <f t="shared" si="67"/>
        <v>#N/A</v>
      </c>
      <c r="BH77" s="8" t="e" cm="1">
        <f t="array" ref="BH77">IF(BE77="","", IFERROR(((IF(BE$5&lt;&gt;"", BE$5*AW$5, 0) + SUMPRODUCT(--(BE$6:BE77&lt;&gt;""), BE$6:BE77, (AW$6:AW77-AW$5:AW76)))/1000)/BD$3, ""))</f>
        <v>#N/A</v>
      </c>
      <c r="BI77" s="1">
        <f t="shared" si="68"/>
        <v>1460</v>
      </c>
      <c r="BJ77" s="1">
        <f t="shared" si="69"/>
        <v>0</v>
      </c>
      <c r="BQ77" s="1" t="e">
        <f t="shared" si="70"/>
        <v>#N/A</v>
      </c>
      <c r="BR77" s="1" t="e">
        <f t="shared" si="45"/>
        <v>#N/A</v>
      </c>
      <c r="BS77" s="1" t="e">
        <f t="shared" si="71"/>
        <v>#N/A</v>
      </c>
      <c r="BT77" s="8" t="e" cm="1">
        <f t="array" ref="BT77">IF(BQ77="","", IFERROR(((IF(BQ$5&lt;&gt;"", BQ$5*BI$5, 0) + SUMPRODUCT(--(BQ$6:BQ77&lt;&gt;""), BQ$6:BQ77, (BI$6:BI77-BI$5:BI76)))/1000)/BP$3, ""))</f>
        <v>#N/A</v>
      </c>
      <c r="BU77" s="1">
        <f t="shared" si="72"/>
        <v>1460</v>
      </c>
      <c r="BV77" s="1">
        <f t="shared" si="73"/>
        <v>0</v>
      </c>
      <c r="CC77" s="1" t="e">
        <f t="shared" si="74"/>
        <v>#N/A</v>
      </c>
      <c r="CD77" s="1" t="e">
        <f t="shared" si="46"/>
        <v>#N/A</v>
      </c>
      <c r="CE77" s="1" t="e">
        <f t="shared" si="75"/>
        <v>#N/A</v>
      </c>
      <c r="CF77" s="8" t="e" cm="1">
        <f t="array" ref="CF77">IF(CC77="","", IFERROR(((IF(CC$5&lt;&gt;"", CC$5*BU$5, 0) + SUMPRODUCT(--(CC$6:CC77&lt;&gt;""), CC$6:CC77, (BU$6:BU77-BU$5:BU76)))/1000)/CB$3, ""))</f>
        <v>#N/A</v>
      </c>
      <c r="CG77" s="1">
        <f t="shared" si="76"/>
        <v>1460</v>
      </c>
      <c r="CH77" s="1">
        <f t="shared" si="77"/>
        <v>0</v>
      </c>
      <c r="CO77" s="1" t="e">
        <f t="shared" si="78"/>
        <v>#N/A</v>
      </c>
      <c r="CP77" s="1" t="e">
        <f t="shared" si="47"/>
        <v>#N/A</v>
      </c>
      <c r="CQ77" s="1" t="e">
        <f t="shared" si="79"/>
        <v>#N/A</v>
      </c>
      <c r="CR77" s="8" t="e" cm="1">
        <f t="array" ref="CR77">IF(CO77="","", IFERROR(((IF(CO$5&lt;&gt;"", CO$5*CG$5, 0) + SUMPRODUCT(--(CO$6:CO77&lt;&gt;""), CO$6:CO77, (CG$6:CG77-CG$5:CG76)))/1000)/CN$3, ""))</f>
        <v>#N/A</v>
      </c>
    </row>
    <row r="78" spans="1:96" x14ac:dyDescent="0.25">
      <c r="A78" s="1">
        <f t="shared" si="48"/>
        <v>1480</v>
      </c>
      <c r="B78" s="1">
        <f t="shared" si="49"/>
        <v>0</v>
      </c>
      <c r="I78" s="1" t="e">
        <f t="shared" si="50"/>
        <v>#N/A</v>
      </c>
      <c r="J78" s="1" t="e">
        <f t="shared" si="40"/>
        <v>#N/A</v>
      </c>
      <c r="K78" s="1" t="e">
        <f t="shared" si="51"/>
        <v>#N/A</v>
      </c>
      <c r="L78" s="8" t="e" cm="1">
        <f t="array" ref="L78">IF(I78="","", IFERROR(((IF(I$5&lt;&gt;"", I$5*A$5, 0) + SUMPRODUCT(--(I$6:I78&lt;&gt;""), I$6:I78, (A$6:A78-A$5:A77)))/1000)/H$3, ""))</f>
        <v>#N/A</v>
      </c>
      <c r="M78" s="1">
        <f t="shared" si="52"/>
        <v>1480</v>
      </c>
      <c r="N78" s="1">
        <f t="shared" si="53"/>
        <v>0</v>
      </c>
      <c r="U78" s="1" t="e">
        <f t="shared" si="54"/>
        <v>#N/A</v>
      </c>
      <c r="V78" s="1" t="e">
        <f t="shared" si="41"/>
        <v>#N/A</v>
      </c>
      <c r="W78" s="1" t="e">
        <f t="shared" si="55"/>
        <v>#N/A</v>
      </c>
      <c r="X78" s="8" t="e" cm="1">
        <f t="array" ref="X78">IF(U78="","", IFERROR(((IF(U$5&lt;&gt;"", U$5*M$5, 0) + SUMPRODUCT(--(U$6:U78&lt;&gt;""), U$6:U78, (M$6:M78-M$5:M77)))/1000)/T$3, ""))</f>
        <v>#N/A</v>
      </c>
      <c r="Y78" s="1">
        <f t="shared" si="56"/>
        <v>1480</v>
      </c>
      <c r="Z78" s="1">
        <f t="shared" si="57"/>
        <v>0</v>
      </c>
      <c r="AG78" s="1" t="e">
        <f t="shared" si="58"/>
        <v>#N/A</v>
      </c>
      <c r="AH78" s="1" t="e">
        <f t="shared" si="42"/>
        <v>#N/A</v>
      </c>
      <c r="AI78" s="1" t="e">
        <f t="shared" si="59"/>
        <v>#N/A</v>
      </c>
      <c r="AJ78" s="8" t="e" cm="1">
        <f t="array" ref="AJ78">IF(AG78="","", IFERROR(((IF(AG$5&lt;&gt;"", AG$5*Y$5, 0) + SUMPRODUCT(--(AG$6:AG78&lt;&gt;""), AG$6:AG78, (Y$6:Y78-Y$5:Y77)))/1000)/AF$3, ""))</f>
        <v>#N/A</v>
      </c>
      <c r="AK78" s="1">
        <f t="shared" si="60"/>
        <v>1480</v>
      </c>
      <c r="AL78" s="1">
        <f t="shared" si="61"/>
        <v>0</v>
      </c>
      <c r="AS78" s="1" t="e">
        <f t="shared" si="62"/>
        <v>#N/A</v>
      </c>
      <c r="AT78" s="1" t="e">
        <f t="shared" si="43"/>
        <v>#N/A</v>
      </c>
      <c r="AU78" s="1" t="e">
        <f t="shared" si="63"/>
        <v>#N/A</v>
      </c>
      <c r="AV78" s="8" t="e" cm="1">
        <f t="array" ref="AV78">IF(AS78="","", IFERROR(((IF(AS$5&lt;&gt;"", AS$5*AK$5, 0) + SUMPRODUCT(--(AS$6:AS78&lt;&gt;""), AS$6:AS78, (AK$6:AK78-AK$5:AK77)))/1000)/AR$3, ""))</f>
        <v>#N/A</v>
      </c>
      <c r="AW78" s="1">
        <f t="shared" si="64"/>
        <v>1480</v>
      </c>
      <c r="AX78" s="1">
        <f t="shared" si="65"/>
        <v>0</v>
      </c>
      <c r="BE78" s="1" t="e">
        <f t="shared" si="66"/>
        <v>#N/A</v>
      </c>
      <c r="BF78" s="1" t="e">
        <f t="shared" si="44"/>
        <v>#N/A</v>
      </c>
      <c r="BG78" s="1" t="e">
        <f t="shared" si="67"/>
        <v>#N/A</v>
      </c>
      <c r="BH78" s="8" t="e" cm="1">
        <f t="array" ref="BH78">IF(BE78="","", IFERROR(((IF(BE$5&lt;&gt;"", BE$5*AW$5, 0) + SUMPRODUCT(--(BE$6:BE78&lt;&gt;""), BE$6:BE78, (AW$6:AW78-AW$5:AW77)))/1000)/BD$3, ""))</f>
        <v>#N/A</v>
      </c>
      <c r="BI78" s="1">
        <f t="shared" si="68"/>
        <v>1480</v>
      </c>
      <c r="BJ78" s="1">
        <f t="shared" si="69"/>
        <v>0</v>
      </c>
      <c r="BQ78" s="1" t="e">
        <f t="shared" si="70"/>
        <v>#N/A</v>
      </c>
      <c r="BR78" s="1" t="e">
        <f t="shared" si="45"/>
        <v>#N/A</v>
      </c>
      <c r="BS78" s="1" t="e">
        <f t="shared" si="71"/>
        <v>#N/A</v>
      </c>
      <c r="BT78" s="8" t="e" cm="1">
        <f t="array" ref="BT78">IF(BQ78="","", IFERROR(((IF(BQ$5&lt;&gt;"", BQ$5*BI$5, 0) + SUMPRODUCT(--(BQ$6:BQ78&lt;&gt;""), BQ$6:BQ78, (BI$6:BI78-BI$5:BI77)))/1000)/BP$3, ""))</f>
        <v>#N/A</v>
      </c>
      <c r="BU78" s="1">
        <f t="shared" si="72"/>
        <v>1480</v>
      </c>
      <c r="BV78" s="1">
        <f t="shared" si="73"/>
        <v>0</v>
      </c>
      <c r="CC78" s="1" t="e">
        <f t="shared" si="74"/>
        <v>#N/A</v>
      </c>
      <c r="CD78" s="1" t="e">
        <f t="shared" si="46"/>
        <v>#N/A</v>
      </c>
      <c r="CE78" s="1" t="e">
        <f t="shared" si="75"/>
        <v>#N/A</v>
      </c>
      <c r="CF78" s="8" t="e" cm="1">
        <f t="array" ref="CF78">IF(CC78="","", IFERROR(((IF(CC$5&lt;&gt;"", CC$5*BU$5, 0) + SUMPRODUCT(--(CC$6:CC78&lt;&gt;""), CC$6:CC78, (BU$6:BU78-BU$5:BU77)))/1000)/CB$3, ""))</f>
        <v>#N/A</v>
      </c>
      <c r="CG78" s="1">
        <f t="shared" si="76"/>
        <v>1480</v>
      </c>
      <c r="CH78" s="1">
        <f t="shared" si="77"/>
        <v>0</v>
      </c>
      <c r="CO78" s="1" t="e">
        <f t="shared" si="78"/>
        <v>#N/A</v>
      </c>
      <c r="CP78" s="1" t="e">
        <f t="shared" si="47"/>
        <v>#N/A</v>
      </c>
      <c r="CQ78" s="1" t="e">
        <f t="shared" si="79"/>
        <v>#N/A</v>
      </c>
      <c r="CR78" s="8" t="e" cm="1">
        <f t="array" ref="CR78">IF(CO78="","", IFERROR(((IF(CO$5&lt;&gt;"", CO$5*CG$5, 0) + SUMPRODUCT(--(CO$6:CO78&lt;&gt;""), CO$6:CO78, (CG$6:CG78-CG$5:CG77)))/1000)/CN$3, ""))</f>
        <v>#N/A</v>
      </c>
    </row>
    <row r="79" spans="1:96" x14ac:dyDescent="0.25">
      <c r="A79" s="1">
        <f t="shared" si="48"/>
        <v>1500</v>
      </c>
      <c r="B79" s="1">
        <f t="shared" si="49"/>
        <v>0</v>
      </c>
      <c r="I79" s="1" t="e">
        <f t="shared" si="50"/>
        <v>#N/A</v>
      </c>
      <c r="J79" s="1" t="e">
        <f t="shared" si="40"/>
        <v>#N/A</v>
      </c>
      <c r="K79" s="1" t="e">
        <f t="shared" si="51"/>
        <v>#N/A</v>
      </c>
      <c r="L79" s="8" t="e" cm="1">
        <f t="array" ref="L79">IF(I79="","", IFERROR(((IF(I$5&lt;&gt;"", I$5*A$5, 0) + SUMPRODUCT(--(I$6:I79&lt;&gt;""), I$6:I79, (A$6:A79-A$5:A78)))/1000)/H$3, ""))</f>
        <v>#N/A</v>
      </c>
      <c r="M79" s="1">
        <f t="shared" si="52"/>
        <v>1500</v>
      </c>
      <c r="N79" s="1">
        <f t="shared" si="53"/>
        <v>0</v>
      </c>
      <c r="U79" s="1" t="e">
        <f t="shared" si="54"/>
        <v>#N/A</v>
      </c>
      <c r="V79" s="1" t="e">
        <f t="shared" si="41"/>
        <v>#N/A</v>
      </c>
      <c r="W79" s="1" t="e">
        <f t="shared" si="55"/>
        <v>#N/A</v>
      </c>
      <c r="X79" s="8" t="e" cm="1">
        <f t="array" ref="X79">IF(U79="","", IFERROR(((IF(U$5&lt;&gt;"", U$5*M$5, 0) + SUMPRODUCT(--(U$6:U79&lt;&gt;""), U$6:U79, (M$6:M79-M$5:M78)))/1000)/T$3, ""))</f>
        <v>#N/A</v>
      </c>
      <c r="Y79" s="1">
        <f t="shared" si="56"/>
        <v>1500</v>
      </c>
      <c r="Z79" s="1">
        <f t="shared" si="57"/>
        <v>0</v>
      </c>
      <c r="AG79" s="1" t="e">
        <f t="shared" si="58"/>
        <v>#N/A</v>
      </c>
      <c r="AH79" s="1" t="e">
        <f t="shared" si="42"/>
        <v>#N/A</v>
      </c>
      <c r="AI79" s="1" t="e">
        <f t="shared" si="59"/>
        <v>#N/A</v>
      </c>
      <c r="AJ79" s="8" t="e" cm="1">
        <f t="array" ref="AJ79">IF(AG79="","", IFERROR(((IF(AG$5&lt;&gt;"", AG$5*Y$5, 0) + SUMPRODUCT(--(AG$6:AG79&lt;&gt;""), AG$6:AG79, (Y$6:Y79-Y$5:Y78)))/1000)/AF$3, ""))</f>
        <v>#N/A</v>
      </c>
      <c r="AK79" s="1">
        <f t="shared" si="60"/>
        <v>1500</v>
      </c>
      <c r="AL79" s="1">
        <f t="shared" si="61"/>
        <v>0</v>
      </c>
      <c r="AS79" s="1" t="e">
        <f t="shared" si="62"/>
        <v>#N/A</v>
      </c>
      <c r="AT79" s="1" t="e">
        <f t="shared" si="43"/>
        <v>#N/A</v>
      </c>
      <c r="AU79" s="1" t="e">
        <f t="shared" si="63"/>
        <v>#N/A</v>
      </c>
      <c r="AV79" s="8" t="e" cm="1">
        <f t="array" ref="AV79">IF(AS79="","", IFERROR(((IF(AS$5&lt;&gt;"", AS$5*AK$5, 0) + SUMPRODUCT(--(AS$6:AS79&lt;&gt;""), AS$6:AS79, (AK$6:AK79-AK$5:AK78)))/1000)/AR$3, ""))</f>
        <v>#N/A</v>
      </c>
      <c r="AW79" s="1">
        <f t="shared" si="64"/>
        <v>1500</v>
      </c>
      <c r="AX79" s="1">
        <f t="shared" si="65"/>
        <v>0</v>
      </c>
      <c r="BE79" s="1" t="e">
        <f t="shared" si="66"/>
        <v>#N/A</v>
      </c>
      <c r="BF79" s="1" t="e">
        <f t="shared" si="44"/>
        <v>#N/A</v>
      </c>
      <c r="BG79" s="1" t="e">
        <f t="shared" si="67"/>
        <v>#N/A</v>
      </c>
      <c r="BH79" s="8" t="e" cm="1">
        <f t="array" ref="BH79">IF(BE79="","", IFERROR(((IF(BE$5&lt;&gt;"", BE$5*AW$5, 0) + SUMPRODUCT(--(BE$6:BE79&lt;&gt;""), BE$6:BE79, (AW$6:AW79-AW$5:AW78)))/1000)/BD$3, ""))</f>
        <v>#N/A</v>
      </c>
      <c r="BI79" s="1">
        <f t="shared" si="68"/>
        <v>1500</v>
      </c>
      <c r="BJ79" s="1">
        <f t="shared" si="69"/>
        <v>0</v>
      </c>
      <c r="BQ79" s="1" t="e">
        <f t="shared" si="70"/>
        <v>#N/A</v>
      </c>
      <c r="BR79" s="1" t="e">
        <f t="shared" si="45"/>
        <v>#N/A</v>
      </c>
      <c r="BS79" s="1" t="e">
        <f t="shared" si="71"/>
        <v>#N/A</v>
      </c>
      <c r="BT79" s="8" t="e" cm="1">
        <f t="array" ref="BT79">IF(BQ79="","", IFERROR(((IF(BQ$5&lt;&gt;"", BQ$5*BI$5, 0) + SUMPRODUCT(--(BQ$6:BQ79&lt;&gt;""), BQ$6:BQ79, (BI$6:BI79-BI$5:BI78)))/1000)/BP$3, ""))</f>
        <v>#N/A</v>
      </c>
      <c r="BU79" s="1">
        <f t="shared" si="72"/>
        <v>1500</v>
      </c>
      <c r="BV79" s="1">
        <f t="shared" si="73"/>
        <v>0</v>
      </c>
      <c r="CC79" s="1" t="e">
        <f t="shared" si="74"/>
        <v>#N/A</v>
      </c>
      <c r="CD79" s="1" t="e">
        <f t="shared" si="46"/>
        <v>#N/A</v>
      </c>
      <c r="CE79" s="1" t="e">
        <f t="shared" si="75"/>
        <v>#N/A</v>
      </c>
      <c r="CF79" s="8" t="e" cm="1">
        <f t="array" ref="CF79">IF(CC79="","", IFERROR(((IF(CC$5&lt;&gt;"", CC$5*BU$5, 0) + SUMPRODUCT(--(CC$6:CC79&lt;&gt;""), CC$6:CC79, (BU$6:BU79-BU$5:BU78)))/1000)/CB$3, ""))</f>
        <v>#N/A</v>
      </c>
      <c r="CG79" s="1">
        <f t="shared" si="76"/>
        <v>1500</v>
      </c>
      <c r="CH79" s="1">
        <f t="shared" si="77"/>
        <v>0</v>
      </c>
      <c r="CO79" s="1" t="e">
        <f t="shared" si="78"/>
        <v>#N/A</v>
      </c>
      <c r="CP79" s="1" t="e">
        <f t="shared" si="47"/>
        <v>#N/A</v>
      </c>
      <c r="CQ79" s="1" t="e">
        <f t="shared" si="79"/>
        <v>#N/A</v>
      </c>
      <c r="CR79" s="8" t="e" cm="1">
        <f t="array" ref="CR79">IF(CO79="","", IFERROR(((IF(CO$5&lt;&gt;"", CO$5*CG$5, 0) + SUMPRODUCT(--(CO$6:CO79&lt;&gt;""), CO$6:CO79, (CG$6:CG79-CG$5:CG78)))/1000)/CN$3, ""))</f>
        <v>#N/A</v>
      </c>
    </row>
    <row r="80" spans="1:96" x14ac:dyDescent="0.25">
      <c r="A80" s="1">
        <f t="shared" si="48"/>
        <v>1520</v>
      </c>
      <c r="B80" s="1">
        <f t="shared" si="49"/>
        <v>0</v>
      </c>
      <c r="I80" s="1" t="e">
        <f t="shared" si="50"/>
        <v>#N/A</v>
      </c>
      <c r="J80" s="1" t="e">
        <f t="shared" si="40"/>
        <v>#N/A</v>
      </c>
      <c r="K80" s="1" t="e">
        <f t="shared" si="51"/>
        <v>#N/A</v>
      </c>
      <c r="L80" s="8" t="e" cm="1">
        <f t="array" ref="L80">IF(I80="","", IFERROR(((IF(I$5&lt;&gt;"", I$5*A$5, 0) + SUMPRODUCT(--(I$6:I80&lt;&gt;""), I$6:I80, (A$6:A80-A$5:A79)))/1000)/H$3, ""))</f>
        <v>#N/A</v>
      </c>
      <c r="M80" s="1">
        <f t="shared" si="52"/>
        <v>1520</v>
      </c>
      <c r="N80" s="1">
        <f t="shared" si="53"/>
        <v>0</v>
      </c>
      <c r="U80" s="1" t="e">
        <f t="shared" si="54"/>
        <v>#N/A</v>
      </c>
      <c r="V80" s="1" t="e">
        <f t="shared" si="41"/>
        <v>#N/A</v>
      </c>
      <c r="W80" s="1" t="e">
        <f t="shared" si="55"/>
        <v>#N/A</v>
      </c>
      <c r="X80" s="8" t="e" cm="1">
        <f t="array" ref="X80">IF(U80="","", IFERROR(((IF(U$5&lt;&gt;"", U$5*M$5, 0) + SUMPRODUCT(--(U$6:U80&lt;&gt;""), U$6:U80, (M$6:M80-M$5:M79)))/1000)/T$3, ""))</f>
        <v>#N/A</v>
      </c>
      <c r="Y80" s="1">
        <f t="shared" si="56"/>
        <v>1520</v>
      </c>
      <c r="Z80" s="1">
        <f t="shared" si="57"/>
        <v>0</v>
      </c>
      <c r="AG80" s="1" t="e">
        <f t="shared" si="58"/>
        <v>#N/A</v>
      </c>
      <c r="AH80" s="1" t="e">
        <f t="shared" si="42"/>
        <v>#N/A</v>
      </c>
      <c r="AI80" s="1" t="e">
        <f t="shared" si="59"/>
        <v>#N/A</v>
      </c>
      <c r="AJ80" s="8" t="e" cm="1">
        <f t="array" ref="AJ80">IF(AG80="","", IFERROR(((IF(AG$5&lt;&gt;"", AG$5*Y$5, 0) + SUMPRODUCT(--(AG$6:AG80&lt;&gt;""), AG$6:AG80, (Y$6:Y80-Y$5:Y79)))/1000)/AF$3, ""))</f>
        <v>#N/A</v>
      </c>
      <c r="AK80" s="1">
        <f t="shared" si="60"/>
        <v>1520</v>
      </c>
      <c r="AL80" s="1">
        <f t="shared" si="61"/>
        <v>0</v>
      </c>
      <c r="AS80" s="1" t="e">
        <f t="shared" si="62"/>
        <v>#N/A</v>
      </c>
      <c r="AT80" s="1" t="e">
        <f t="shared" si="43"/>
        <v>#N/A</v>
      </c>
      <c r="AU80" s="1" t="e">
        <f t="shared" si="63"/>
        <v>#N/A</v>
      </c>
      <c r="AV80" s="8" t="e" cm="1">
        <f t="array" ref="AV80">IF(AS80="","", IFERROR(((IF(AS$5&lt;&gt;"", AS$5*AK$5, 0) + SUMPRODUCT(--(AS$6:AS80&lt;&gt;""), AS$6:AS80, (AK$6:AK80-AK$5:AK79)))/1000)/AR$3, ""))</f>
        <v>#N/A</v>
      </c>
      <c r="AW80" s="1">
        <f t="shared" si="64"/>
        <v>1520</v>
      </c>
      <c r="AX80" s="1">
        <f t="shared" si="65"/>
        <v>0</v>
      </c>
      <c r="BE80" s="1" t="e">
        <f t="shared" si="66"/>
        <v>#N/A</v>
      </c>
      <c r="BF80" s="1" t="e">
        <f t="shared" si="44"/>
        <v>#N/A</v>
      </c>
      <c r="BG80" s="1" t="e">
        <f t="shared" si="67"/>
        <v>#N/A</v>
      </c>
      <c r="BH80" s="8" t="e" cm="1">
        <f t="array" ref="BH80">IF(BE80="","", IFERROR(((IF(BE$5&lt;&gt;"", BE$5*AW$5, 0) + SUMPRODUCT(--(BE$6:BE80&lt;&gt;""), BE$6:BE80, (AW$6:AW80-AW$5:AW79)))/1000)/BD$3, ""))</f>
        <v>#N/A</v>
      </c>
      <c r="BI80" s="1">
        <f t="shared" si="68"/>
        <v>1520</v>
      </c>
      <c r="BJ80" s="1">
        <f t="shared" si="69"/>
        <v>0</v>
      </c>
      <c r="BQ80" s="1" t="e">
        <f t="shared" si="70"/>
        <v>#N/A</v>
      </c>
      <c r="BR80" s="1" t="e">
        <f t="shared" si="45"/>
        <v>#N/A</v>
      </c>
      <c r="BS80" s="1" t="e">
        <f t="shared" si="71"/>
        <v>#N/A</v>
      </c>
      <c r="BT80" s="8" t="e" cm="1">
        <f t="array" ref="BT80">IF(BQ80="","", IFERROR(((IF(BQ$5&lt;&gt;"", BQ$5*BI$5, 0) + SUMPRODUCT(--(BQ$6:BQ80&lt;&gt;""), BQ$6:BQ80, (BI$6:BI80-BI$5:BI79)))/1000)/BP$3, ""))</f>
        <v>#N/A</v>
      </c>
      <c r="BU80" s="1">
        <f t="shared" si="72"/>
        <v>1520</v>
      </c>
      <c r="BV80" s="1">
        <f t="shared" si="73"/>
        <v>0</v>
      </c>
      <c r="CC80" s="1" t="e">
        <f t="shared" si="74"/>
        <v>#N/A</v>
      </c>
      <c r="CD80" s="1" t="e">
        <f t="shared" si="46"/>
        <v>#N/A</v>
      </c>
      <c r="CE80" s="1" t="e">
        <f t="shared" si="75"/>
        <v>#N/A</v>
      </c>
      <c r="CF80" s="8" t="e" cm="1">
        <f t="array" ref="CF80">IF(CC80="","", IFERROR(((IF(CC$5&lt;&gt;"", CC$5*BU$5, 0) + SUMPRODUCT(--(CC$6:CC80&lt;&gt;""), CC$6:CC80, (BU$6:BU80-BU$5:BU79)))/1000)/CB$3, ""))</f>
        <v>#N/A</v>
      </c>
      <c r="CG80" s="1">
        <f t="shared" si="76"/>
        <v>1520</v>
      </c>
      <c r="CH80" s="1">
        <f t="shared" si="77"/>
        <v>0</v>
      </c>
      <c r="CO80" s="1" t="e">
        <f t="shared" si="78"/>
        <v>#N/A</v>
      </c>
      <c r="CP80" s="1" t="e">
        <f t="shared" si="47"/>
        <v>#N/A</v>
      </c>
      <c r="CQ80" s="1" t="e">
        <f t="shared" si="79"/>
        <v>#N/A</v>
      </c>
      <c r="CR80" s="8" t="e" cm="1">
        <f t="array" ref="CR80">IF(CO80="","", IFERROR(((IF(CO$5&lt;&gt;"", CO$5*CG$5, 0) + SUMPRODUCT(--(CO$6:CO80&lt;&gt;""), CO$6:CO80, (CG$6:CG80-CG$5:CG79)))/1000)/CN$3, ""))</f>
        <v>#N/A</v>
      </c>
    </row>
    <row r="81" spans="1:96" x14ac:dyDescent="0.25">
      <c r="A81" s="1">
        <f t="shared" si="48"/>
        <v>1540</v>
      </c>
      <c r="B81" s="1">
        <f t="shared" si="49"/>
        <v>0</v>
      </c>
      <c r="I81" s="1" t="e">
        <f t="shared" si="50"/>
        <v>#N/A</v>
      </c>
      <c r="J81" s="1" t="e">
        <f t="shared" si="40"/>
        <v>#N/A</v>
      </c>
      <c r="K81" s="1" t="e">
        <f t="shared" si="51"/>
        <v>#N/A</v>
      </c>
      <c r="L81" s="8" t="e" cm="1">
        <f t="array" ref="L81">IF(I81="","", IFERROR(((IF(I$5&lt;&gt;"", I$5*A$5, 0) + SUMPRODUCT(--(I$6:I81&lt;&gt;""), I$6:I81, (A$6:A81-A$5:A80)))/1000)/H$3, ""))</f>
        <v>#N/A</v>
      </c>
      <c r="M81" s="1">
        <f t="shared" si="52"/>
        <v>1540</v>
      </c>
      <c r="N81" s="1">
        <f t="shared" si="53"/>
        <v>0</v>
      </c>
      <c r="U81" s="1" t="e">
        <f t="shared" si="54"/>
        <v>#N/A</v>
      </c>
      <c r="V81" s="1" t="e">
        <f t="shared" si="41"/>
        <v>#N/A</v>
      </c>
      <c r="W81" s="1" t="e">
        <f t="shared" si="55"/>
        <v>#N/A</v>
      </c>
      <c r="X81" s="8" t="e" cm="1">
        <f t="array" ref="X81">IF(U81="","", IFERROR(((IF(U$5&lt;&gt;"", U$5*M$5, 0) + SUMPRODUCT(--(U$6:U81&lt;&gt;""), U$6:U81, (M$6:M81-M$5:M80)))/1000)/T$3, ""))</f>
        <v>#N/A</v>
      </c>
      <c r="Y81" s="1">
        <f t="shared" si="56"/>
        <v>1540</v>
      </c>
      <c r="Z81" s="1">
        <f t="shared" si="57"/>
        <v>0</v>
      </c>
      <c r="AG81" s="1" t="e">
        <f t="shared" si="58"/>
        <v>#N/A</v>
      </c>
      <c r="AH81" s="1" t="e">
        <f t="shared" si="42"/>
        <v>#N/A</v>
      </c>
      <c r="AI81" s="1" t="e">
        <f t="shared" si="59"/>
        <v>#N/A</v>
      </c>
      <c r="AJ81" s="8" t="e" cm="1">
        <f t="array" ref="AJ81">IF(AG81="","", IFERROR(((IF(AG$5&lt;&gt;"", AG$5*Y$5, 0) + SUMPRODUCT(--(AG$6:AG81&lt;&gt;""), AG$6:AG81, (Y$6:Y81-Y$5:Y80)))/1000)/AF$3, ""))</f>
        <v>#N/A</v>
      </c>
      <c r="AK81" s="1">
        <f t="shared" si="60"/>
        <v>1540</v>
      </c>
      <c r="AL81" s="1">
        <f t="shared" si="61"/>
        <v>0</v>
      </c>
      <c r="AS81" s="1" t="e">
        <f t="shared" si="62"/>
        <v>#N/A</v>
      </c>
      <c r="AT81" s="1" t="e">
        <f t="shared" si="43"/>
        <v>#N/A</v>
      </c>
      <c r="AU81" s="1" t="e">
        <f t="shared" si="63"/>
        <v>#N/A</v>
      </c>
      <c r="AV81" s="8" t="e" cm="1">
        <f t="array" ref="AV81">IF(AS81="","", IFERROR(((IF(AS$5&lt;&gt;"", AS$5*AK$5, 0) + SUMPRODUCT(--(AS$6:AS81&lt;&gt;""), AS$6:AS81, (AK$6:AK81-AK$5:AK80)))/1000)/AR$3, ""))</f>
        <v>#N/A</v>
      </c>
      <c r="AW81" s="1">
        <f t="shared" si="64"/>
        <v>1540</v>
      </c>
      <c r="AX81" s="1">
        <f t="shared" si="65"/>
        <v>0</v>
      </c>
      <c r="BE81" s="1" t="e">
        <f t="shared" si="66"/>
        <v>#N/A</v>
      </c>
      <c r="BF81" s="1" t="e">
        <f t="shared" si="44"/>
        <v>#N/A</v>
      </c>
      <c r="BG81" s="1" t="e">
        <f t="shared" si="67"/>
        <v>#N/A</v>
      </c>
      <c r="BH81" s="8" t="e" cm="1">
        <f t="array" ref="BH81">IF(BE81="","", IFERROR(((IF(BE$5&lt;&gt;"", BE$5*AW$5, 0) + SUMPRODUCT(--(BE$6:BE81&lt;&gt;""), BE$6:BE81, (AW$6:AW81-AW$5:AW80)))/1000)/BD$3, ""))</f>
        <v>#N/A</v>
      </c>
      <c r="BI81" s="1">
        <f t="shared" si="68"/>
        <v>1540</v>
      </c>
      <c r="BJ81" s="1">
        <f t="shared" si="69"/>
        <v>0</v>
      </c>
      <c r="BQ81" s="1" t="e">
        <f t="shared" si="70"/>
        <v>#N/A</v>
      </c>
      <c r="BR81" s="1" t="e">
        <f t="shared" si="45"/>
        <v>#N/A</v>
      </c>
      <c r="BS81" s="1" t="e">
        <f t="shared" si="71"/>
        <v>#N/A</v>
      </c>
      <c r="BT81" s="8" t="e" cm="1">
        <f t="array" ref="BT81">IF(BQ81="","", IFERROR(((IF(BQ$5&lt;&gt;"", BQ$5*BI$5, 0) + SUMPRODUCT(--(BQ$6:BQ81&lt;&gt;""), BQ$6:BQ81, (BI$6:BI81-BI$5:BI80)))/1000)/BP$3, ""))</f>
        <v>#N/A</v>
      </c>
      <c r="BU81" s="1">
        <f t="shared" si="72"/>
        <v>1540</v>
      </c>
      <c r="BV81" s="1">
        <f t="shared" si="73"/>
        <v>0</v>
      </c>
      <c r="CC81" s="1" t="e">
        <f t="shared" si="74"/>
        <v>#N/A</v>
      </c>
      <c r="CD81" s="1" t="e">
        <f t="shared" si="46"/>
        <v>#N/A</v>
      </c>
      <c r="CE81" s="1" t="e">
        <f t="shared" si="75"/>
        <v>#N/A</v>
      </c>
      <c r="CF81" s="8" t="e" cm="1">
        <f t="array" ref="CF81">IF(CC81="","", IFERROR(((IF(CC$5&lt;&gt;"", CC$5*BU$5, 0) + SUMPRODUCT(--(CC$6:CC81&lt;&gt;""), CC$6:CC81, (BU$6:BU81-BU$5:BU80)))/1000)/CB$3, ""))</f>
        <v>#N/A</v>
      </c>
      <c r="CG81" s="1">
        <f t="shared" si="76"/>
        <v>1540</v>
      </c>
      <c r="CH81" s="1">
        <f t="shared" si="77"/>
        <v>0</v>
      </c>
      <c r="CO81" s="1" t="e">
        <f t="shared" si="78"/>
        <v>#N/A</v>
      </c>
      <c r="CP81" s="1" t="e">
        <f t="shared" si="47"/>
        <v>#N/A</v>
      </c>
      <c r="CQ81" s="1" t="e">
        <f t="shared" si="79"/>
        <v>#N/A</v>
      </c>
      <c r="CR81" s="8" t="e" cm="1">
        <f t="array" ref="CR81">IF(CO81="","", IFERROR(((IF(CO$5&lt;&gt;"", CO$5*CG$5, 0) + SUMPRODUCT(--(CO$6:CO81&lt;&gt;""), CO$6:CO81, (CG$6:CG81-CG$5:CG80)))/1000)/CN$3, ""))</f>
        <v>#N/A</v>
      </c>
    </row>
    <row r="82" spans="1:96" x14ac:dyDescent="0.25">
      <c r="A82" s="1">
        <f t="shared" si="48"/>
        <v>1560</v>
      </c>
      <c r="B82" s="1">
        <f t="shared" si="49"/>
        <v>0</v>
      </c>
      <c r="I82" s="1" t="e">
        <f t="shared" si="50"/>
        <v>#N/A</v>
      </c>
      <c r="J82" s="1" t="e">
        <f t="shared" si="40"/>
        <v>#N/A</v>
      </c>
      <c r="K82" s="1" t="e">
        <f t="shared" si="51"/>
        <v>#N/A</v>
      </c>
      <c r="L82" s="8" t="e" cm="1">
        <f t="array" ref="L82">IF(I82="","", IFERROR(((IF(I$5&lt;&gt;"", I$5*A$5, 0) + SUMPRODUCT(--(I$6:I82&lt;&gt;""), I$6:I82, (A$6:A82-A$5:A81)))/1000)/H$3, ""))</f>
        <v>#N/A</v>
      </c>
      <c r="M82" s="1">
        <f t="shared" si="52"/>
        <v>1560</v>
      </c>
      <c r="N82" s="1">
        <f t="shared" si="53"/>
        <v>0</v>
      </c>
      <c r="U82" s="1" t="e">
        <f t="shared" si="54"/>
        <v>#N/A</v>
      </c>
      <c r="V82" s="1" t="e">
        <f t="shared" si="41"/>
        <v>#N/A</v>
      </c>
      <c r="W82" s="1" t="e">
        <f t="shared" si="55"/>
        <v>#N/A</v>
      </c>
      <c r="X82" s="8" t="e" cm="1">
        <f t="array" ref="X82">IF(U82="","", IFERROR(((IF(U$5&lt;&gt;"", U$5*M$5, 0) + SUMPRODUCT(--(U$6:U82&lt;&gt;""), U$6:U82, (M$6:M82-M$5:M81)))/1000)/T$3, ""))</f>
        <v>#N/A</v>
      </c>
      <c r="Y82" s="1">
        <f t="shared" si="56"/>
        <v>1560</v>
      </c>
      <c r="Z82" s="1">
        <f t="shared" si="57"/>
        <v>0</v>
      </c>
      <c r="AG82" s="1" t="e">
        <f t="shared" si="58"/>
        <v>#N/A</v>
      </c>
      <c r="AH82" s="1" t="e">
        <f t="shared" si="42"/>
        <v>#N/A</v>
      </c>
      <c r="AI82" s="1" t="e">
        <f t="shared" si="59"/>
        <v>#N/A</v>
      </c>
      <c r="AJ82" s="8" t="e" cm="1">
        <f t="array" ref="AJ82">IF(AG82="","", IFERROR(((IF(AG$5&lt;&gt;"", AG$5*Y$5, 0) + SUMPRODUCT(--(AG$6:AG82&lt;&gt;""), AG$6:AG82, (Y$6:Y82-Y$5:Y81)))/1000)/AF$3, ""))</f>
        <v>#N/A</v>
      </c>
      <c r="AK82" s="1">
        <f t="shared" si="60"/>
        <v>1560</v>
      </c>
      <c r="AL82" s="1">
        <f t="shared" si="61"/>
        <v>0</v>
      </c>
      <c r="AS82" s="1" t="e">
        <f t="shared" si="62"/>
        <v>#N/A</v>
      </c>
      <c r="AT82" s="1" t="e">
        <f t="shared" si="43"/>
        <v>#N/A</v>
      </c>
      <c r="AU82" s="1" t="e">
        <f t="shared" si="63"/>
        <v>#N/A</v>
      </c>
      <c r="AV82" s="8" t="e" cm="1">
        <f t="array" ref="AV82">IF(AS82="","", IFERROR(((IF(AS$5&lt;&gt;"", AS$5*AK$5, 0) + SUMPRODUCT(--(AS$6:AS82&lt;&gt;""), AS$6:AS82, (AK$6:AK82-AK$5:AK81)))/1000)/AR$3, ""))</f>
        <v>#N/A</v>
      </c>
      <c r="AW82" s="1">
        <f t="shared" si="64"/>
        <v>1560</v>
      </c>
      <c r="AX82" s="1">
        <f t="shared" si="65"/>
        <v>0</v>
      </c>
      <c r="BE82" s="1" t="e">
        <f t="shared" si="66"/>
        <v>#N/A</v>
      </c>
      <c r="BF82" s="1" t="e">
        <f t="shared" si="44"/>
        <v>#N/A</v>
      </c>
      <c r="BG82" s="1" t="e">
        <f t="shared" si="67"/>
        <v>#N/A</v>
      </c>
      <c r="BH82" s="8" t="e" cm="1">
        <f t="array" ref="BH82">IF(BE82="","", IFERROR(((IF(BE$5&lt;&gt;"", BE$5*AW$5, 0) + SUMPRODUCT(--(BE$6:BE82&lt;&gt;""), BE$6:BE82, (AW$6:AW82-AW$5:AW81)))/1000)/BD$3, ""))</f>
        <v>#N/A</v>
      </c>
      <c r="BI82" s="1">
        <f t="shared" si="68"/>
        <v>1560</v>
      </c>
      <c r="BJ82" s="1">
        <f t="shared" si="69"/>
        <v>0</v>
      </c>
      <c r="BQ82" s="1" t="e">
        <f t="shared" si="70"/>
        <v>#N/A</v>
      </c>
      <c r="BR82" s="1" t="e">
        <f t="shared" si="45"/>
        <v>#N/A</v>
      </c>
      <c r="BS82" s="1" t="e">
        <f t="shared" si="71"/>
        <v>#N/A</v>
      </c>
      <c r="BT82" s="8" t="e" cm="1">
        <f t="array" ref="BT82">IF(BQ82="","", IFERROR(((IF(BQ$5&lt;&gt;"", BQ$5*BI$5, 0) + SUMPRODUCT(--(BQ$6:BQ82&lt;&gt;""), BQ$6:BQ82, (BI$6:BI82-BI$5:BI81)))/1000)/BP$3, ""))</f>
        <v>#N/A</v>
      </c>
      <c r="BU82" s="1">
        <f t="shared" si="72"/>
        <v>1560</v>
      </c>
      <c r="BV82" s="1">
        <f t="shared" si="73"/>
        <v>0</v>
      </c>
      <c r="CC82" s="1" t="e">
        <f t="shared" si="74"/>
        <v>#N/A</v>
      </c>
      <c r="CD82" s="1" t="e">
        <f t="shared" si="46"/>
        <v>#N/A</v>
      </c>
      <c r="CE82" s="1" t="e">
        <f t="shared" si="75"/>
        <v>#N/A</v>
      </c>
      <c r="CF82" s="8" t="e" cm="1">
        <f t="array" ref="CF82">IF(CC82="","", IFERROR(((IF(CC$5&lt;&gt;"", CC$5*BU$5, 0) + SUMPRODUCT(--(CC$6:CC82&lt;&gt;""), CC$6:CC82, (BU$6:BU82-BU$5:BU81)))/1000)/CB$3, ""))</f>
        <v>#N/A</v>
      </c>
      <c r="CG82" s="1">
        <f t="shared" si="76"/>
        <v>1560</v>
      </c>
      <c r="CH82" s="1">
        <f t="shared" si="77"/>
        <v>0</v>
      </c>
      <c r="CO82" s="1" t="e">
        <f t="shared" si="78"/>
        <v>#N/A</v>
      </c>
      <c r="CP82" s="1" t="e">
        <f t="shared" si="47"/>
        <v>#N/A</v>
      </c>
      <c r="CQ82" s="1" t="e">
        <f t="shared" si="79"/>
        <v>#N/A</v>
      </c>
      <c r="CR82" s="8" t="e" cm="1">
        <f t="array" ref="CR82">IF(CO82="","", IFERROR(((IF(CO$5&lt;&gt;"", CO$5*CG$5, 0) + SUMPRODUCT(--(CO$6:CO82&lt;&gt;""), CO$6:CO82, (CG$6:CG82-CG$5:CG81)))/1000)/CN$3, ""))</f>
        <v>#N/A</v>
      </c>
    </row>
    <row r="83" spans="1:96" x14ac:dyDescent="0.25">
      <c r="A83" s="1">
        <f t="shared" si="48"/>
        <v>1580</v>
      </c>
      <c r="B83" s="1">
        <f t="shared" si="49"/>
        <v>0</v>
      </c>
      <c r="I83" s="1" t="e">
        <f t="shared" si="50"/>
        <v>#N/A</v>
      </c>
      <c r="J83" s="1" t="e">
        <f t="shared" si="40"/>
        <v>#N/A</v>
      </c>
      <c r="K83" s="1" t="e">
        <f t="shared" si="51"/>
        <v>#N/A</v>
      </c>
      <c r="L83" s="8" t="e" cm="1">
        <f t="array" ref="L83">IF(I83="","", IFERROR(((IF(I$5&lt;&gt;"", I$5*A$5, 0) + SUMPRODUCT(--(I$6:I83&lt;&gt;""), I$6:I83, (A$6:A83-A$5:A82)))/1000)/H$3, ""))</f>
        <v>#N/A</v>
      </c>
      <c r="M83" s="1">
        <f t="shared" si="52"/>
        <v>1580</v>
      </c>
      <c r="N83" s="1">
        <f t="shared" si="53"/>
        <v>0</v>
      </c>
      <c r="U83" s="1" t="e">
        <f t="shared" si="54"/>
        <v>#N/A</v>
      </c>
      <c r="V83" s="1" t="e">
        <f t="shared" si="41"/>
        <v>#N/A</v>
      </c>
      <c r="W83" s="1" t="e">
        <f t="shared" si="55"/>
        <v>#N/A</v>
      </c>
      <c r="X83" s="8" t="e" cm="1">
        <f t="array" ref="X83">IF(U83="","", IFERROR(((IF(U$5&lt;&gt;"", U$5*M$5, 0) + SUMPRODUCT(--(U$6:U83&lt;&gt;""), U$6:U83, (M$6:M83-M$5:M82)))/1000)/T$3, ""))</f>
        <v>#N/A</v>
      </c>
      <c r="Y83" s="1">
        <f t="shared" si="56"/>
        <v>1580</v>
      </c>
      <c r="Z83" s="1">
        <f t="shared" si="57"/>
        <v>0</v>
      </c>
      <c r="AG83" s="1" t="e">
        <f t="shared" si="58"/>
        <v>#N/A</v>
      </c>
      <c r="AH83" s="1" t="e">
        <f t="shared" si="42"/>
        <v>#N/A</v>
      </c>
      <c r="AI83" s="1" t="e">
        <f t="shared" si="59"/>
        <v>#N/A</v>
      </c>
      <c r="AJ83" s="8" t="e" cm="1">
        <f t="array" ref="AJ83">IF(AG83="","", IFERROR(((IF(AG$5&lt;&gt;"", AG$5*Y$5, 0) + SUMPRODUCT(--(AG$6:AG83&lt;&gt;""), AG$6:AG83, (Y$6:Y83-Y$5:Y82)))/1000)/AF$3, ""))</f>
        <v>#N/A</v>
      </c>
      <c r="AK83" s="1">
        <f t="shared" si="60"/>
        <v>1580</v>
      </c>
      <c r="AL83" s="1">
        <f t="shared" si="61"/>
        <v>0</v>
      </c>
      <c r="AS83" s="1" t="e">
        <f t="shared" si="62"/>
        <v>#N/A</v>
      </c>
      <c r="AT83" s="1" t="e">
        <f t="shared" si="43"/>
        <v>#N/A</v>
      </c>
      <c r="AU83" s="1" t="e">
        <f t="shared" si="63"/>
        <v>#N/A</v>
      </c>
      <c r="AV83" s="8" t="e" cm="1">
        <f t="array" ref="AV83">IF(AS83="","", IFERROR(((IF(AS$5&lt;&gt;"", AS$5*AK$5, 0) + SUMPRODUCT(--(AS$6:AS83&lt;&gt;""), AS$6:AS83, (AK$6:AK83-AK$5:AK82)))/1000)/AR$3, ""))</f>
        <v>#N/A</v>
      </c>
      <c r="AW83" s="1">
        <f t="shared" si="64"/>
        <v>1580</v>
      </c>
      <c r="AX83" s="1">
        <f t="shared" si="65"/>
        <v>0</v>
      </c>
      <c r="BE83" s="1" t="e">
        <f t="shared" si="66"/>
        <v>#N/A</v>
      </c>
      <c r="BF83" s="1" t="e">
        <f t="shared" si="44"/>
        <v>#N/A</v>
      </c>
      <c r="BG83" s="1" t="e">
        <f t="shared" si="67"/>
        <v>#N/A</v>
      </c>
      <c r="BH83" s="8" t="e" cm="1">
        <f t="array" ref="BH83">IF(BE83="","", IFERROR(((IF(BE$5&lt;&gt;"", BE$5*AW$5, 0) + SUMPRODUCT(--(BE$6:BE83&lt;&gt;""), BE$6:BE83, (AW$6:AW83-AW$5:AW82)))/1000)/BD$3, ""))</f>
        <v>#N/A</v>
      </c>
      <c r="BI83" s="1">
        <f t="shared" si="68"/>
        <v>1580</v>
      </c>
      <c r="BJ83" s="1">
        <f t="shared" si="69"/>
        <v>0</v>
      </c>
      <c r="BQ83" s="1" t="e">
        <f t="shared" si="70"/>
        <v>#N/A</v>
      </c>
      <c r="BR83" s="1" t="e">
        <f t="shared" si="45"/>
        <v>#N/A</v>
      </c>
      <c r="BS83" s="1" t="e">
        <f t="shared" si="71"/>
        <v>#N/A</v>
      </c>
      <c r="BT83" s="8" t="e" cm="1">
        <f t="array" ref="BT83">IF(BQ83="","", IFERROR(((IF(BQ$5&lt;&gt;"", BQ$5*BI$5, 0) + SUMPRODUCT(--(BQ$6:BQ83&lt;&gt;""), BQ$6:BQ83, (BI$6:BI83-BI$5:BI82)))/1000)/BP$3, ""))</f>
        <v>#N/A</v>
      </c>
      <c r="BU83" s="1">
        <f t="shared" si="72"/>
        <v>1580</v>
      </c>
      <c r="BV83" s="1">
        <f t="shared" si="73"/>
        <v>0</v>
      </c>
      <c r="CC83" s="1" t="e">
        <f t="shared" si="74"/>
        <v>#N/A</v>
      </c>
      <c r="CD83" s="1" t="e">
        <f t="shared" si="46"/>
        <v>#N/A</v>
      </c>
      <c r="CE83" s="1" t="e">
        <f t="shared" si="75"/>
        <v>#N/A</v>
      </c>
      <c r="CF83" s="8" t="e" cm="1">
        <f t="array" ref="CF83">IF(CC83="","", IFERROR(((IF(CC$5&lt;&gt;"", CC$5*BU$5, 0) + SUMPRODUCT(--(CC$6:CC83&lt;&gt;""), CC$6:CC83, (BU$6:BU83-BU$5:BU82)))/1000)/CB$3, ""))</f>
        <v>#N/A</v>
      </c>
      <c r="CG83" s="1">
        <f t="shared" si="76"/>
        <v>1580</v>
      </c>
      <c r="CH83" s="1">
        <f t="shared" si="77"/>
        <v>0</v>
      </c>
      <c r="CO83" s="1" t="e">
        <f t="shared" si="78"/>
        <v>#N/A</v>
      </c>
      <c r="CP83" s="1" t="e">
        <f t="shared" si="47"/>
        <v>#N/A</v>
      </c>
      <c r="CQ83" s="1" t="e">
        <f t="shared" si="79"/>
        <v>#N/A</v>
      </c>
      <c r="CR83" s="8" t="e" cm="1">
        <f t="array" ref="CR83">IF(CO83="","", IFERROR(((IF(CO$5&lt;&gt;"", CO$5*CG$5, 0) + SUMPRODUCT(--(CO$6:CO83&lt;&gt;""), CO$6:CO83, (CG$6:CG83-CG$5:CG82)))/1000)/CN$3, ""))</f>
        <v>#N/A</v>
      </c>
    </row>
    <row r="84" spans="1:96" x14ac:dyDescent="0.25">
      <c r="A84" s="1">
        <f t="shared" si="48"/>
        <v>1600</v>
      </c>
      <c r="B84" s="1">
        <f t="shared" si="49"/>
        <v>0</v>
      </c>
      <c r="I84" s="1" t="e">
        <f t="shared" si="50"/>
        <v>#N/A</v>
      </c>
      <c r="J84" s="1" t="e">
        <f t="shared" si="40"/>
        <v>#N/A</v>
      </c>
      <c r="K84" s="1" t="e">
        <f t="shared" si="51"/>
        <v>#N/A</v>
      </c>
      <c r="L84" s="8" t="e" cm="1">
        <f t="array" ref="L84">IF(I84="","", IFERROR(((IF(I$5&lt;&gt;"", I$5*A$5, 0) + SUMPRODUCT(--(I$6:I84&lt;&gt;""), I$6:I84, (A$6:A84-A$5:A83)))/1000)/H$3, ""))</f>
        <v>#N/A</v>
      </c>
      <c r="M84" s="1">
        <f t="shared" si="52"/>
        <v>1600</v>
      </c>
      <c r="N84" s="1">
        <f t="shared" si="53"/>
        <v>0</v>
      </c>
      <c r="U84" s="1" t="e">
        <f t="shared" si="54"/>
        <v>#N/A</v>
      </c>
      <c r="V84" s="1" t="e">
        <f t="shared" si="41"/>
        <v>#N/A</v>
      </c>
      <c r="W84" s="1" t="e">
        <f t="shared" si="55"/>
        <v>#N/A</v>
      </c>
      <c r="X84" s="8" t="e" cm="1">
        <f t="array" ref="X84">IF(U84="","", IFERROR(((IF(U$5&lt;&gt;"", U$5*M$5, 0) + SUMPRODUCT(--(U$6:U84&lt;&gt;""), U$6:U84, (M$6:M84-M$5:M83)))/1000)/T$3, ""))</f>
        <v>#N/A</v>
      </c>
      <c r="Y84" s="1">
        <f t="shared" si="56"/>
        <v>1600</v>
      </c>
      <c r="Z84" s="1">
        <f t="shared" si="57"/>
        <v>0</v>
      </c>
      <c r="AG84" s="1" t="e">
        <f t="shared" si="58"/>
        <v>#N/A</v>
      </c>
      <c r="AH84" s="1" t="e">
        <f t="shared" si="42"/>
        <v>#N/A</v>
      </c>
      <c r="AI84" s="1" t="e">
        <f t="shared" si="59"/>
        <v>#N/A</v>
      </c>
      <c r="AJ84" s="8" t="e" cm="1">
        <f t="array" ref="AJ84">IF(AG84="","", IFERROR(((IF(AG$5&lt;&gt;"", AG$5*Y$5, 0) + SUMPRODUCT(--(AG$6:AG84&lt;&gt;""), AG$6:AG84, (Y$6:Y84-Y$5:Y83)))/1000)/AF$3, ""))</f>
        <v>#N/A</v>
      </c>
      <c r="AK84" s="1">
        <f t="shared" si="60"/>
        <v>1600</v>
      </c>
      <c r="AL84" s="1">
        <f t="shared" si="61"/>
        <v>0</v>
      </c>
      <c r="AS84" s="1" t="e">
        <f t="shared" si="62"/>
        <v>#N/A</v>
      </c>
      <c r="AT84" s="1" t="e">
        <f t="shared" si="43"/>
        <v>#N/A</v>
      </c>
      <c r="AU84" s="1" t="e">
        <f t="shared" si="63"/>
        <v>#N/A</v>
      </c>
      <c r="AV84" s="8" t="e" cm="1">
        <f t="array" ref="AV84">IF(AS84="","", IFERROR(((IF(AS$5&lt;&gt;"", AS$5*AK$5, 0) + SUMPRODUCT(--(AS$6:AS84&lt;&gt;""), AS$6:AS84, (AK$6:AK84-AK$5:AK83)))/1000)/AR$3, ""))</f>
        <v>#N/A</v>
      </c>
      <c r="AW84" s="1">
        <f t="shared" si="64"/>
        <v>1600</v>
      </c>
      <c r="AX84" s="1">
        <f t="shared" si="65"/>
        <v>0</v>
      </c>
      <c r="BE84" s="1" t="e">
        <f t="shared" si="66"/>
        <v>#N/A</v>
      </c>
      <c r="BF84" s="1" t="e">
        <f t="shared" si="44"/>
        <v>#N/A</v>
      </c>
      <c r="BG84" s="1" t="e">
        <f t="shared" si="67"/>
        <v>#N/A</v>
      </c>
      <c r="BH84" s="8" t="e" cm="1">
        <f t="array" ref="BH84">IF(BE84="","", IFERROR(((IF(BE$5&lt;&gt;"", BE$5*AW$5, 0) + SUMPRODUCT(--(BE$6:BE84&lt;&gt;""), BE$6:BE84, (AW$6:AW84-AW$5:AW83)))/1000)/BD$3, ""))</f>
        <v>#N/A</v>
      </c>
      <c r="BI84" s="1">
        <f t="shared" si="68"/>
        <v>1600</v>
      </c>
      <c r="BJ84" s="1">
        <f t="shared" si="69"/>
        <v>0</v>
      </c>
      <c r="BQ84" s="1" t="e">
        <f t="shared" si="70"/>
        <v>#N/A</v>
      </c>
      <c r="BR84" s="1" t="e">
        <f t="shared" si="45"/>
        <v>#N/A</v>
      </c>
      <c r="BS84" s="1" t="e">
        <f t="shared" si="71"/>
        <v>#N/A</v>
      </c>
      <c r="BT84" s="8" t="e" cm="1">
        <f t="array" ref="BT84">IF(BQ84="","", IFERROR(((IF(BQ$5&lt;&gt;"", BQ$5*BI$5, 0) + SUMPRODUCT(--(BQ$6:BQ84&lt;&gt;""), BQ$6:BQ84, (BI$6:BI84-BI$5:BI83)))/1000)/BP$3, ""))</f>
        <v>#N/A</v>
      </c>
      <c r="BU84" s="1">
        <f t="shared" si="72"/>
        <v>1600</v>
      </c>
      <c r="BV84" s="1">
        <f t="shared" si="73"/>
        <v>0</v>
      </c>
      <c r="CC84" s="1" t="e">
        <f t="shared" si="74"/>
        <v>#N/A</v>
      </c>
      <c r="CD84" s="1" t="e">
        <f t="shared" si="46"/>
        <v>#N/A</v>
      </c>
      <c r="CE84" s="1" t="e">
        <f t="shared" si="75"/>
        <v>#N/A</v>
      </c>
      <c r="CF84" s="8" t="e" cm="1">
        <f t="array" ref="CF84">IF(CC84="","", IFERROR(((IF(CC$5&lt;&gt;"", CC$5*BU$5, 0) + SUMPRODUCT(--(CC$6:CC84&lt;&gt;""), CC$6:CC84, (BU$6:BU84-BU$5:BU83)))/1000)/CB$3, ""))</f>
        <v>#N/A</v>
      </c>
      <c r="CG84" s="1">
        <f t="shared" si="76"/>
        <v>1600</v>
      </c>
      <c r="CH84" s="1">
        <f t="shared" si="77"/>
        <v>0</v>
      </c>
      <c r="CO84" s="1" t="e">
        <f t="shared" si="78"/>
        <v>#N/A</v>
      </c>
      <c r="CP84" s="1" t="e">
        <f t="shared" si="47"/>
        <v>#N/A</v>
      </c>
      <c r="CQ84" s="1" t="e">
        <f t="shared" si="79"/>
        <v>#N/A</v>
      </c>
      <c r="CR84" s="8" t="e" cm="1">
        <f t="array" ref="CR84">IF(CO84="","", IFERROR(((IF(CO$5&lt;&gt;"", CO$5*CG$5, 0) + SUMPRODUCT(--(CO$6:CO84&lt;&gt;""), CO$6:CO84, (CG$6:CG84-CG$5:CG83)))/1000)/CN$3, ""))</f>
        <v>#N/A</v>
      </c>
    </row>
    <row r="85" spans="1:96" x14ac:dyDescent="0.25">
      <c r="A85" s="1">
        <f t="shared" si="48"/>
        <v>1620</v>
      </c>
      <c r="B85" s="1">
        <f t="shared" si="49"/>
        <v>0</v>
      </c>
      <c r="I85" s="1" t="e">
        <f t="shared" si="50"/>
        <v>#N/A</v>
      </c>
      <c r="J85" s="1" t="e">
        <f t="shared" si="40"/>
        <v>#N/A</v>
      </c>
      <c r="K85" s="1" t="e">
        <f t="shared" si="51"/>
        <v>#N/A</v>
      </c>
      <c r="L85" s="8" t="e" cm="1">
        <f t="array" ref="L85">IF(I85="","", IFERROR(((IF(I$5&lt;&gt;"", I$5*A$5, 0) + SUMPRODUCT(--(I$6:I85&lt;&gt;""), I$6:I85, (A$6:A85-A$5:A84)))/1000)/H$3, ""))</f>
        <v>#N/A</v>
      </c>
      <c r="M85" s="1">
        <f t="shared" si="52"/>
        <v>1620</v>
      </c>
      <c r="N85" s="1">
        <f t="shared" si="53"/>
        <v>0</v>
      </c>
      <c r="U85" s="1" t="e">
        <f t="shared" si="54"/>
        <v>#N/A</v>
      </c>
      <c r="V85" s="1" t="e">
        <f t="shared" si="41"/>
        <v>#N/A</v>
      </c>
      <c r="W85" s="1" t="e">
        <f t="shared" si="55"/>
        <v>#N/A</v>
      </c>
      <c r="X85" s="8" t="e" cm="1">
        <f t="array" ref="X85">IF(U85="","", IFERROR(((IF(U$5&lt;&gt;"", U$5*M$5, 0) + SUMPRODUCT(--(U$6:U85&lt;&gt;""), U$6:U85, (M$6:M85-M$5:M84)))/1000)/T$3, ""))</f>
        <v>#N/A</v>
      </c>
      <c r="Y85" s="1">
        <f t="shared" si="56"/>
        <v>1620</v>
      </c>
      <c r="Z85" s="1">
        <f t="shared" si="57"/>
        <v>0</v>
      </c>
      <c r="AG85" s="1" t="e">
        <f t="shared" si="58"/>
        <v>#N/A</v>
      </c>
      <c r="AH85" s="1" t="e">
        <f t="shared" si="42"/>
        <v>#N/A</v>
      </c>
      <c r="AI85" s="1" t="e">
        <f t="shared" si="59"/>
        <v>#N/A</v>
      </c>
      <c r="AJ85" s="8" t="e" cm="1">
        <f t="array" ref="AJ85">IF(AG85="","", IFERROR(((IF(AG$5&lt;&gt;"", AG$5*Y$5, 0) + SUMPRODUCT(--(AG$6:AG85&lt;&gt;""), AG$6:AG85, (Y$6:Y85-Y$5:Y84)))/1000)/AF$3, ""))</f>
        <v>#N/A</v>
      </c>
      <c r="AK85" s="1">
        <f t="shared" si="60"/>
        <v>1620</v>
      </c>
      <c r="AL85" s="1">
        <f t="shared" si="61"/>
        <v>0</v>
      </c>
      <c r="AS85" s="1" t="e">
        <f t="shared" si="62"/>
        <v>#N/A</v>
      </c>
      <c r="AT85" s="1" t="e">
        <f t="shared" si="43"/>
        <v>#N/A</v>
      </c>
      <c r="AU85" s="1" t="e">
        <f t="shared" si="63"/>
        <v>#N/A</v>
      </c>
      <c r="AV85" s="8" t="e" cm="1">
        <f t="array" ref="AV85">IF(AS85="","", IFERROR(((IF(AS$5&lt;&gt;"", AS$5*AK$5, 0) + SUMPRODUCT(--(AS$6:AS85&lt;&gt;""), AS$6:AS85, (AK$6:AK85-AK$5:AK84)))/1000)/AR$3, ""))</f>
        <v>#N/A</v>
      </c>
      <c r="AW85" s="1">
        <f t="shared" si="64"/>
        <v>1620</v>
      </c>
      <c r="AX85" s="1">
        <f t="shared" si="65"/>
        <v>0</v>
      </c>
      <c r="BE85" s="1" t="e">
        <f t="shared" si="66"/>
        <v>#N/A</v>
      </c>
      <c r="BF85" s="1" t="e">
        <f t="shared" si="44"/>
        <v>#N/A</v>
      </c>
      <c r="BG85" s="1" t="e">
        <f t="shared" si="67"/>
        <v>#N/A</v>
      </c>
      <c r="BH85" s="8" t="e" cm="1">
        <f t="array" ref="BH85">IF(BE85="","", IFERROR(((IF(BE$5&lt;&gt;"", BE$5*AW$5, 0) + SUMPRODUCT(--(BE$6:BE85&lt;&gt;""), BE$6:BE85, (AW$6:AW85-AW$5:AW84)))/1000)/BD$3, ""))</f>
        <v>#N/A</v>
      </c>
      <c r="BI85" s="1">
        <f t="shared" si="68"/>
        <v>1620</v>
      </c>
      <c r="BJ85" s="1">
        <f t="shared" si="69"/>
        <v>0</v>
      </c>
      <c r="BQ85" s="1" t="e">
        <f t="shared" si="70"/>
        <v>#N/A</v>
      </c>
      <c r="BR85" s="1" t="e">
        <f t="shared" si="45"/>
        <v>#N/A</v>
      </c>
      <c r="BS85" s="1" t="e">
        <f t="shared" si="71"/>
        <v>#N/A</v>
      </c>
      <c r="BT85" s="8" t="e" cm="1">
        <f t="array" ref="BT85">IF(BQ85="","", IFERROR(((IF(BQ$5&lt;&gt;"", BQ$5*BI$5, 0) + SUMPRODUCT(--(BQ$6:BQ85&lt;&gt;""), BQ$6:BQ85, (BI$6:BI85-BI$5:BI84)))/1000)/BP$3, ""))</f>
        <v>#N/A</v>
      </c>
      <c r="BU85" s="1">
        <f t="shared" si="72"/>
        <v>1620</v>
      </c>
      <c r="BV85" s="1">
        <f t="shared" si="73"/>
        <v>0</v>
      </c>
      <c r="CC85" s="1" t="e">
        <f t="shared" si="74"/>
        <v>#N/A</v>
      </c>
      <c r="CD85" s="1" t="e">
        <f t="shared" si="46"/>
        <v>#N/A</v>
      </c>
      <c r="CE85" s="1" t="e">
        <f t="shared" si="75"/>
        <v>#N/A</v>
      </c>
      <c r="CF85" s="8" t="e" cm="1">
        <f t="array" ref="CF85">IF(CC85="","", IFERROR(((IF(CC$5&lt;&gt;"", CC$5*BU$5, 0) + SUMPRODUCT(--(CC$6:CC85&lt;&gt;""), CC$6:CC85, (BU$6:BU85-BU$5:BU84)))/1000)/CB$3, ""))</f>
        <v>#N/A</v>
      </c>
      <c r="CG85" s="1">
        <f t="shared" si="76"/>
        <v>1620</v>
      </c>
      <c r="CH85" s="1">
        <f t="shared" si="77"/>
        <v>0</v>
      </c>
      <c r="CO85" s="1" t="e">
        <f t="shared" si="78"/>
        <v>#N/A</v>
      </c>
      <c r="CP85" s="1" t="e">
        <f t="shared" si="47"/>
        <v>#N/A</v>
      </c>
      <c r="CQ85" s="1" t="e">
        <f t="shared" si="79"/>
        <v>#N/A</v>
      </c>
      <c r="CR85" s="8" t="e" cm="1">
        <f t="array" ref="CR85">IF(CO85="","", IFERROR(((IF(CO$5&lt;&gt;"", CO$5*CG$5, 0) + SUMPRODUCT(--(CO$6:CO85&lt;&gt;""), CO$6:CO85, (CG$6:CG85-CG$5:CG84)))/1000)/CN$3, ""))</f>
        <v>#N/A</v>
      </c>
    </row>
    <row r="86" spans="1:96" x14ac:dyDescent="0.25">
      <c r="A86" s="1">
        <f t="shared" si="48"/>
        <v>1640</v>
      </c>
      <c r="B86" s="1">
        <f t="shared" si="49"/>
        <v>0</v>
      </c>
      <c r="I86" s="1" t="e">
        <f t="shared" si="50"/>
        <v>#N/A</v>
      </c>
      <c r="J86" s="1" t="e">
        <f t="shared" si="40"/>
        <v>#N/A</v>
      </c>
      <c r="K86" s="1" t="e">
        <f t="shared" si="51"/>
        <v>#N/A</v>
      </c>
      <c r="L86" s="8" t="e" cm="1">
        <f t="array" ref="L86">IF(I86="","", IFERROR(((IF(I$5&lt;&gt;"", I$5*A$5, 0) + SUMPRODUCT(--(I$6:I86&lt;&gt;""), I$6:I86, (A$6:A86-A$5:A85)))/1000)/H$3, ""))</f>
        <v>#N/A</v>
      </c>
      <c r="M86" s="1">
        <f t="shared" si="52"/>
        <v>1640</v>
      </c>
      <c r="N86" s="1">
        <f t="shared" si="53"/>
        <v>0</v>
      </c>
      <c r="U86" s="1" t="e">
        <f t="shared" si="54"/>
        <v>#N/A</v>
      </c>
      <c r="V86" s="1" t="e">
        <f t="shared" si="41"/>
        <v>#N/A</v>
      </c>
      <c r="W86" s="1" t="e">
        <f t="shared" si="55"/>
        <v>#N/A</v>
      </c>
      <c r="X86" s="8" t="e" cm="1">
        <f t="array" ref="X86">IF(U86="","", IFERROR(((IF(U$5&lt;&gt;"", U$5*M$5, 0) + SUMPRODUCT(--(U$6:U86&lt;&gt;""), U$6:U86, (M$6:M86-M$5:M85)))/1000)/T$3, ""))</f>
        <v>#N/A</v>
      </c>
      <c r="Y86" s="1">
        <f t="shared" si="56"/>
        <v>1640</v>
      </c>
      <c r="Z86" s="1">
        <f t="shared" si="57"/>
        <v>0</v>
      </c>
      <c r="AG86" s="1" t="e">
        <f t="shared" si="58"/>
        <v>#N/A</v>
      </c>
      <c r="AH86" s="1" t="e">
        <f t="shared" si="42"/>
        <v>#N/A</v>
      </c>
      <c r="AI86" s="1" t="e">
        <f t="shared" si="59"/>
        <v>#N/A</v>
      </c>
      <c r="AJ86" s="8" t="e" cm="1">
        <f t="array" ref="AJ86">IF(AG86="","", IFERROR(((IF(AG$5&lt;&gt;"", AG$5*Y$5, 0) + SUMPRODUCT(--(AG$6:AG86&lt;&gt;""), AG$6:AG86, (Y$6:Y86-Y$5:Y85)))/1000)/AF$3, ""))</f>
        <v>#N/A</v>
      </c>
      <c r="AK86" s="1">
        <f t="shared" si="60"/>
        <v>1640</v>
      </c>
      <c r="AL86" s="1">
        <f t="shared" si="61"/>
        <v>0</v>
      </c>
      <c r="AS86" s="1" t="e">
        <f t="shared" si="62"/>
        <v>#N/A</v>
      </c>
      <c r="AT86" s="1" t="e">
        <f t="shared" si="43"/>
        <v>#N/A</v>
      </c>
      <c r="AU86" s="1" t="e">
        <f t="shared" si="63"/>
        <v>#N/A</v>
      </c>
      <c r="AV86" s="8" t="e" cm="1">
        <f t="array" ref="AV86">IF(AS86="","", IFERROR(((IF(AS$5&lt;&gt;"", AS$5*AK$5, 0) + SUMPRODUCT(--(AS$6:AS86&lt;&gt;""), AS$6:AS86, (AK$6:AK86-AK$5:AK85)))/1000)/AR$3, ""))</f>
        <v>#N/A</v>
      </c>
      <c r="AW86" s="1">
        <f t="shared" si="64"/>
        <v>1640</v>
      </c>
      <c r="AX86" s="1">
        <f t="shared" si="65"/>
        <v>0</v>
      </c>
      <c r="BE86" s="1" t="e">
        <f t="shared" si="66"/>
        <v>#N/A</v>
      </c>
      <c r="BF86" s="1" t="e">
        <f t="shared" si="44"/>
        <v>#N/A</v>
      </c>
      <c r="BG86" s="1" t="e">
        <f t="shared" si="67"/>
        <v>#N/A</v>
      </c>
      <c r="BH86" s="8" t="e" cm="1">
        <f t="array" ref="BH86">IF(BE86="","", IFERROR(((IF(BE$5&lt;&gt;"", BE$5*AW$5, 0) + SUMPRODUCT(--(BE$6:BE86&lt;&gt;""), BE$6:BE86, (AW$6:AW86-AW$5:AW85)))/1000)/BD$3, ""))</f>
        <v>#N/A</v>
      </c>
      <c r="BI86" s="1">
        <f t="shared" si="68"/>
        <v>1640</v>
      </c>
      <c r="BJ86" s="1">
        <f t="shared" si="69"/>
        <v>0</v>
      </c>
      <c r="BQ86" s="1" t="e">
        <f t="shared" si="70"/>
        <v>#N/A</v>
      </c>
      <c r="BR86" s="1" t="e">
        <f t="shared" si="45"/>
        <v>#N/A</v>
      </c>
      <c r="BS86" s="1" t="e">
        <f t="shared" si="71"/>
        <v>#N/A</v>
      </c>
      <c r="BT86" s="8" t="e" cm="1">
        <f t="array" ref="BT86">IF(BQ86="","", IFERROR(((IF(BQ$5&lt;&gt;"", BQ$5*BI$5, 0) + SUMPRODUCT(--(BQ$6:BQ86&lt;&gt;""), BQ$6:BQ86, (BI$6:BI86-BI$5:BI85)))/1000)/BP$3, ""))</f>
        <v>#N/A</v>
      </c>
      <c r="BU86" s="1">
        <f t="shared" si="72"/>
        <v>1640</v>
      </c>
      <c r="BV86" s="1">
        <f t="shared" si="73"/>
        <v>0</v>
      </c>
      <c r="CC86" s="1" t="e">
        <f t="shared" si="74"/>
        <v>#N/A</v>
      </c>
      <c r="CD86" s="1" t="e">
        <f t="shared" si="46"/>
        <v>#N/A</v>
      </c>
      <c r="CE86" s="1" t="e">
        <f t="shared" si="75"/>
        <v>#N/A</v>
      </c>
      <c r="CF86" s="8" t="e" cm="1">
        <f t="array" ref="CF86">IF(CC86="","", IFERROR(((IF(CC$5&lt;&gt;"", CC$5*BU$5, 0) + SUMPRODUCT(--(CC$6:CC86&lt;&gt;""), CC$6:CC86, (BU$6:BU86-BU$5:BU85)))/1000)/CB$3, ""))</f>
        <v>#N/A</v>
      </c>
      <c r="CG86" s="1">
        <f t="shared" si="76"/>
        <v>1640</v>
      </c>
      <c r="CH86" s="1">
        <f t="shared" si="77"/>
        <v>0</v>
      </c>
      <c r="CO86" s="1" t="e">
        <f t="shared" si="78"/>
        <v>#N/A</v>
      </c>
      <c r="CP86" s="1" t="e">
        <f t="shared" si="47"/>
        <v>#N/A</v>
      </c>
      <c r="CQ86" s="1" t="e">
        <f t="shared" si="79"/>
        <v>#N/A</v>
      </c>
      <c r="CR86" s="8" t="e" cm="1">
        <f t="array" ref="CR86">IF(CO86="","", IFERROR(((IF(CO$5&lt;&gt;"", CO$5*CG$5, 0) + SUMPRODUCT(--(CO$6:CO86&lt;&gt;""), CO$6:CO86, (CG$6:CG86-CG$5:CG85)))/1000)/CN$3, ""))</f>
        <v>#N/A</v>
      </c>
    </row>
    <row r="87" spans="1:96" x14ac:dyDescent="0.25">
      <c r="A87" s="1">
        <f t="shared" si="48"/>
        <v>1660</v>
      </c>
      <c r="B87" s="1">
        <f t="shared" si="49"/>
        <v>0</v>
      </c>
      <c r="I87" s="1" t="e">
        <f t="shared" si="50"/>
        <v>#N/A</v>
      </c>
      <c r="J87" s="1" t="e">
        <f t="shared" si="40"/>
        <v>#N/A</v>
      </c>
      <c r="K87" s="1" t="e">
        <f t="shared" si="51"/>
        <v>#N/A</v>
      </c>
      <c r="L87" s="8" t="e" cm="1">
        <f t="array" ref="L87">IF(I87="","", IFERROR(((IF(I$5&lt;&gt;"", I$5*A$5, 0) + SUMPRODUCT(--(I$6:I87&lt;&gt;""), I$6:I87, (A$6:A87-A$5:A86)))/1000)/H$3, ""))</f>
        <v>#N/A</v>
      </c>
      <c r="M87" s="1">
        <f t="shared" si="52"/>
        <v>1660</v>
      </c>
      <c r="N87" s="1">
        <f t="shared" si="53"/>
        <v>0</v>
      </c>
      <c r="U87" s="1" t="e">
        <f t="shared" si="54"/>
        <v>#N/A</v>
      </c>
      <c r="V87" s="1" t="e">
        <f t="shared" si="41"/>
        <v>#N/A</v>
      </c>
      <c r="W87" s="1" t="e">
        <f t="shared" si="55"/>
        <v>#N/A</v>
      </c>
      <c r="X87" s="8" t="e" cm="1">
        <f t="array" ref="X87">IF(U87="","", IFERROR(((IF(U$5&lt;&gt;"", U$5*M$5, 0) + SUMPRODUCT(--(U$6:U87&lt;&gt;""), U$6:U87, (M$6:M87-M$5:M86)))/1000)/T$3, ""))</f>
        <v>#N/A</v>
      </c>
      <c r="Y87" s="1">
        <f t="shared" si="56"/>
        <v>1660</v>
      </c>
      <c r="Z87" s="1">
        <f t="shared" si="57"/>
        <v>0</v>
      </c>
      <c r="AG87" s="1" t="e">
        <f t="shared" si="58"/>
        <v>#N/A</v>
      </c>
      <c r="AH87" s="1" t="e">
        <f t="shared" si="42"/>
        <v>#N/A</v>
      </c>
      <c r="AI87" s="1" t="e">
        <f t="shared" si="59"/>
        <v>#N/A</v>
      </c>
      <c r="AJ87" s="8" t="e" cm="1">
        <f t="array" ref="AJ87">IF(AG87="","", IFERROR(((IF(AG$5&lt;&gt;"", AG$5*Y$5, 0) + SUMPRODUCT(--(AG$6:AG87&lt;&gt;""), AG$6:AG87, (Y$6:Y87-Y$5:Y86)))/1000)/AF$3, ""))</f>
        <v>#N/A</v>
      </c>
      <c r="AK87" s="1">
        <f t="shared" si="60"/>
        <v>1660</v>
      </c>
      <c r="AL87" s="1">
        <f t="shared" si="61"/>
        <v>0</v>
      </c>
      <c r="AS87" s="1" t="e">
        <f t="shared" si="62"/>
        <v>#N/A</v>
      </c>
      <c r="AT87" s="1" t="e">
        <f t="shared" si="43"/>
        <v>#N/A</v>
      </c>
      <c r="AU87" s="1" t="e">
        <f t="shared" si="63"/>
        <v>#N/A</v>
      </c>
      <c r="AV87" s="8" t="e" cm="1">
        <f t="array" ref="AV87">IF(AS87="","", IFERROR(((IF(AS$5&lt;&gt;"", AS$5*AK$5, 0) + SUMPRODUCT(--(AS$6:AS87&lt;&gt;""), AS$6:AS87, (AK$6:AK87-AK$5:AK86)))/1000)/AR$3, ""))</f>
        <v>#N/A</v>
      </c>
      <c r="AW87" s="1">
        <f t="shared" si="64"/>
        <v>1660</v>
      </c>
      <c r="AX87" s="1">
        <f t="shared" si="65"/>
        <v>0</v>
      </c>
      <c r="BE87" s="1" t="e">
        <f t="shared" si="66"/>
        <v>#N/A</v>
      </c>
      <c r="BF87" s="1" t="e">
        <f t="shared" si="44"/>
        <v>#N/A</v>
      </c>
      <c r="BG87" s="1" t="e">
        <f t="shared" si="67"/>
        <v>#N/A</v>
      </c>
      <c r="BH87" s="8" t="e" cm="1">
        <f t="array" ref="BH87">IF(BE87="","", IFERROR(((IF(BE$5&lt;&gt;"", BE$5*AW$5, 0) + SUMPRODUCT(--(BE$6:BE87&lt;&gt;""), BE$6:BE87, (AW$6:AW87-AW$5:AW86)))/1000)/BD$3, ""))</f>
        <v>#N/A</v>
      </c>
      <c r="BI87" s="1">
        <f t="shared" si="68"/>
        <v>1660</v>
      </c>
      <c r="BJ87" s="1">
        <f t="shared" si="69"/>
        <v>0</v>
      </c>
      <c r="BQ87" s="1" t="e">
        <f t="shared" si="70"/>
        <v>#N/A</v>
      </c>
      <c r="BR87" s="1" t="e">
        <f t="shared" si="45"/>
        <v>#N/A</v>
      </c>
      <c r="BS87" s="1" t="e">
        <f t="shared" si="71"/>
        <v>#N/A</v>
      </c>
      <c r="BT87" s="8" t="e" cm="1">
        <f t="array" ref="BT87">IF(BQ87="","", IFERROR(((IF(BQ$5&lt;&gt;"", BQ$5*BI$5, 0) + SUMPRODUCT(--(BQ$6:BQ87&lt;&gt;""), BQ$6:BQ87, (BI$6:BI87-BI$5:BI86)))/1000)/BP$3, ""))</f>
        <v>#N/A</v>
      </c>
      <c r="BU87" s="1">
        <f t="shared" si="72"/>
        <v>1660</v>
      </c>
      <c r="BV87" s="1">
        <f t="shared" si="73"/>
        <v>0</v>
      </c>
      <c r="CC87" s="1" t="e">
        <f t="shared" si="74"/>
        <v>#N/A</v>
      </c>
      <c r="CD87" s="1" t="e">
        <f t="shared" si="46"/>
        <v>#N/A</v>
      </c>
      <c r="CE87" s="1" t="e">
        <f t="shared" si="75"/>
        <v>#N/A</v>
      </c>
      <c r="CF87" s="8" t="e" cm="1">
        <f t="array" ref="CF87">IF(CC87="","", IFERROR(((IF(CC$5&lt;&gt;"", CC$5*BU$5, 0) + SUMPRODUCT(--(CC$6:CC87&lt;&gt;""), CC$6:CC87, (BU$6:BU87-BU$5:BU86)))/1000)/CB$3, ""))</f>
        <v>#N/A</v>
      </c>
      <c r="CG87" s="1">
        <f t="shared" si="76"/>
        <v>1660</v>
      </c>
      <c r="CH87" s="1">
        <f t="shared" si="77"/>
        <v>0</v>
      </c>
      <c r="CO87" s="1" t="e">
        <f t="shared" si="78"/>
        <v>#N/A</v>
      </c>
      <c r="CP87" s="1" t="e">
        <f t="shared" si="47"/>
        <v>#N/A</v>
      </c>
      <c r="CQ87" s="1" t="e">
        <f t="shared" si="79"/>
        <v>#N/A</v>
      </c>
      <c r="CR87" s="8" t="e" cm="1">
        <f t="array" ref="CR87">IF(CO87="","", IFERROR(((IF(CO$5&lt;&gt;"", CO$5*CG$5, 0) + SUMPRODUCT(--(CO$6:CO87&lt;&gt;""), CO$6:CO87, (CG$6:CG87-CG$5:CG86)))/1000)/CN$3, ""))</f>
        <v>#N/A</v>
      </c>
    </row>
    <row r="88" spans="1:96" x14ac:dyDescent="0.25">
      <c r="A88" s="1">
        <f t="shared" si="48"/>
        <v>1680</v>
      </c>
      <c r="B88" s="1">
        <f t="shared" si="49"/>
        <v>0</v>
      </c>
      <c r="I88" s="1" t="e">
        <f t="shared" si="50"/>
        <v>#N/A</v>
      </c>
      <c r="J88" s="1" t="e">
        <f t="shared" si="40"/>
        <v>#N/A</v>
      </c>
      <c r="K88" s="1" t="e">
        <f t="shared" si="51"/>
        <v>#N/A</v>
      </c>
      <c r="L88" s="8" t="e" cm="1">
        <f t="array" ref="L88">IF(I88="","", IFERROR(((IF(I$5&lt;&gt;"", I$5*A$5, 0) + SUMPRODUCT(--(I$6:I88&lt;&gt;""), I$6:I88, (A$6:A88-A$5:A87)))/1000)/H$3, ""))</f>
        <v>#N/A</v>
      </c>
      <c r="M88" s="1">
        <f t="shared" si="52"/>
        <v>1680</v>
      </c>
      <c r="N88" s="1">
        <f t="shared" si="53"/>
        <v>0</v>
      </c>
      <c r="U88" s="1" t="e">
        <f t="shared" si="54"/>
        <v>#N/A</v>
      </c>
      <c r="V88" s="1" t="e">
        <f t="shared" si="41"/>
        <v>#N/A</v>
      </c>
      <c r="W88" s="1" t="e">
        <f t="shared" si="55"/>
        <v>#N/A</v>
      </c>
      <c r="X88" s="8" t="e" cm="1">
        <f t="array" ref="X88">IF(U88="","", IFERROR(((IF(U$5&lt;&gt;"", U$5*M$5, 0) + SUMPRODUCT(--(U$6:U88&lt;&gt;""), U$6:U88, (M$6:M88-M$5:M87)))/1000)/T$3, ""))</f>
        <v>#N/A</v>
      </c>
      <c r="Y88" s="1">
        <f t="shared" si="56"/>
        <v>1680</v>
      </c>
      <c r="Z88" s="1">
        <f t="shared" si="57"/>
        <v>0</v>
      </c>
      <c r="AG88" s="1" t="e">
        <f t="shared" si="58"/>
        <v>#N/A</v>
      </c>
      <c r="AH88" s="1" t="e">
        <f t="shared" si="42"/>
        <v>#N/A</v>
      </c>
      <c r="AI88" s="1" t="e">
        <f t="shared" si="59"/>
        <v>#N/A</v>
      </c>
      <c r="AJ88" s="8" t="e" cm="1">
        <f t="array" ref="AJ88">IF(AG88="","", IFERROR(((IF(AG$5&lt;&gt;"", AG$5*Y$5, 0) + SUMPRODUCT(--(AG$6:AG88&lt;&gt;""), AG$6:AG88, (Y$6:Y88-Y$5:Y87)))/1000)/AF$3, ""))</f>
        <v>#N/A</v>
      </c>
      <c r="AK88" s="1">
        <f t="shared" si="60"/>
        <v>1680</v>
      </c>
      <c r="AL88" s="1">
        <f t="shared" si="61"/>
        <v>0</v>
      </c>
      <c r="AS88" s="1" t="e">
        <f t="shared" si="62"/>
        <v>#N/A</v>
      </c>
      <c r="AT88" s="1" t="e">
        <f t="shared" si="43"/>
        <v>#N/A</v>
      </c>
      <c r="AU88" s="1" t="e">
        <f t="shared" si="63"/>
        <v>#N/A</v>
      </c>
      <c r="AV88" s="8" t="e" cm="1">
        <f t="array" ref="AV88">IF(AS88="","", IFERROR(((IF(AS$5&lt;&gt;"", AS$5*AK$5, 0) + SUMPRODUCT(--(AS$6:AS88&lt;&gt;""), AS$6:AS88, (AK$6:AK88-AK$5:AK87)))/1000)/AR$3, ""))</f>
        <v>#N/A</v>
      </c>
      <c r="AW88" s="1">
        <f t="shared" si="64"/>
        <v>1680</v>
      </c>
      <c r="AX88" s="1">
        <f t="shared" si="65"/>
        <v>0</v>
      </c>
      <c r="BE88" s="1" t="e">
        <f t="shared" si="66"/>
        <v>#N/A</v>
      </c>
      <c r="BF88" s="1" t="e">
        <f t="shared" si="44"/>
        <v>#N/A</v>
      </c>
      <c r="BG88" s="1" t="e">
        <f t="shared" si="67"/>
        <v>#N/A</v>
      </c>
      <c r="BH88" s="8" t="e" cm="1">
        <f t="array" ref="BH88">IF(BE88="","", IFERROR(((IF(BE$5&lt;&gt;"", BE$5*AW$5, 0) + SUMPRODUCT(--(BE$6:BE88&lt;&gt;""), BE$6:BE88, (AW$6:AW88-AW$5:AW87)))/1000)/BD$3, ""))</f>
        <v>#N/A</v>
      </c>
      <c r="BI88" s="1">
        <f t="shared" si="68"/>
        <v>1680</v>
      </c>
      <c r="BJ88" s="1">
        <f t="shared" si="69"/>
        <v>0</v>
      </c>
      <c r="BQ88" s="1" t="e">
        <f t="shared" si="70"/>
        <v>#N/A</v>
      </c>
      <c r="BR88" s="1" t="e">
        <f t="shared" si="45"/>
        <v>#N/A</v>
      </c>
      <c r="BS88" s="1" t="e">
        <f t="shared" si="71"/>
        <v>#N/A</v>
      </c>
      <c r="BT88" s="8" t="e" cm="1">
        <f t="array" ref="BT88">IF(BQ88="","", IFERROR(((IF(BQ$5&lt;&gt;"", BQ$5*BI$5, 0) + SUMPRODUCT(--(BQ$6:BQ88&lt;&gt;""), BQ$6:BQ88, (BI$6:BI88-BI$5:BI87)))/1000)/BP$3, ""))</f>
        <v>#N/A</v>
      </c>
      <c r="BU88" s="1">
        <f t="shared" si="72"/>
        <v>1680</v>
      </c>
      <c r="BV88" s="1">
        <f t="shared" si="73"/>
        <v>0</v>
      </c>
      <c r="CC88" s="1" t="e">
        <f t="shared" si="74"/>
        <v>#N/A</v>
      </c>
      <c r="CD88" s="1" t="e">
        <f t="shared" si="46"/>
        <v>#N/A</v>
      </c>
      <c r="CE88" s="1" t="e">
        <f t="shared" si="75"/>
        <v>#N/A</v>
      </c>
      <c r="CF88" s="8" t="e" cm="1">
        <f t="array" ref="CF88">IF(CC88="","", IFERROR(((IF(CC$5&lt;&gt;"", CC$5*BU$5, 0) + SUMPRODUCT(--(CC$6:CC88&lt;&gt;""), CC$6:CC88, (BU$6:BU88-BU$5:BU87)))/1000)/CB$3, ""))</f>
        <v>#N/A</v>
      </c>
      <c r="CG88" s="1">
        <f t="shared" si="76"/>
        <v>1680</v>
      </c>
      <c r="CH88" s="1">
        <f t="shared" si="77"/>
        <v>0</v>
      </c>
      <c r="CO88" s="1" t="e">
        <f t="shared" si="78"/>
        <v>#N/A</v>
      </c>
      <c r="CP88" s="1" t="e">
        <f t="shared" si="47"/>
        <v>#N/A</v>
      </c>
      <c r="CQ88" s="1" t="e">
        <f t="shared" si="79"/>
        <v>#N/A</v>
      </c>
      <c r="CR88" s="8" t="e" cm="1">
        <f t="array" ref="CR88">IF(CO88="","", IFERROR(((IF(CO$5&lt;&gt;"", CO$5*CG$5, 0) + SUMPRODUCT(--(CO$6:CO88&lt;&gt;""), CO$6:CO88, (CG$6:CG88-CG$5:CG87)))/1000)/CN$3, ""))</f>
        <v>#N/A</v>
      </c>
    </row>
    <row r="89" spans="1:96" x14ac:dyDescent="0.25">
      <c r="A89" s="1">
        <f t="shared" si="48"/>
        <v>1700</v>
      </c>
      <c r="B89" s="1">
        <f t="shared" si="49"/>
        <v>0</v>
      </c>
      <c r="I89" s="1" t="e">
        <f t="shared" si="50"/>
        <v>#N/A</v>
      </c>
      <c r="J89" s="1" t="e">
        <f t="shared" si="40"/>
        <v>#N/A</v>
      </c>
      <c r="K89" s="1" t="e">
        <f t="shared" si="51"/>
        <v>#N/A</v>
      </c>
      <c r="L89" s="8" t="e" cm="1">
        <f t="array" ref="L89">IF(I89="","", IFERROR(((IF(I$5&lt;&gt;"", I$5*A$5, 0) + SUMPRODUCT(--(I$6:I89&lt;&gt;""), I$6:I89, (A$6:A89-A$5:A88)))/1000)/H$3, ""))</f>
        <v>#N/A</v>
      </c>
      <c r="M89" s="1">
        <f t="shared" si="52"/>
        <v>1700</v>
      </c>
      <c r="N89" s="1">
        <f t="shared" si="53"/>
        <v>0</v>
      </c>
      <c r="U89" s="1" t="e">
        <f t="shared" si="54"/>
        <v>#N/A</v>
      </c>
      <c r="V89" s="1" t="e">
        <f t="shared" si="41"/>
        <v>#N/A</v>
      </c>
      <c r="W89" s="1" t="e">
        <f t="shared" si="55"/>
        <v>#N/A</v>
      </c>
      <c r="X89" s="8" t="e" cm="1">
        <f t="array" ref="X89">IF(U89="","", IFERROR(((IF(U$5&lt;&gt;"", U$5*M$5, 0) + SUMPRODUCT(--(U$6:U89&lt;&gt;""), U$6:U89, (M$6:M89-M$5:M88)))/1000)/T$3, ""))</f>
        <v>#N/A</v>
      </c>
      <c r="Y89" s="1">
        <f t="shared" si="56"/>
        <v>1700</v>
      </c>
      <c r="Z89" s="1">
        <f t="shared" si="57"/>
        <v>0</v>
      </c>
      <c r="AG89" s="1" t="e">
        <f t="shared" si="58"/>
        <v>#N/A</v>
      </c>
      <c r="AH89" s="1" t="e">
        <f t="shared" si="42"/>
        <v>#N/A</v>
      </c>
      <c r="AI89" s="1" t="e">
        <f t="shared" si="59"/>
        <v>#N/A</v>
      </c>
      <c r="AJ89" s="8" t="e" cm="1">
        <f t="array" ref="AJ89">IF(AG89="","", IFERROR(((IF(AG$5&lt;&gt;"", AG$5*Y$5, 0) + SUMPRODUCT(--(AG$6:AG89&lt;&gt;""), AG$6:AG89, (Y$6:Y89-Y$5:Y88)))/1000)/AF$3, ""))</f>
        <v>#N/A</v>
      </c>
      <c r="AK89" s="1">
        <f t="shared" si="60"/>
        <v>1700</v>
      </c>
      <c r="AL89" s="1">
        <f t="shared" si="61"/>
        <v>0</v>
      </c>
      <c r="AS89" s="1" t="e">
        <f t="shared" si="62"/>
        <v>#N/A</v>
      </c>
      <c r="AT89" s="1" t="e">
        <f t="shared" si="43"/>
        <v>#N/A</v>
      </c>
      <c r="AU89" s="1" t="e">
        <f t="shared" si="63"/>
        <v>#N/A</v>
      </c>
      <c r="AV89" s="8" t="e" cm="1">
        <f t="array" ref="AV89">IF(AS89="","", IFERROR(((IF(AS$5&lt;&gt;"", AS$5*AK$5, 0) + SUMPRODUCT(--(AS$6:AS89&lt;&gt;""), AS$6:AS89, (AK$6:AK89-AK$5:AK88)))/1000)/AR$3, ""))</f>
        <v>#N/A</v>
      </c>
      <c r="AW89" s="1">
        <f t="shared" si="64"/>
        <v>1700</v>
      </c>
      <c r="AX89" s="1">
        <f t="shared" si="65"/>
        <v>0</v>
      </c>
      <c r="BE89" s="1" t="e">
        <f t="shared" si="66"/>
        <v>#N/A</v>
      </c>
      <c r="BF89" s="1" t="e">
        <f t="shared" si="44"/>
        <v>#N/A</v>
      </c>
      <c r="BG89" s="1" t="e">
        <f t="shared" si="67"/>
        <v>#N/A</v>
      </c>
      <c r="BH89" s="8" t="e" cm="1">
        <f t="array" ref="BH89">IF(BE89="","", IFERROR(((IF(BE$5&lt;&gt;"", BE$5*AW$5, 0) + SUMPRODUCT(--(BE$6:BE89&lt;&gt;""), BE$6:BE89, (AW$6:AW89-AW$5:AW88)))/1000)/BD$3, ""))</f>
        <v>#N/A</v>
      </c>
      <c r="BI89" s="1">
        <f t="shared" si="68"/>
        <v>1700</v>
      </c>
      <c r="BJ89" s="1">
        <f t="shared" si="69"/>
        <v>0</v>
      </c>
      <c r="BQ89" s="1" t="e">
        <f t="shared" si="70"/>
        <v>#N/A</v>
      </c>
      <c r="BR89" s="1" t="e">
        <f t="shared" si="45"/>
        <v>#N/A</v>
      </c>
      <c r="BS89" s="1" t="e">
        <f t="shared" si="71"/>
        <v>#N/A</v>
      </c>
      <c r="BT89" s="8" t="e" cm="1">
        <f t="array" ref="BT89">IF(BQ89="","", IFERROR(((IF(BQ$5&lt;&gt;"", BQ$5*BI$5, 0) + SUMPRODUCT(--(BQ$6:BQ89&lt;&gt;""), BQ$6:BQ89, (BI$6:BI89-BI$5:BI88)))/1000)/BP$3, ""))</f>
        <v>#N/A</v>
      </c>
      <c r="BU89" s="1">
        <f t="shared" si="72"/>
        <v>1700</v>
      </c>
      <c r="BV89" s="1">
        <f t="shared" si="73"/>
        <v>0</v>
      </c>
      <c r="CC89" s="1" t="e">
        <f t="shared" si="74"/>
        <v>#N/A</v>
      </c>
      <c r="CD89" s="1" t="e">
        <f t="shared" si="46"/>
        <v>#N/A</v>
      </c>
      <c r="CE89" s="1" t="e">
        <f t="shared" si="75"/>
        <v>#N/A</v>
      </c>
      <c r="CF89" s="8" t="e" cm="1">
        <f t="array" ref="CF89">IF(CC89="","", IFERROR(((IF(CC$5&lt;&gt;"", CC$5*BU$5, 0) + SUMPRODUCT(--(CC$6:CC89&lt;&gt;""), CC$6:CC89, (BU$6:BU89-BU$5:BU88)))/1000)/CB$3, ""))</f>
        <v>#N/A</v>
      </c>
      <c r="CG89" s="1">
        <f t="shared" si="76"/>
        <v>1700</v>
      </c>
      <c r="CH89" s="1">
        <f t="shared" si="77"/>
        <v>0</v>
      </c>
      <c r="CO89" s="1" t="e">
        <f t="shared" si="78"/>
        <v>#N/A</v>
      </c>
      <c r="CP89" s="1" t="e">
        <f t="shared" si="47"/>
        <v>#N/A</v>
      </c>
      <c r="CQ89" s="1" t="e">
        <f t="shared" si="79"/>
        <v>#N/A</v>
      </c>
      <c r="CR89" s="8" t="e" cm="1">
        <f t="array" ref="CR89">IF(CO89="","", IFERROR(((IF(CO$5&lt;&gt;"", CO$5*CG$5, 0) + SUMPRODUCT(--(CO$6:CO89&lt;&gt;""), CO$6:CO89, (CG$6:CG89-CG$5:CG88)))/1000)/CN$3, ""))</f>
        <v>#N/A</v>
      </c>
    </row>
    <row r="90" spans="1:96" x14ac:dyDescent="0.25">
      <c r="A90" s="1">
        <f t="shared" si="48"/>
        <v>1720</v>
      </c>
      <c r="B90" s="1">
        <f t="shared" si="49"/>
        <v>0</v>
      </c>
      <c r="I90" s="1" t="e">
        <f t="shared" si="50"/>
        <v>#N/A</v>
      </c>
      <c r="J90" s="1" t="e">
        <f t="shared" si="40"/>
        <v>#N/A</v>
      </c>
      <c r="K90" s="1" t="e">
        <f t="shared" si="51"/>
        <v>#N/A</v>
      </c>
      <c r="L90" s="8" t="e" cm="1">
        <f t="array" ref="L90">IF(I90="","", IFERROR(((IF(I$5&lt;&gt;"", I$5*A$5, 0) + SUMPRODUCT(--(I$6:I90&lt;&gt;""), I$6:I90, (A$6:A90-A$5:A89)))/1000)/H$3, ""))</f>
        <v>#N/A</v>
      </c>
      <c r="M90" s="1">
        <f t="shared" si="52"/>
        <v>1720</v>
      </c>
      <c r="N90" s="1">
        <f t="shared" si="53"/>
        <v>0</v>
      </c>
      <c r="U90" s="1" t="e">
        <f t="shared" si="54"/>
        <v>#N/A</v>
      </c>
      <c r="V90" s="1" t="e">
        <f t="shared" si="41"/>
        <v>#N/A</v>
      </c>
      <c r="W90" s="1" t="e">
        <f t="shared" si="55"/>
        <v>#N/A</v>
      </c>
      <c r="X90" s="8" t="e" cm="1">
        <f t="array" ref="X90">IF(U90="","", IFERROR(((IF(U$5&lt;&gt;"", U$5*M$5, 0) + SUMPRODUCT(--(U$6:U90&lt;&gt;""), U$6:U90, (M$6:M90-M$5:M89)))/1000)/T$3, ""))</f>
        <v>#N/A</v>
      </c>
      <c r="Y90" s="1">
        <f t="shared" si="56"/>
        <v>1720</v>
      </c>
      <c r="Z90" s="1">
        <f t="shared" si="57"/>
        <v>0</v>
      </c>
      <c r="AG90" s="1" t="e">
        <f t="shared" si="58"/>
        <v>#N/A</v>
      </c>
      <c r="AH90" s="1" t="e">
        <f t="shared" si="42"/>
        <v>#N/A</v>
      </c>
      <c r="AI90" s="1" t="e">
        <f t="shared" si="59"/>
        <v>#N/A</v>
      </c>
      <c r="AJ90" s="8" t="e" cm="1">
        <f t="array" ref="AJ90">IF(AG90="","", IFERROR(((IF(AG$5&lt;&gt;"", AG$5*Y$5, 0) + SUMPRODUCT(--(AG$6:AG90&lt;&gt;""), AG$6:AG90, (Y$6:Y90-Y$5:Y89)))/1000)/AF$3, ""))</f>
        <v>#N/A</v>
      </c>
      <c r="AK90" s="1">
        <f t="shared" si="60"/>
        <v>1720</v>
      </c>
      <c r="AL90" s="1">
        <f t="shared" si="61"/>
        <v>0</v>
      </c>
      <c r="AS90" s="1" t="e">
        <f t="shared" si="62"/>
        <v>#N/A</v>
      </c>
      <c r="AT90" s="1" t="e">
        <f t="shared" si="43"/>
        <v>#N/A</v>
      </c>
      <c r="AU90" s="1" t="e">
        <f t="shared" si="63"/>
        <v>#N/A</v>
      </c>
      <c r="AV90" s="8" t="e" cm="1">
        <f t="array" ref="AV90">IF(AS90="","", IFERROR(((IF(AS$5&lt;&gt;"", AS$5*AK$5, 0) + SUMPRODUCT(--(AS$6:AS90&lt;&gt;""), AS$6:AS90, (AK$6:AK90-AK$5:AK89)))/1000)/AR$3, ""))</f>
        <v>#N/A</v>
      </c>
      <c r="AW90" s="1">
        <f t="shared" si="64"/>
        <v>1720</v>
      </c>
      <c r="AX90" s="1">
        <f t="shared" si="65"/>
        <v>0</v>
      </c>
      <c r="BE90" s="1" t="e">
        <f t="shared" si="66"/>
        <v>#N/A</v>
      </c>
      <c r="BF90" s="1" t="e">
        <f t="shared" si="44"/>
        <v>#N/A</v>
      </c>
      <c r="BG90" s="1" t="e">
        <f t="shared" si="67"/>
        <v>#N/A</v>
      </c>
      <c r="BH90" s="8" t="e" cm="1">
        <f t="array" ref="BH90">IF(BE90="","", IFERROR(((IF(BE$5&lt;&gt;"", BE$5*AW$5, 0) + SUMPRODUCT(--(BE$6:BE90&lt;&gt;""), BE$6:BE90, (AW$6:AW90-AW$5:AW89)))/1000)/BD$3, ""))</f>
        <v>#N/A</v>
      </c>
      <c r="BI90" s="1">
        <f t="shared" si="68"/>
        <v>1720</v>
      </c>
      <c r="BJ90" s="1">
        <f t="shared" si="69"/>
        <v>0</v>
      </c>
      <c r="BQ90" s="1" t="e">
        <f t="shared" si="70"/>
        <v>#N/A</v>
      </c>
      <c r="BR90" s="1" t="e">
        <f t="shared" si="45"/>
        <v>#N/A</v>
      </c>
      <c r="BS90" s="1" t="e">
        <f t="shared" si="71"/>
        <v>#N/A</v>
      </c>
      <c r="BT90" s="8" t="e" cm="1">
        <f t="array" ref="BT90">IF(BQ90="","", IFERROR(((IF(BQ$5&lt;&gt;"", BQ$5*BI$5, 0) + SUMPRODUCT(--(BQ$6:BQ90&lt;&gt;""), BQ$6:BQ90, (BI$6:BI90-BI$5:BI89)))/1000)/BP$3, ""))</f>
        <v>#N/A</v>
      </c>
      <c r="BU90" s="1">
        <f t="shared" si="72"/>
        <v>1720</v>
      </c>
      <c r="BV90" s="1">
        <f t="shared" si="73"/>
        <v>0</v>
      </c>
      <c r="CC90" s="1" t="e">
        <f t="shared" si="74"/>
        <v>#N/A</v>
      </c>
      <c r="CD90" s="1" t="e">
        <f t="shared" si="46"/>
        <v>#N/A</v>
      </c>
      <c r="CE90" s="1" t="e">
        <f t="shared" si="75"/>
        <v>#N/A</v>
      </c>
      <c r="CF90" s="8" t="e" cm="1">
        <f t="array" ref="CF90">IF(CC90="","", IFERROR(((IF(CC$5&lt;&gt;"", CC$5*BU$5, 0) + SUMPRODUCT(--(CC$6:CC90&lt;&gt;""), CC$6:CC90, (BU$6:BU90-BU$5:BU89)))/1000)/CB$3, ""))</f>
        <v>#N/A</v>
      </c>
      <c r="CG90" s="1">
        <f t="shared" si="76"/>
        <v>1720</v>
      </c>
      <c r="CH90" s="1">
        <f t="shared" si="77"/>
        <v>0</v>
      </c>
      <c r="CO90" s="1" t="e">
        <f t="shared" si="78"/>
        <v>#N/A</v>
      </c>
      <c r="CP90" s="1" t="e">
        <f t="shared" si="47"/>
        <v>#N/A</v>
      </c>
      <c r="CQ90" s="1" t="e">
        <f t="shared" si="79"/>
        <v>#N/A</v>
      </c>
      <c r="CR90" s="8" t="e" cm="1">
        <f t="array" ref="CR90">IF(CO90="","", IFERROR(((IF(CO$5&lt;&gt;"", CO$5*CG$5, 0) + SUMPRODUCT(--(CO$6:CO90&lt;&gt;""), CO$6:CO90, (CG$6:CG90-CG$5:CG89)))/1000)/CN$3, ""))</f>
        <v>#N/A</v>
      </c>
    </row>
    <row r="91" spans="1:96" x14ac:dyDescent="0.25">
      <c r="A91" s="1">
        <f t="shared" si="48"/>
        <v>1740</v>
      </c>
      <c r="B91" s="1">
        <f t="shared" si="49"/>
        <v>0</v>
      </c>
      <c r="I91" s="1" t="e">
        <f t="shared" si="50"/>
        <v>#N/A</v>
      </c>
      <c r="J91" s="1" t="e">
        <f t="shared" si="40"/>
        <v>#N/A</v>
      </c>
      <c r="K91" s="1" t="e">
        <f t="shared" si="51"/>
        <v>#N/A</v>
      </c>
      <c r="L91" s="8" t="e" cm="1">
        <f t="array" ref="L91">IF(I91="","", IFERROR(((IF(I$5&lt;&gt;"", I$5*A$5, 0) + SUMPRODUCT(--(I$6:I91&lt;&gt;""), I$6:I91, (A$6:A91-A$5:A90)))/1000)/H$3, ""))</f>
        <v>#N/A</v>
      </c>
      <c r="M91" s="1">
        <f t="shared" si="52"/>
        <v>1740</v>
      </c>
      <c r="N91" s="1">
        <f t="shared" si="53"/>
        <v>0</v>
      </c>
      <c r="U91" s="1" t="e">
        <f t="shared" si="54"/>
        <v>#N/A</v>
      </c>
      <c r="V91" s="1" t="e">
        <f t="shared" si="41"/>
        <v>#N/A</v>
      </c>
      <c r="W91" s="1" t="e">
        <f t="shared" si="55"/>
        <v>#N/A</v>
      </c>
      <c r="X91" s="8" t="e" cm="1">
        <f t="array" ref="X91">IF(U91="","", IFERROR(((IF(U$5&lt;&gt;"", U$5*M$5, 0) + SUMPRODUCT(--(U$6:U91&lt;&gt;""), U$6:U91, (M$6:M91-M$5:M90)))/1000)/T$3, ""))</f>
        <v>#N/A</v>
      </c>
      <c r="Y91" s="1">
        <f t="shared" si="56"/>
        <v>1740</v>
      </c>
      <c r="Z91" s="1">
        <f t="shared" si="57"/>
        <v>0</v>
      </c>
      <c r="AG91" s="1" t="e">
        <f t="shared" si="58"/>
        <v>#N/A</v>
      </c>
      <c r="AH91" s="1" t="e">
        <f t="shared" si="42"/>
        <v>#N/A</v>
      </c>
      <c r="AI91" s="1" t="e">
        <f t="shared" si="59"/>
        <v>#N/A</v>
      </c>
      <c r="AJ91" s="8" t="e" cm="1">
        <f t="array" ref="AJ91">IF(AG91="","", IFERROR(((IF(AG$5&lt;&gt;"", AG$5*Y$5, 0) + SUMPRODUCT(--(AG$6:AG91&lt;&gt;""), AG$6:AG91, (Y$6:Y91-Y$5:Y90)))/1000)/AF$3, ""))</f>
        <v>#N/A</v>
      </c>
      <c r="AK91" s="1">
        <f t="shared" si="60"/>
        <v>1740</v>
      </c>
      <c r="AL91" s="1">
        <f t="shared" si="61"/>
        <v>0</v>
      </c>
      <c r="AS91" s="1" t="e">
        <f t="shared" si="62"/>
        <v>#N/A</v>
      </c>
      <c r="AT91" s="1" t="e">
        <f t="shared" si="43"/>
        <v>#N/A</v>
      </c>
      <c r="AU91" s="1" t="e">
        <f t="shared" si="63"/>
        <v>#N/A</v>
      </c>
      <c r="AV91" s="8" t="e" cm="1">
        <f t="array" ref="AV91">IF(AS91="","", IFERROR(((IF(AS$5&lt;&gt;"", AS$5*AK$5, 0) + SUMPRODUCT(--(AS$6:AS91&lt;&gt;""), AS$6:AS91, (AK$6:AK91-AK$5:AK90)))/1000)/AR$3, ""))</f>
        <v>#N/A</v>
      </c>
      <c r="AW91" s="1">
        <f t="shared" si="64"/>
        <v>1740</v>
      </c>
      <c r="AX91" s="1">
        <f t="shared" si="65"/>
        <v>0</v>
      </c>
      <c r="BE91" s="1" t="e">
        <f t="shared" si="66"/>
        <v>#N/A</v>
      </c>
      <c r="BF91" s="1" t="e">
        <f t="shared" si="44"/>
        <v>#N/A</v>
      </c>
      <c r="BG91" s="1" t="e">
        <f t="shared" si="67"/>
        <v>#N/A</v>
      </c>
      <c r="BH91" s="8" t="e" cm="1">
        <f t="array" ref="BH91">IF(BE91="","", IFERROR(((IF(BE$5&lt;&gt;"", BE$5*AW$5, 0) + SUMPRODUCT(--(BE$6:BE91&lt;&gt;""), BE$6:BE91, (AW$6:AW91-AW$5:AW90)))/1000)/BD$3, ""))</f>
        <v>#N/A</v>
      </c>
      <c r="BI91" s="1">
        <f t="shared" si="68"/>
        <v>1740</v>
      </c>
      <c r="BJ91" s="1">
        <f t="shared" si="69"/>
        <v>0</v>
      </c>
      <c r="BQ91" s="1" t="e">
        <f t="shared" si="70"/>
        <v>#N/A</v>
      </c>
      <c r="BR91" s="1" t="e">
        <f t="shared" si="45"/>
        <v>#N/A</v>
      </c>
      <c r="BS91" s="1" t="e">
        <f t="shared" si="71"/>
        <v>#N/A</v>
      </c>
      <c r="BT91" s="8" t="e" cm="1">
        <f t="array" ref="BT91">IF(BQ91="","", IFERROR(((IF(BQ$5&lt;&gt;"", BQ$5*BI$5, 0) + SUMPRODUCT(--(BQ$6:BQ91&lt;&gt;""), BQ$6:BQ91, (BI$6:BI91-BI$5:BI90)))/1000)/BP$3, ""))</f>
        <v>#N/A</v>
      </c>
      <c r="BU91" s="1">
        <f t="shared" si="72"/>
        <v>1740</v>
      </c>
      <c r="BV91" s="1">
        <f t="shared" si="73"/>
        <v>0</v>
      </c>
      <c r="CC91" s="1" t="e">
        <f t="shared" si="74"/>
        <v>#N/A</v>
      </c>
      <c r="CD91" s="1" t="e">
        <f t="shared" si="46"/>
        <v>#N/A</v>
      </c>
      <c r="CE91" s="1" t="e">
        <f t="shared" si="75"/>
        <v>#N/A</v>
      </c>
      <c r="CF91" s="8" t="e" cm="1">
        <f t="array" ref="CF91">IF(CC91="","", IFERROR(((IF(CC$5&lt;&gt;"", CC$5*BU$5, 0) + SUMPRODUCT(--(CC$6:CC91&lt;&gt;""), CC$6:CC91, (BU$6:BU91-BU$5:BU90)))/1000)/CB$3, ""))</f>
        <v>#N/A</v>
      </c>
      <c r="CG91" s="1">
        <f t="shared" si="76"/>
        <v>1740</v>
      </c>
      <c r="CH91" s="1">
        <f t="shared" si="77"/>
        <v>0</v>
      </c>
      <c r="CO91" s="1" t="e">
        <f t="shared" si="78"/>
        <v>#N/A</v>
      </c>
      <c r="CP91" s="1" t="e">
        <f t="shared" si="47"/>
        <v>#N/A</v>
      </c>
      <c r="CQ91" s="1" t="e">
        <f t="shared" si="79"/>
        <v>#N/A</v>
      </c>
      <c r="CR91" s="8" t="e" cm="1">
        <f t="array" ref="CR91">IF(CO91="","", IFERROR(((IF(CO$5&lt;&gt;"", CO$5*CG$5, 0) + SUMPRODUCT(--(CO$6:CO91&lt;&gt;""), CO$6:CO91, (CG$6:CG91-CG$5:CG90)))/1000)/CN$3, ""))</f>
        <v>#N/A</v>
      </c>
    </row>
    <row r="92" spans="1:96" x14ac:dyDescent="0.25">
      <c r="A92" s="1">
        <f t="shared" si="48"/>
        <v>1760</v>
      </c>
      <c r="B92" s="1">
        <f t="shared" si="49"/>
        <v>0</v>
      </c>
      <c r="I92" s="1" t="e">
        <f t="shared" si="50"/>
        <v>#N/A</v>
      </c>
      <c r="J92" s="1" t="e">
        <f t="shared" si="40"/>
        <v>#N/A</v>
      </c>
      <c r="K92" s="1" t="e">
        <f t="shared" si="51"/>
        <v>#N/A</v>
      </c>
      <c r="L92" s="8" t="e" cm="1">
        <f t="array" ref="L92">IF(I92="","", IFERROR(((IF(I$5&lt;&gt;"", I$5*A$5, 0) + SUMPRODUCT(--(I$6:I92&lt;&gt;""), I$6:I92, (A$6:A92-A$5:A91)))/1000)/H$3, ""))</f>
        <v>#N/A</v>
      </c>
      <c r="M92" s="1">
        <f t="shared" si="52"/>
        <v>1760</v>
      </c>
      <c r="N92" s="1">
        <f t="shared" si="53"/>
        <v>0</v>
      </c>
      <c r="U92" s="1" t="e">
        <f t="shared" si="54"/>
        <v>#N/A</v>
      </c>
      <c r="V92" s="1" t="e">
        <f t="shared" si="41"/>
        <v>#N/A</v>
      </c>
      <c r="W92" s="1" t="e">
        <f t="shared" si="55"/>
        <v>#N/A</v>
      </c>
      <c r="X92" s="8" t="e" cm="1">
        <f t="array" ref="X92">IF(U92="","", IFERROR(((IF(U$5&lt;&gt;"", U$5*M$5, 0) + SUMPRODUCT(--(U$6:U92&lt;&gt;""), U$6:U92, (M$6:M92-M$5:M91)))/1000)/T$3, ""))</f>
        <v>#N/A</v>
      </c>
      <c r="Y92" s="1">
        <f t="shared" si="56"/>
        <v>1760</v>
      </c>
      <c r="Z92" s="1">
        <f t="shared" si="57"/>
        <v>0</v>
      </c>
      <c r="AG92" s="1" t="e">
        <f t="shared" si="58"/>
        <v>#N/A</v>
      </c>
      <c r="AH92" s="1" t="e">
        <f t="shared" si="42"/>
        <v>#N/A</v>
      </c>
      <c r="AI92" s="1" t="e">
        <f t="shared" si="59"/>
        <v>#N/A</v>
      </c>
      <c r="AJ92" s="8" t="e" cm="1">
        <f t="array" ref="AJ92">IF(AG92="","", IFERROR(((IF(AG$5&lt;&gt;"", AG$5*Y$5, 0) + SUMPRODUCT(--(AG$6:AG92&lt;&gt;""), AG$6:AG92, (Y$6:Y92-Y$5:Y91)))/1000)/AF$3, ""))</f>
        <v>#N/A</v>
      </c>
      <c r="AK92" s="1">
        <f t="shared" si="60"/>
        <v>1760</v>
      </c>
      <c r="AL92" s="1">
        <f t="shared" si="61"/>
        <v>0</v>
      </c>
      <c r="AS92" s="1" t="e">
        <f t="shared" si="62"/>
        <v>#N/A</v>
      </c>
      <c r="AT92" s="1" t="e">
        <f t="shared" si="43"/>
        <v>#N/A</v>
      </c>
      <c r="AU92" s="1" t="e">
        <f t="shared" si="63"/>
        <v>#N/A</v>
      </c>
      <c r="AV92" s="8" t="e" cm="1">
        <f t="array" ref="AV92">IF(AS92="","", IFERROR(((IF(AS$5&lt;&gt;"", AS$5*AK$5, 0) + SUMPRODUCT(--(AS$6:AS92&lt;&gt;""), AS$6:AS92, (AK$6:AK92-AK$5:AK91)))/1000)/AR$3, ""))</f>
        <v>#N/A</v>
      </c>
      <c r="AW92" s="1">
        <f t="shared" si="64"/>
        <v>1760</v>
      </c>
      <c r="AX92" s="1">
        <f t="shared" si="65"/>
        <v>0</v>
      </c>
      <c r="BE92" s="1" t="e">
        <f t="shared" si="66"/>
        <v>#N/A</v>
      </c>
      <c r="BF92" s="1" t="e">
        <f t="shared" si="44"/>
        <v>#N/A</v>
      </c>
      <c r="BG92" s="1" t="e">
        <f t="shared" si="67"/>
        <v>#N/A</v>
      </c>
      <c r="BH92" s="8" t="e" cm="1">
        <f t="array" ref="BH92">IF(BE92="","", IFERROR(((IF(BE$5&lt;&gt;"", BE$5*AW$5, 0) + SUMPRODUCT(--(BE$6:BE92&lt;&gt;""), BE$6:BE92, (AW$6:AW92-AW$5:AW91)))/1000)/BD$3, ""))</f>
        <v>#N/A</v>
      </c>
      <c r="BI92" s="1">
        <f t="shared" si="68"/>
        <v>1760</v>
      </c>
      <c r="BJ92" s="1">
        <f t="shared" si="69"/>
        <v>0</v>
      </c>
      <c r="BQ92" s="1" t="e">
        <f t="shared" si="70"/>
        <v>#N/A</v>
      </c>
      <c r="BR92" s="1" t="e">
        <f t="shared" si="45"/>
        <v>#N/A</v>
      </c>
      <c r="BS92" s="1" t="e">
        <f t="shared" si="71"/>
        <v>#N/A</v>
      </c>
      <c r="BT92" s="8" t="e" cm="1">
        <f t="array" ref="BT92">IF(BQ92="","", IFERROR(((IF(BQ$5&lt;&gt;"", BQ$5*BI$5, 0) + SUMPRODUCT(--(BQ$6:BQ92&lt;&gt;""), BQ$6:BQ92, (BI$6:BI92-BI$5:BI91)))/1000)/BP$3, ""))</f>
        <v>#N/A</v>
      </c>
      <c r="BU92" s="1">
        <f t="shared" si="72"/>
        <v>1760</v>
      </c>
      <c r="BV92" s="1">
        <f t="shared" si="73"/>
        <v>0</v>
      </c>
      <c r="CC92" s="1" t="e">
        <f t="shared" si="74"/>
        <v>#N/A</v>
      </c>
      <c r="CD92" s="1" t="e">
        <f t="shared" si="46"/>
        <v>#N/A</v>
      </c>
      <c r="CE92" s="1" t="e">
        <f t="shared" si="75"/>
        <v>#N/A</v>
      </c>
      <c r="CF92" s="8" t="e" cm="1">
        <f t="array" ref="CF92">IF(CC92="","", IFERROR(((IF(CC$5&lt;&gt;"", CC$5*BU$5, 0) + SUMPRODUCT(--(CC$6:CC92&lt;&gt;""), CC$6:CC92, (BU$6:BU92-BU$5:BU91)))/1000)/CB$3, ""))</f>
        <v>#N/A</v>
      </c>
      <c r="CG92" s="1">
        <f t="shared" si="76"/>
        <v>1760</v>
      </c>
      <c r="CH92" s="1">
        <f t="shared" si="77"/>
        <v>0</v>
      </c>
      <c r="CO92" s="1" t="e">
        <f t="shared" si="78"/>
        <v>#N/A</v>
      </c>
      <c r="CP92" s="1" t="e">
        <f t="shared" si="47"/>
        <v>#N/A</v>
      </c>
      <c r="CQ92" s="1" t="e">
        <f t="shared" si="79"/>
        <v>#N/A</v>
      </c>
      <c r="CR92" s="8" t="e" cm="1">
        <f t="array" ref="CR92">IF(CO92="","", IFERROR(((IF(CO$5&lt;&gt;"", CO$5*CG$5, 0) + SUMPRODUCT(--(CO$6:CO92&lt;&gt;""), CO$6:CO92, (CG$6:CG92-CG$5:CG91)))/1000)/CN$3, ""))</f>
        <v>#N/A</v>
      </c>
    </row>
    <row r="93" spans="1:96" x14ac:dyDescent="0.25">
      <c r="A93" s="1">
        <f t="shared" si="48"/>
        <v>1780</v>
      </c>
      <c r="B93" s="1">
        <f t="shared" si="49"/>
        <v>0</v>
      </c>
      <c r="I93" s="1" t="e">
        <f t="shared" si="50"/>
        <v>#N/A</v>
      </c>
      <c r="J93" s="1" t="e">
        <f t="shared" si="40"/>
        <v>#N/A</v>
      </c>
      <c r="K93" s="1" t="e">
        <f t="shared" si="51"/>
        <v>#N/A</v>
      </c>
      <c r="L93" s="8" t="e" cm="1">
        <f t="array" ref="L93">IF(I93="","", IFERROR(((IF(I$5&lt;&gt;"", I$5*A$5, 0) + SUMPRODUCT(--(I$6:I93&lt;&gt;""), I$6:I93, (A$6:A93-A$5:A92)))/1000)/H$3, ""))</f>
        <v>#N/A</v>
      </c>
      <c r="M93" s="1">
        <f t="shared" si="52"/>
        <v>1780</v>
      </c>
      <c r="N93" s="1">
        <f t="shared" si="53"/>
        <v>0</v>
      </c>
      <c r="U93" s="1" t="e">
        <f t="shared" si="54"/>
        <v>#N/A</v>
      </c>
      <c r="V93" s="1" t="e">
        <f t="shared" si="41"/>
        <v>#N/A</v>
      </c>
      <c r="W93" s="1" t="e">
        <f t="shared" si="55"/>
        <v>#N/A</v>
      </c>
      <c r="X93" s="8" t="e" cm="1">
        <f t="array" ref="X93">IF(U93="","", IFERROR(((IF(U$5&lt;&gt;"", U$5*M$5, 0) + SUMPRODUCT(--(U$6:U93&lt;&gt;""), U$6:U93, (M$6:M93-M$5:M92)))/1000)/T$3, ""))</f>
        <v>#N/A</v>
      </c>
      <c r="Y93" s="1">
        <f t="shared" si="56"/>
        <v>1780</v>
      </c>
      <c r="Z93" s="1">
        <f t="shared" si="57"/>
        <v>0</v>
      </c>
      <c r="AG93" s="1" t="e">
        <f t="shared" si="58"/>
        <v>#N/A</v>
      </c>
      <c r="AH93" s="1" t="e">
        <f t="shared" si="42"/>
        <v>#N/A</v>
      </c>
      <c r="AI93" s="1" t="e">
        <f t="shared" si="59"/>
        <v>#N/A</v>
      </c>
      <c r="AJ93" s="8" t="e" cm="1">
        <f t="array" ref="AJ93">IF(AG93="","", IFERROR(((IF(AG$5&lt;&gt;"", AG$5*Y$5, 0) + SUMPRODUCT(--(AG$6:AG93&lt;&gt;""), AG$6:AG93, (Y$6:Y93-Y$5:Y92)))/1000)/AF$3, ""))</f>
        <v>#N/A</v>
      </c>
      <c r="AK93" s="1">
        <f t="shared" si="60"/>
        <v>1780</v>
      </c>
      <c r="AL93" s="1">
        <f t="shared" si="61"/>
        <v>0</v>
      </c>
      <c r="AS93" s="1" t="e">
        <f t="shared" si="62"/>
        <v>#N/A</v>
      </c>
      <c r="AT93" s="1" t="e">
        <f t="shared" si="43"/>
        <v>#N/A</v>
      </c>
      <c r="AU93" s="1" t="e">
        <f t="shared" si="63"/>
        <v>#N/A</v>
      </c>
      <c r="AV93" s="8" t="e" cm="1">
        <f t="array" ref="AV93">IF(AS93="","", IFERROR(((IF(AS$5&lt;&gt;"", AS$5*AK$5, 0) + SUMPRODUCT(--(AS$6:AS93&lt;&gt;""), AS$6:AS93, (AK$6:AK93-AK$5:AK92)))/1000)/AR$3, ""))</f>
        <v>#N/A</v>
      </c>
      <c r="AW93" s="1">
        <f t="shared" si="64"/>
        <v>1780</v>
      </c>
      <c r="AX93" s="1">
        <f t="shared" si="65"/>
        <v>0</v>
      </c>
      <c r="BE93" s="1" t="e">
        <f t="shared" si="66"/>
        <v>#N/A</v>
      </c>
      <c r="BF93" s="1" t="e">
        <f t="shared" si="44"/>
        <v>#N/A</v>
      </c>
      <c r="BG93" s="1" t="e">
        <f t="shared" si="67"/>
        <v>#N/A</v>
      </c>
      <c r="BH93" s="8" t="e" cm="1">
        <f t="array" ref="BH93">IF(BE93="","", IFERROR(((IF(BE$5&lt;&gt;"", BE$5*AW$5, 0) + SUMPRODUCT(--(BE$6:BE93&lt;&gt;""), BE$6:BE93, (AW$6:AW93-AW$5:AW92)))/1000)/BD$3, ""))</f>
        <v>#N/A</v>
      </c>
      <c r="BI93" s="1">
        <f t="shared" si="68"/>
        <v>1780</v>
      </c>
      <c r="BJ93" s="1">
        <f t="shared" si="69"/>
        <v>0</v>
      </c>
      <c r="BQ93" s="1" t="e">
        <f t="shared" si="70"/>
        <v>#N/A</v>
      </c>
      <c r="BR93" s="1" t="e">
        <f t="shared" si="45"/>
        <v>#N/A</v>
      </c>
      <c r="BS93" s="1" t="e">
        <f t="shared" si="71"/>
        <v>#N/A</v>
      </c>
      <c r="BT93" s="8" t="e" cm="1">
        <f t="array" ref="BT93">IF(BQ93="","", IFERROR(((IF(BQ$5&lt;&gt;"", BQ$5*BI$5, 0) + SUMPRODUCT(--(BQ$6:BQ93&lt;&gt;""), BQ$6:BQ93, (BI$6:BI93-BI$5:BI92)))/1000)/BP$3, ""))</f>
        <v>#N/A</v>
      </c>
      <c r="BU93" s="1">
        <f t="shared" si="72"/>
        <v>1780</v>
      </c>
      <c r="BV93" s="1">
        <f t="shared" si="73"/>
        <v>0</v>
      </c>
      <c r="CC93" s="1" t="e">
        <f t="shared" si="74"/>
        <v>#N/A</v>
      </c>
      <c r="CD93" s="1" t="e">
        <f t="shared" si="46"/>
        <v>#N/A</v>
      </c>
      <c r="CE93" s="1" t="e">
        <f t="shared" si="75"/>
        <v>#N/A</v>
      </c>
      <c r="CF93" s="8" t="e" cm="1">
        <f t="array" ref="CF93">IF(CC93="","", IFERROR(((IF(CC$5&lt;&gt;"", CC$5*BU$5, 0) + SUMPRODUCT(--(CC$6:CC93&lt;&gt;""), CC$6:CC93, (BU$6:BU93-BU$5:BU92)))/1000)/CB$3, ""))</f>
        <v>#N/A</v>
      </c>
      <c r="CG93" s="1">
        <f t="shared" si="76"/>
        <v>1780</v>
      </c>
      <c r="CH93" s="1">
        <f t="shared" si="77"/>
        <v>0</v>
      </c>
      <c r="CO93" s="1" t="e">
        <f t="shared" si="78"/>
        <v>#N/A</v>
      </c>
      <c r="CP93" s="1" t="e">
        <f t="shared" si="47"/>
        <v>#N/A</v>
      </c>
      <c r="CQ93" s="1" t="e">
        <f t="shared" si="79"/>
        <v>#N/A</v>
      </c>
      <c r="CR93" s="8" t="e" cm="1">
        <f t="array" ref="CR93">IF(CO93="","", IFERROR(((IF(CO$5&lt;&gt;"", CO$5*CG$5, 0) + SUMPRODUCT(--(CO$6:CO93&lt;&gt;""), CO$6:CO93, (CG$6:CG93-CG$5:CG92)))/1000)/CN$3, ""))</f>
        <v>#N/A</v>
      </c>
    </row>
    <row r="94" spans="1:96" x14ac:dyDescent="0.25">
      <c r="A94" s="1">
        <f t="shared" si="48"/>
        <v>1800</v>
      </c>
      <c r="B94" s="1">
        <f t="shared" si="49"/>
        <v>0</v>
      </c>
      <c r="I94" s="1" t="e">
        <f t="shared" si="50"/>
        <v>#N/A</v>
      </c>
      <c r="J94" s="1" t="e">
        <f t="shared" si="40"/>
        <v>#N/A</v>
      </c>
      <c r="K94" s="1" t="e">
        <f t="shared" si="51"/>
        <v>#N/A</v>
      </c>
      <c r="L94" s="8" t="e" cm="1">
        <f t="array" ref="L94">IF(I94="","", IFERROR(((IF(I$5&lt;&gt;"", I$5*A$5, 0) + SUMPRODUCT(--(I$6:I94&lt;&gt;""), I$6:I94, (A$6:A94-A$5:A93)))/1000)/H$3, ""))</f>
        <v>#N/A</v>
      </c>
      <c r="M94" s="1">
        <f t="shared" si="52"/>
        <v>1800</v>
      </c>
      <c r="N94" s="1">
        <f t="shared" si="53"/>
        <v>0</v>
      </c>
      <c r="U94" s="1" t="e">
        <f t="shared" si="54"/>
        <v>#N/A</v>
      </c>
      <c r="V94" s="1" t="e">
        <f t="shared" si="41"/>
        <v>#N/A</v>
      </c>
      <c r="W94" s="1" t="e">
        <f t="shared" si="55"/>
        <v>#N/A</v>
      </c>
      <c r="X94" s="8" t="e" cm="1">
        <f t="array" ref="X94">IF(U94="","", IFERROR(((IF(U$5&lt;&gt;"", U$5*M$5, 0) + SUMPRODUCT(--(U$6:U94&lt;&gt;""), U$6:U94, (M$6:M94-M$5:M93)))/1000)/T$3, ""))</f>
        <v>#N/A</v>
      </c>
      <c r="Y94" s="1">
        <f t="shared" si="56"/>
        <v>1800</v>
      </c>
      <c r="Z94" s="1">
        <f t="shared" si="57"/>
        <v>0</v>
      </c>
      <c r="AG94" s="1" t="e">
        <f t="shared" si="58"/>
        <v>#N/A</v>
      </c>
      <c r="AH94" s="1" t="e">
        <f t="shared" si="42"/>
        <v>#N/A</v>
      </c>
      <c r="AI94" s="1" t="e">
        <f t="shared" si="59"/>
        <v>#N/A</v>
      </c>
      <c r="AJ94" s="8" t="e" cm="1">
        <f t="array" ref="AJ94">IF(AG94="","", IFERROR(((IF(AG$5&lt;&gt;"", AG$5*Y$5, 0) + SUMPRODUCT(--(AG$6:AG94&lt;&gt;""), AG$6:AG94, (Y$6:Y94-Y$5:Y93)))/1000)/AF$3, ""))</f>
        <v>#N/A</v>
      </c>
      <c r="AK94" s="1">
        <f t="shared" si="60"/>
        <v>1800</v>
      </c>
      <c r="AL94" s="1">
        <f t="shared" si="61"/>
        <v>0</v>
      </c>
      <c r="AS94" s="1" t="e">
        <f t="shared" si="62"/>
        <v>#N/A</v>
      </c>
      <c r="AT94" s="1" t="e">
        <f t="shared" si="43"/>
        <v>#N/A</v>
      </c>
      <c r="AU94" s="1" t="e">
        <f t="shared" si="63"/>
        <v>#N/A</v>
      </c>
      <c r="AV94" s="8" t="e" cm="1">
        <f t="array" ref="AV94">IF(AS94="","", IFERROR(((IF(AS$5&lt;&gt;"", AS$5*AK$5, 0) + SUMPRODUCT(--(AS$6:AS94&lt;&gt;""), AS$6:AS94, (AK$6:AK94-AK$5:AK93)))/1000)/AR$3, ""))</f>
        <v>#N/A</v>
      </c>
      <c r="AW94" s="1">
        <f t="shared" si="64"/>
        <v>1800</v>
      </c>
      <c r="AX94" s="1">
        <f t="shared" si="65"/>
        <v>0</v>
      </c>
      <c r="BE94" s="1" t="e">
        <f t="shared" si="66"/>
        <v>#N/A</v>
      </c>
      <c r="BF94" s="1" t="e">
        <f t="shared" si="44"/>
        <v>#N/A</v>
      </c>
      <c r="BG94" s="1" t="e">
        <f t="shared" si="67"/>
        <v>#N/A</v>
      </c>
      <c r="BH94" s="8" t="e" cm="1">
        <f t="array" ref="BH94">IF(BE94="","", IFERROR(((IF(BE$5&lt;&gt;"", BE$5*AW$5, 0) + SUMPRODUCT(--(BE$6:BE94&lt;&gt;""), BE$6:BE94, (AW$6:AW94-AW$5:AW93)))/1000)/BD$3, ""))</f>
        <v>#N/A</v>
      </c>
      <c r="BI94" s="1">
        <f t="shared" si="68"/>
        <v>1800</v>
      </c>
      <c r="BJ94" s="1">
        <f t="shared" si="69"/>
        <v>0</v>
      </c>
      <c r="BQ94" s="1" t="e">
        <f t="shared" si="70"/>
        <v>#N/A</v>
      </c>
      <c r="BR94" s="1" t="e">
        <f t="shared" si="45"/>
        <v>#N/A</v>
      </c>
      <c r="BS94" s="1" t="e">
        <f t="shared" si="71"/>
        <v>#N/A</v>
      </c>
      <c r="BT94" s="8" t="e" cm="1">
        <f t="array" ref="BT94">IF(BQ94="","", IFERROR(((IF(BQ$5&lt;&gt;"", BQ$5*BI$5, 0) + SUMPRODUCT(--(BQ$6:BQ94&lt;&gt;""), BQ$6:BQ94, (BI$6:BI94-BI$5:BI93)))/1000)/BP$3, ""))</f>
        <v>#N/A</v>
      </c>
      <c r="BU94" s="1">
        <f t="shared" si="72"/>
        <v>1800</v>
      </c>
      <c r="BV94" s="1">
        <f t="shared" si="73"/>
        <v>0</v>
      </c>
      <c r="CC94" s="1" t="e">
        <f t="shared" si="74"/>
        <v>#N/A</v>
      </c>
      <c r="CD94" s="1" t="e">
        <f t="shared" si="46"/>
        <v>#N/A</v>
      </c>
      <c r="CE94" s="1" t="e">
        <f t="shared" si="75"/>
        <v>#N/A</v>
      </c>
      <c r="CF94" s="8" t="e" cm="1">
        <f t="array" ref="CF94">IF(CC94="","", IFERROR(((IF(CC$5&lt;&gt;"", CC$5*BU$5, 0) + SUMPRODUCT(--(CC$6:CC94&lt;&gt;""), CC$6:CC94, (BU$6:BU94-BU$5:BU93)))/1000)/CB$3, ""))</f>
        <v>#N/A</v>
      </c>
      <c r="CG94" s="1">
        <f t="shared" si="76"/>
        <v>1800</v>
      </c>
      <c r="CH94" s="1">
        <f t="shared" si="77"/>
        <v>0</v>
      </c>
      <c r="CO94" s="1" t="e">
        <f t="shared" si="78"/>
        <v>#N/A</v>
      </c>
      <c r="CP94" s="1" t="e">
        <f t="shared" si="47"/>
        <v>#N/A</v>
      </c>
      <c r="CQ94" s="1" t="e">
        <f t="shared" si="79"/>
        <v>#N/A</v>
      </c>
      <c r="CR94" s="8" t="e" cm="1">
        <f t="array" ref="CR94">IF(CO94="","", IFERROR(((IF(CO$5&lt;&gt;"", CO$5*CG$5, 0) + SUMPRODUCT(--(CO$6:CO94&lt;&gt;""), CO$6:CO94, (CG$6:CG94-CG$5:CG93)))/1000)/CN$3, ""))</f>
        <v>#N/A</v>
      </c>
    </row>
    <row r="95" spans="1:96" x14ac:dyDescent="0.25">
      <c r="A95" s="1">
        <f t="shared" si="48"/>
        <v>1820</v>
      </c>
      <c r="B95" s="1">
        <f t="shared" si="49"/>
        <v>0</v>
      </c>
      <c r="I95" s="1" t="e">
        <f t="shared" si="50"/>
        <v>#N/A</v>
      </c>
      <c r="J95" s="1" t="e">
        <f t="shared" si="40"/>
        <v>#N/A</v>
      </c>
      <c r="K95" s="1" t="e">
        <f t="shared" si="51"/>
        <v>#N/A</v>
      </c>
      <c r="L95" s="8" t="e" cm="1">
        <f t="array" ref="L95">IF(I95="","", IFERROR(((IF(I$5&lt;&gt;"", I$5*A$5, 0) + SUMPRODUCT(--(I$6:I95&lt;&gt;""), I$6:I95, (A$6:A95-A$5:A94)))/1000)/H$3, ""))</f>
        <v>#N/A</v>
      </c>
      <c r="M95" s="1">
        <f t="shared" si="52"/>
        <v>1820</v>
      </c>
      <c r="N95" s="1">
        <f t="shared" si="53"/>
        <v>0</v>
      </c>
      <c r="U95" s="1" t="e">
        <f t="shared" si="54"/>
        <v>#N/A</v>
      </c>
      <c r="V95" s="1" t="e">
        <f t="shared" si="41"/>
        <v>#N/A</v>
      </c>
      <c r="W95" s="1" t="e">
        <f t="shared" si="55"/>
        <v>#N/A</v>
      </c>
      <c r="X95" s="8" t="e" cm="1">
        <f t="array" ref="X95">IF(U95="","", IFERROR(((IF(U$5&lt;&gt;"", U$5*M$5, 0) + SUMPRODUCT(--(U$6:U95&lt;&gt;""), U$6:U95, (M$6:M95-M$5:M94)))/1000)/T$3, ""))</f>
        <v>#N/A</v>
      </c>
      <c r="Y95" s="1">
        <f t="shared" si="56"/>
        <v>1820</v>
      </c>
      <c r="Z95" s="1">
        <f t="shared" si="57"/>
        <v>0</v>
      </c>
      <c r="AG95" s="1" t="e">
        <f t="shared" si="58"/>
        <v>#N/A</v>
      </c>
      <c r="AH95" s="1" t="e">
        <f t="shared" si="42"/>
        <v>#N/A</v>
      </c>
      <c r="AI95" s="1" t="e">
        <f t="shared" si="59"/>
        <v>#N/A</v>
      </c>
      <c r="AJ95" s="8" t="e" cm="1">
        <f t="array" ref="AJ95">IF(AG95="","", IFERROR(((IF(AG$5&lt;&gt;"", AG$5*Y$5, 0) + SUMPRODUCT(--(AG$6:AG95&lt;&gt;""), AG$6:AG95, (Y$6:Y95-Y$5:Y94)))/1000)/AF$3, ""))</f>
        <v>#N/A</v>
      </c>
      <c r="AK95" s="1">
        <f t="shared" si="60"/>
        <v>1820</v>
      </c>
      <c r="AL95" s="1">
        <f t="shared" si="61"/>
        <v>0</v>
      </c>
      <c r="AS95" s="1" t="e">
        <f t="shared" si="62"/>
        <v>#N/A</v>
      </c>
      <c r="AT95" s="1" t="e">
        <f t="shared" si="43"/>
        <v>#N/A</v>
      </c>
      <c r="AU95" s="1" t="e">
        <f t="shared" si="63"/>
        <v>#N/A</v>
      </c>
      <c r="AV95" s="8" t="e" cm="1">
        <f t="array" ref="AV95">IF(AS95="","", IFERROR(((IF(AS$5&lt;&gt;"", AS$5*AK$5, 0) + SUMPRODUCT(--(AS$6:AS95&lt;&gt;""), AS$6:AS95, (AK$6:AK95-AK$5:AK94)))/1000)/AR$3, ""))</f>
        <v>#N/A</v>
      </c>
      <c r="AW95" s="1">
        <f t="shared" si="64"/>
        <v>1820</v>
      </c>
      <c r="AX95" s="1">
        <f t="shared" si="65"/>
        <v>0</v>
      </c>
      <c r="BE95" s="1" t="e">
        <f t="shared" si="66"/>
        <v>#N/A</v>
      </c>
      <c r="BF95" s="1" t="e">
        <f t="shared" si="44"/>
        <v>#N/A</v>
      </c>
      <c r="BG95" s="1" t="e">
        <f t="shared" si="67"/>
        <v>#N/A</v>
      </c>
      <c r="BH95" s="8" t="e" cm="1">
        <f t="array" ref="BH95">IF(BE95="","", IFERROR(((IF(BE$5&lt;&gt;"", BE$5*AW$5, 0) + SUMPRODUCT(--(BE$6:BE95&lt;&gt;""), BE$6:BE95, (AW$6:AW95-AW$5:AW94)))/1000)/BD$3, ""))</f>
        <v>#N/A</v>
      </c>
      <c r="BI95" s="1">
        <f t="shared" si="68"/>
        <v>1820</v>
      </c>
      <c r="BJ95" s="1">
        <f t="shared" si="69"/>
        <v>0</v>
      </c>
      <c r="BQ95" s="1" t="e">
        <f t="shared" si="70"/>
        <v>#N/A</v>
      </c>
      <c r="BR95" s="1" t="e">
        <f t="shared" si="45"/>
        <v>#N/A</v>
      </c>
      <c r="BS95" s="1" t="e">
        <f t="shared" si="71"/>
        <v>#N/A</v>
      </c>
      <c r="BT95" s="8" t="e" cm="1">
        <f t="array" ref="BT95">IF(BQ95="","", IFERROR(((IF(BQ$5&lt;&gt;"", BQ$5*BI$5, 0) + SUMPRODUCT(--(BQ$6:BQ95&lt;&gt;""), BQ$6:BQ95, (BI$6:BI95-BI$5:BI94)))/1000)/BP$3, ""))</f>
        <v>#N/A</v>
      </c>
      <c r="BU95" s="1">
        <f t="shared" si="72"/>
        <v>1820</v>
      </c>
      <c r="BV95" s="1">
        <f t="shared" si="73"/>
        <v>0</v>
      </c>
      <c r="CC95" s="1" t="e">
        <f t="shared" si="74"/>
        <v>#N/A</v>
      </c>
      <c r="CD95" s="1" t="e">
        <f t="shared" si="46"/>
        <v>#N/A</v>
      </c>
      <c r="CE95" s="1" t="e">
        <f t="shared" si="75"/>
        <v>#N/A</v>
      </c>
      <c r="CF95" s="8" t="e" cm="1">
        <f t="array" ref="CF95">IF(CC95="","", IFERROR(((IF(CC$5&lt;&gt;"", CC$5*BU$5, 0) + SUMPRODUCT(--(CC$6:CC95&lt;&gt;""), CC$6:CC95, (BU$6:BU95-BU$5:BU94)))/1000)/CB$3, ""))</f>
        <v>#N/A</v>
      </c>
      <c r="CG95" s="1">
        <f t="shared" si="76"/>
        <v>1820</v>
      </c>
      <c r="CH95" s="1">
        <f t="shared" si="77"/>
        <v>0</v>
      </c>
      <c r="CO95" s="1" t="e">
        <f t="shared" si="78"/>
        <v>#N/A</v>
      </c>
      <c r="CP95" s="1" t="e">
        <f t="shared" si="47"/>
        <v>#N/A</v>
      </c>
      <c r="CQ95" s="1" t="e">
        <f t="shared" si="79"/>
        <v>#N/A</v>
      </c>
      <c r="CR95" s="8" t="e" cm="1">
        <f t="array" ref="CR95">IF(CO95="","", IFERROR(((IF(CO$5&lt;&gt;"", CO$5*CG$5, 0) + SUMPRODUCT(--(CO$6:CO95&lt;&gt;""), CO$6:CO95, (CG$6:CG95-CG$5:CG94)))/1000)/CN$3, ""))</f>
        <v>#N/A</v>
      </c>
    </row>
    <row r="96" spans="1:96" x14ac:dyDescent="0.25">
      <c r="A96" s="1">
        <f t="shared" si="48"/>
        <v>1840</v>
      </c>
      <c r="B96" s="1">
        <f t="shared" si="49"/>
        <v>0</v>
      </c>
      <c r="I96" s="1" t="e">
        <f t="shared" si="50"/>
        <v>#N/A</v>
      </c>
      <c r="J96" s="1" t="e">
        <f t="shared" si="40"/>
        <v>#N/A</v>
      </c>
      <c r="K96" s="1" t="e">
        <f t="shared" si="51"/>
        <v>#N/A</v>
      </c>
      <c r="L96" s="8" t="e" cm="1">
        <f t="array" ref="L96">IF(I96="","", IFERROR(((IF(I$5&lt;&gt;"", I$5*A$5, 0) + SUMPRODUCT(--(I$6:I96&lt;&gt;""), I$6:I96, (A$6:A96-A$5:A95)))/1000)/H$3, ""))</f>
        <v>#N/A</v>
      </c>
      <c r="M96" s="1">
        <f t="shared" si="52"/>
        <v>1840</v>
      </c>
      <c r="N96" s="1">
        <f t="shared" si="53"/>
        <v>0</v>
      </c>
      <c r="U96" s="1" t="e">
        <f t="shared" si="54"/>
        <v>#N/A</v>
      </c>
      <c r="V96" s="1" t="e">
        <f t="shared" si="41"/>
        <v>#N/A</v>
      </c>
      <c r="W96" s="1" t="e">
        <f t="shared" si="55"/>
        <v>#N/A</v>
      </c>
      <c r="X96" s="8" t="e" cm="1">
        <f t="array" ref="X96">IF(U96="","", IFERROR(((IF(U$5&lt;&gt;"", U$5*M$5, 0) + SUMPRODUCT(--(U$6:U96&lt;&gt;""), U$6:U96, (M$6:M96-M$5:M95)))/1000)/T$3, ""))</f>
        <v>#N/A</v>
      </c>
      <c r="Y96" s="1">
        <f t="shared" si="56"/>
        <v>1840</v>
      </c>
      <c r="Z96" s="1">
        <f t="shared" si="57"/>
        <v>0</v>
      </c>
      <c r="AG96" s="1" t="e">
        <f t="shared" si="58"/>
        <v>#N/A</v>
      </c>
      <c r="AH96" s="1" t="e">
        <f t="shared" si="42"/>
        <v>#N/A</v>
      </c>
      <c r="AI96" s="1" t="e">
        <f t="shared" si="59"/>
        <v>#N/A</v>
      </c>
      <c r="AJ96" s="8" t="e" cm="1">
        <f t="array" ref="AJ96">IF(AG96="","", IFERROR(((IF(AG$5&lt;&gt;"", AG$5*Y$5, 0) + SUMPRODUCT(--(AG$6:AG96&lt;&gt;""), AG$6:AG96, (Y$6:Y96-Y$5:Y95)))/1000)/AF$3, ""))</f>
        <v>#N/A</v>
      </c>
      <c r="AK96" s="1">
        <f t="shared" si="60"/>
        <v>1840</v>
      </c>
      <c r="AL96" s="1">
        <f t="shared" si="61"/>
        <v>0</v>
      </c>
      <c r="AS96" s="1" t="e">
        <f t="shared" si="62"/>
        <v>#N/A</v>
      </c>
      <c r="AT96" s="1" t="e">
        <f t="shared" si="43"/>
        <v>#N/A</v>
      </c>
      <c r="AU96" s="1" t="e">
        <f t="shared" si="63"/>
        <v>#N/A</v>
      </c>
      <c r="AV96" s="8" t="e" cm="1">
        <f t="array" ref="AV96">IF(AS96="","", IFERROR(((IF(AS$5&lt;&gt;"", AS$5*AK$5, 0) + SUMPRODUCT(--(AS$6:AS96&lt;&gt;""), AS$6:AS96, (AK$6:AK96-AK$5:AK95)))/1000)/AR$3, ""))</f>
        <v>#N/A</v>
      </c>
      <c r="AW96" s="1">
        <f t="shared" si="64"/>
        <v>1840</v>
      </c>
      <c r="AX96" s="1">
        <f t="shared" si="65"/>
        <v>0</v>
      </c>
      <c r="BE96" s="1" t="e">
        <f t="shared" si="66"/>
        <v>#N/A</v>
      </c>
      <c r="BF96" s="1" t="e">
        <f t="shared" si="44"/>
        <v>#N/A</v>
      </c>
      <c r="BG96" s="1" t="e">
        <f t="shared" si="67"/>
        <v>#N/A</v>
      </c>
      <c r="BH96" s="8" t="e" cm="1">
        <f t="array" ref="BH96">IF(BE96="","", IFERROR(((IF(BE$5&lt;&gt;"", BE$5*AW$5, 0) + SUMPRODUCT(--(BE$6:BE96&lt;&gt;""), BE$6:BE96, (AW$6:AW96-AW$5:AW95)))/1000)/BD$3, ""))</f>
        <v>#N/A</v>
      </c>
      <c r="BI96" s="1">
        <f t="shared" si="68"/>
        <v>1840</v>
      </c>
      <c r="BJ96" s="1">
        <f t="shared" si="69"/>
        <v>0</v>
      </c>
      <c r="BQ96" s="1" t="e">
        <f t="shared" si="70"/>
        <v>#N/A</v>
      </c>
      <c r="BR96" s="1" t="e">
        <f t="shared" si="45"/>
        <v>#N/A</v>
      </c>
      <c r="BS96" s="1" t="e">
        <f t="shared" si="71"/>
        <v>#N/A</v>
      </c>
      <c r="BT96" s="8" t="e" cm="1">
        <f t="array" ref="BT96">IF(BQ96="","", IFERROR(((IF(BQ$5&lt;&gt;"", BQ$5*BI$5, 0) + SUMPRODUCT(--(BQ$6:BQ96&lt;&gt;""), BQ$6:BQ96, (BI$6:BI96-BI$5:BI95)))/1000)/BP$3, ""))</f>
        <v>#N/A</v>
      </c>
      <c r="BU96" s="1">
        <f t="shared" si="72"/>
        <v>1840</v>
      </c>
      <c r="BV96" s="1">
        <f t="shared" si="73"/>
        <v>0</v>
      </c>
      <c r="CC96" s="1" t="e">
        <f t="shared" si="74"/>
        <v>#N/A</v>
      </c>
      <c r="CD96" s="1" t="e">
        <f t="shared" si="46"/>
        <v>#N/A</v>
      </c>
      <c r="CE96" s="1" t="e">
        <f t="shared" si="75"/>
        <v>#N/A</v>
      </c>
      <c r="CF96" s="8" t="e" cm="1">
        <f t="array" ref="CF96">IF(CC96="","", IFERROR(((IF(CC$5&lt;&gt;"", CC$5*BU$5, 0) + SUMPRODUCT(--(CC$6:CC96&lt;&gt;""), CC$6:CC96, (BU$6:BU96-BU$5:BU95)))/1000)/CB$3, ""))</f>
        <v>#N/A</v>
      </c>
      <c r="CG96" s="1">
        <f t="shared" si="76"/>
        <v>1840</v>
      </c>
      <c r="CH96" s="1">
        <f t="shared" si="77"/>
        <v>0</v>
      </c>
      <c r="CO96" s="1" t="e">
        <f t="shared" si="78"/>
        <v>#N/A</v>
      </c>
      <c r="CP96" s="1" t="e">
        <f t="shared" si="47"/>
        <v>#N/A</v>
      </c>
      <c r="CQ96" s="1" t="e">
        <f t="shared" si="79"/>
        <v>#N/A</v>
      </c>
      <c r="CR96" s="8" t="e" cm="1">
        <f t="array" ref="CR96">IF(CO96="","", IFERROR(((IF(CO$5&lt;&gt;"", CO$5*CG$5, 0) + SUMPRODUCT(--(CO$6:CO96&lt;&gt;""), CO$6:CO96, (CG$6:CG96-CG$5:CG95)))/1000)/CN$3, ""))</f>
        <v>#N/A</v>
      </c>
    </row>
    <row r="97" spans="1:96" x14ac:dyDescent="0.25">
      <c r="A97" s="1">
        <f t="shared" si="48"/>
        <v>1860</v>
      </c>
      <c r="B97" s="1">
        <f t="shared" si="49"/>
        <v>0</v>
      </c>
      <c r="I97" s="1" t="e">
        <f t="shared" si="50"/>
        <v>#N/A</v>
      </c>
      <c r="J97" s="1" t="e">
        <f t="shared" si="40"/>
        <v>#N/A</v>
      </c>
      <c r="K97" s="1" t="e">
        <f t="shared" si="51"/>
        <v>#N/A</v>
      </c>
      <c r="L97" s="8" t="e" cm="1">
        <f t="array" ref="L97">IF(I97="","", IFERROR(((IF(I$5&lt;&gt;"", I$5*A$5, 0) + SUMPRODUCT(--(I$6:I97&lt;&gt;""), I$6:I97, (A$6:A97-A$5:A96)))/1000)/H$3, ""))</f>
        <v>#N/A</v>
      </c>
      <c r="M97" s="1">
        <f t="shared" si="52"/>
        <v>1860</v>
      </c>
      <c r="N97" s="1">
        <f t="shared" si="53"/>
        <v>0</v>
      </c>
      <c r="U97" s="1" t="e">
        <f t="shared" si="54"/>
        <v>#N/A</v>
      </c>
      <c r="V97" s="1" t="e">
        <f t="shared" si="41"/>
        <v>#N/A</v>
      </c>
      <c r="W97" s="1" t="e">
        <f t="shared" si="55"/>
        <v>#N/A</v>
      </c>
      <c r="X97" s="8" t="e" cm="1">
        <f t="array" ref="X97">IF(U97="","", IFERROR(((IF(U$5&lt;&gt;"", U$5*M$5, 0) + SUMPRODUCT(--(U$6:U97&lt;&gt;""), U$6:U97, (M$6:M97-M$5:M96)))/1000)/T$3, ""))</f>
        <v>#N/A</v>
      </c>
      <c r="Y97" s="1">
        <f t="shared" si="56"/>
        <v>1860</v>
      </c>
      <c r="Z97" s="1">
        <f t="shared" si="57"/>
        <v>0</v>
      </c>
      <c r="AG97" s="1" t="e">
        <f t="shared" si="58"/>
        <v>#N/A</v>
      </c>
      <c r="AH97" s="1" t="e">
        <f t="shared" si="42"/>
        <v>#N/A</v>
      </c>
      <c r="AI97" s="1" t="e">
        <f t="shared" si="59"/>
        <v>#N/A</v>
      </c>
      <c r="AJ97" s="8" t="e" cm="1">
        <f t="array" ref="AJ97">IF(AG97="","", IFERROR(((IF(AG$5&lt;&gt;"", AG$5*Y$5, 0) + SUMPRODUCT(--(AG$6:AG97&lt;&gt;""), AG$6:AG97, (Y$6:Y97-Y$5:Y96)))/1000)/AF$3, ""))</f>
        <v>#N/A</v>
      </c>
      <c r="AK97" s="1">
        <f t="shared" si="60"/>
        <v>1860</v>
      </c>
      <c r="AL97" s="1">
        <f t="shared" si="61"/>
        <v>0</v>
      </c>
      <c r="AS97" s="1" t="e">
        <f t="shared" si="62"/>
        <v>#N/A</v>
      </c>
      <c r="AT97" s="1" t="e">
        <f t="shared" si="43"/>
        <v>#N/A</v>
      </c>
      <c r="AU97" s="1" t="e">
        <f t="shared" si="63"/>
        <v>#N/A</v>
      </c>
      <c r="AV97" s="8" t="e" cm="1">
        <f t="array" ref="AV97">IF(AS97="","", IFERROR(((IF(AS$5&lt;&gt;"", AS$5*AK$5, 0) + SUMPRODUCT(--(AS$6:AS97&lt;&gt;""), AS$6:AS97, (AK$6:AK97-AK$5:AK96)))/1000)/AR$3, ""))</f>
        <v>#N/A</v>
      </c>
      <c r="AW97" s="1">
        <f t="shared" si="64"/>
        <v>1860</v>
      </c>
      <c r="AX97" s="1">
        <f t="shared" si="65"/>
        <v>0</v>
      </c>
      <c r="BE97" s="1" t="e">
        <f t="shared" si="66"/>
        <v>#N/A</v>
      </c>
      <c r="BF97" s="1" t="e">
        <f t="shared" si="44"/>
        <v>#N/A</v>
      </c>
      <c r="BG97" s="1" t="e">
        <f t="shared" si="67"/>
        <v>#N/A</v>
      </c>
      <c r="BH97" s="8" t="e" cm="1">
        <f t="array" ref="BH97">IF(BE97="","", IFERROR(((IF(BE$5&lt;&gt;"", BE$5*AW$5, 0) + SUMPRODUCT(--(BE$6:BE97&lt;&gt;""), BE$6:BE97, (AW$6:AW97-AW$5:AW96)))/1000)/BD$3, ""))</f>
        <v>#N/A</v>
      </c>
      <c r="BI97" s="1">
        <f t="shared" si="68"/>
        <v>1860</v>
      </c>
      <c r="BJ97" s="1">
        <f t="shared" si="69"/>
        <v>0</v>
      </c>
      <c r="BQ97" s="1" t="e">
        <f t="shared" si="70"/>
        <v>#N/A</v>
      </c>
      <c r="BR97" s="1" t="e">
        <f t="shared" si="45"/>
        <v>#N/A</v>
      </c>
      <c r="BS97" s="1" t="e">
        <f t="shared" si="71"/>
        <v>#N/A</v>
      </c>
      <c r="BT97" s="8" t="e" cm="1">
        <f t="array" ref="BT97">IF(BQ97="","", IFERROR(((IF(BQ$5&lt;&gt;"", BQ$5*BI$5, 0) + SUMPRODUCT(--(BQ$6:BQ97&lt;&gt;""), BQ$6:BQ97, (BI$6:BI97-BI$5:BI96)))/1000)/BP$3, ""))</f>
        <v>#N/A</v>
      </c>
      <c r="BU97" s="1">
        <f t="shared" si="72"/>
        <v>1860</v>
      </c>
      <c r="BV97" s="1">
        <f t="shared" si="73"/>
        <v>0</v>
      </c>
      <c r="CC97" s="1" t="e">
        <f t="shared" si="74"/>
        <v>#N/A</v>
      </c>
      <c r="CD97" s="1" t="e">
        <f t="shared" si="46"/>
        <v>#N/A</v>
      </c>
      <c r="CE97" s="1" t="e">
        <f t="shared" si="75"/>
        <v>#N/A</v>
      </c>
      <c r="CF97" s="8" t="e" cm="1">
        <f t="array" ref="CF97">IF(CC97="","", IFERROR(((IF(CC$5&lt;&gt;"", CC$5*BU$5, 0) + SUMPRODUCT(--(CC$6:CC97&lt;&gt;""), CC$6:CC97, (BU$6:BU97-BU$5:BU96)))/1000)/CB$3, ""))</f>
        <v>#N/A</v>
      </c>
      <c r="CG97" s="1">
        <f t="shared" si="76"/>
        <v>1860</v>
      </c>
      <c r="CH97" s="1">
        <f t="shared" si="77"/>
        <v>0</v>
      </c>
      <c r="CO97" s="1" t="e">
        <f t="shared" si="78"/>
        <v>#N/A</v>
      </c>
      <c r="CP97" s="1" t="e">
        <f t="shared" si="47"/>
        <v>#N/A</v>
      </c>
      <c r="CQ97" s="1" t="e">
        <f t="shared" si="79"/>
        <v>#N/A</v>
      </c>
      <c r="CR97" s="8" t="e" cm="1">
        <f t="array" ref="CR97">IF(CO97="","", IFERROR(((IF(CO$5&lt;&gt;"", CO$5*CG$5, 0) + SUMPRODUCT(--(CO$6:CO97&lt;&gt;""), CO$6:CO97, (CG$6:CG97-CG$5:CG96)))/1000)/CN$3, ""))</f>
        <v>#N/A</v>
      </c>
    </row>
    <row r="98" spans="1:96" x14ac:dyDescent="0.25">
      <c r="A98" s="1">
        <f t="shared" si="48"/>
        <v>1880</v>
      </c>
      <c r="B98" s="1">
        <f t="shared" si="49"/>
        <v>0</v>
      </c>
      <c r="I98" s="1" t="e">
        <f t="shared" si="50"/>
        <v>#N/A</v>
      </c>
      <c r="J98" s="1" t="e">
        <f t="shared" si="40"/>
        <v>#N/A</v>
      </c>
      <c r="K98" s="1" t="e">
        <f t="shared" si="51"/>
        <v>#N/A</v>
      </c>
      <c r="L98" s="8" t="e" cm="1">
        <f t="array" ref="L98">IF(I98="","", IFERROR(((IF(I$5&lt;&gt;"", I$5*A$5, 0) + SUMPRODUCT(--(I$6:I98&lt;&gt;""), I$6:I98, (A$6:A98-A$5:A97)))/1000)/H$3, ""))</f>
        <v>#N/A</v>
      </c>
      <c r="M98" s="1">
        <f t="shared" si="52"/>
        <v>1880</v>
      </c>
      <c r="N98" s="1">
        <f t="shared" si="53"/>
        <v>0</v>
      </c>
      <c r="U98" s="1" t="e">
        <f t="shared" si="54"/>
        <v>#N/A</v>
      </c>
      <c r="V98" s="1" t="e">
        <f t="shared" si="41"/>
        <v>#N/A</v>
      </c>
      <c r="W98" s="1" t="e">
        <f t="shared" si="55"/>
        <v>#N/A</v>
      </c>
      <c r="X98" s="8" t="e" cm="1">
        <f t="array" ref="X98">IF(U98="","", IFERROR(((IF(U$5&lt;&gt;"", U$5*M$5, 0) + SUMPRODUCT(--(U$6:U98&lt;&gt;""), U$6:U98, (M$6:M98-M$5:M97)))/1000)/T$3, ""))</f>
        <v>#N/A</v>
      </c>
      <c r="Y98" s="1">
        <f t="shared" si="56"/>
        <v>1880</v>
      </c>
      <c r="Z98" s="1">
        <f t="shared" si="57"/>
        <v>0</v>
      </c>
      <c r="AG98" s="1" t="e">
        <f t="shared" si="58"/>
        <v>#N/A</v>
      </c>
      <c r="AH98" s="1" t="e">
        <f t="shared" si="42"/>
        <v>#N/A</v>
      </c>
      <c r="AI98" s="1" t="e">
        <f t="shared" si="59"/>
        <v>#N/A</v>
      </c>
      <c r="AJ98" s="8" t="e" cm="1">
        <f t="array" ref="AJ98">IF(AG98="","", IFERROR(((IF(AG$5&lt;&gt;"", AG$5*Y$5, 0) + SUMPRODUCT(--(AG$6:AG98&lt;&gt;""), AG$6:AG98, (Y$6:Y98-Y$5:Y97)))/1000)/AF$3, ""))</f>
        <v>#N/A</v>
      </c>
      <c r="AK98" s="1">
        <f t="shared" si="60"/>
        <v>1880</v>
      </c>
      <c r="AL98" s="1">
        <f t="shared" si="61"/>
        <v>0</v>
      </c>
      <c r="AS98" s="1" t="e">
        <f t="shared" si="62"/>
        <v>#N/A</v>
      </c>
      <c r="AT98" s="1" t="e">
        <f t="shared" si="43"/>
        <v>#N/A</v>
      </c>
      <c r="AU98" s="1" t="e">
        <f t="shared" si="63"/>
        <v>#N/A</v>
      </c>
      <c r="AV98" s="8" t="e" cm="1">
        <f t="array" ref="AV98">IF(AS98="","", IFERROR(((IF(AS$5&lt;&gt;"", AS$5*AK$5, 0) + SUMPRODUCT(--(AS$6:AS98&lt;&gt;""), AS$6:AS98, (AK$6:AK98-AK$5:AK97)))/1000)/AR$3, ""))</f>
        <v>#N/A</v>
      </c>
      <c r="AW98" s="1">
        <f t="shared" si="64"/>
        <v>1880</v>
      </c>
      <c r="AX98" s="1">
        <f t="shared" si="65"/>
        <v>0</v>
      </c>
      <c r="BE98" s="1" t="e">
        <f t="shared" si="66"/>
        <v>#N/A</v>
      </c>
      <c r="BF98" s="1" t="e">
        <f t="shared" si="44"/>
        <v>#N/A</v>
      </c>
      <c r="BG98" s="1" t="e">
        <f t="shared" si="67"/>
        <v>#N/A</v>
      </c>
      <c r="BH98" s="8" t="e" cm="1">
        <f t="array" ref="BH98">IF(BE98="","", IFERROR(((IF(BE$5&lt;&gt;"", BE$5*AW$5, 0) + SUMPRODUCT(--(BE$6:BE98&lt;&gt;""), BE$6:BE98, (AW$6:AW98-AW$5:AW97)))/1000)/BD$3, ""))</f>
        <v>#N/A</v>
      </c>
      <c r="BI98" s="1">
        <f t="shared" si="68"/>
        <v>1880</v>
      </c>
      <c r="BJ98" s="1">
        <f t="shared" si="69"/>
        <v>0</v>
      </c>
      <c r="BQ98" s="1" t="e">
        <f t="shared" si="70"/>
        <v>#N/A</v>
      </c>
      <c r="BR98" s="1" t="e">
        <f t="shared" si="45"/>
        <v>#N/A</v>
      </c>
      <c r="BS98" s="1" t="e">
        <f t="shared" si="71"/>
        <v>#N/A</v>
      </c>
      <c r="BT98" s="8" t="e" cm="1">
        <f t="array" ref="BT98">IF(BQ98="","", IFERROR(((IF(BQ$5&lt;&gt;"", BQ$5*BI$5, 0) + SUMPRODUCT(--(BQ$6:BQ98&lt;&gt;""), BQ$6:BQ98, (BI$6:BI98-BI$5:BI97)))/1000)/BP$3, ""))</f>
        <v>#N/A</v>
      </c>
      <c r="BU98" s="1">
        <f t="shared" si="72"/>
        <v>1880</v>
      </c>
      <c r="BV98" s="1">
        <f t="shared" si="73"/>
        <v>0</v>
      </c>
      <c r="CC98" s="1" t="e">
        <f t="shared" si="74"/>
        <v>#N/A</v>
      </c>
      <c r="CD98" s="1" t="e">
        <f t="shared" si="46"/>
        <v>#N/A</v>
      </c>
      <c r="CE98" s="1" t="e">
        <f t="shared" si="75"/>
        <v>#N/A</v>
      </c>
      <c r="CF98" s="8" t="e" cm="1">
        <f t="array" ref="CF98">IF(CC98="","", IFERROR(((IF(CC$5&lt;&gt;"", CC$5*BU$5, 0) + SUMPRODUCT(--(CC$6:CC98&lt;&gt;""), CC$6:CC98, (BU$6:BU98-BU$5:BU97)))/1000)/CB$3, ""))</f>
        <v>#N/A</v>
      </c>
      <c r="CG98" s="1">
        <f t="shared" si="76"/>
        <v>1880</v>
      </c>
      <c r="CH98" s="1">
        <f t="shared" si="77"/>
        <v>0</v>
      </c>
      <c r="CO98" s="1" t="e">
        <f t="shared" si="78"/>
        <v>#N/A</v>
      </c>
      <c r="CP98" s="1" t="e">
        <f t="shared" si="47"/>
        <v>#N/A</v>
      </c>
      <c r="CQ98" s="1" t="e">
        <f t="shared" si="79"/>
        <v>#N/A</v>
      </c>
      <c r="CR98" s="8" t="e" cm="1">
        <f t="array" ref="CR98">IF(CO98="","", IFERROR(((IF(CO$5&lt;&gt;"", CO$5*CG$5, 0) + SUMPRODUCT(--(CO$6:CO98&lt;&gt;""), CO$6:CO98, (CG$6:CG98-CG$5:CG97)))/1000)/CN$3, ""))</f>
        <v>#N/A</v>
      </c>
    </row>
    <row r="99" spans="1:96" x14ac:dyDescent="0.25">
      <c r="A99" s="1">
        <f t="shared" si="48"/>
        <v>1900</v>
      </c>
      <c r="B99" s="1">
        <f t="shared" si="49"/>
        <v>0</v>
      </c>
      <c r="I99" s="1" t="e">
        <f t="shared" si="50"/>
        <v>#N/A</v>
      </c>
      <c r="J99" s="1" t="e">
        <f t="shared" si="40"/>
        <v>#N/A</v>
      </c>
      <c r="K99" s="1" t="e">
        <f t="shared" si="51"/>
        <v>#N/A</v>
      </c>
      <c r="L99" s="8" t="e" cm="1">
        <f t="array" ref="L99">IF(I99="","", IFERROR(((IF(I$5&lt;&gt;"", I$5*A$5, 0) + SUMPRODUCT(--(I$6:I99&lt;&gt;""), I$6:I99, (A$6:A99-A$5:A98)))/1000)/H$3, ""))</f>
        <v>#N/A</v>
      </c>
      <c r="M99" s="1">
        <f t="shared" si="52"/>
        <v>1900</v>
      </c>
      <c r="N99" s="1">
        <f t="shared" si="53"/>
        <v>0</v>
      </c>
      <c r="U99" s="1" t="e">
        <f t="shared" si="54"/>
        <v>#N/A</v>
      </c>
      <c r="V99" s="1" t="e">
        <f t="shared" si="41"/>
        <v>#N/A</v>
      </c>
      <c r="W99" s="1" t="e">
        <f t="shared" si="55"/>
        <v>#N/A</v>
      </c>
      <c r="X99" s="8" t="e" cm="1">
        <f t="array" ref="X99">IF(U99="","", IFERROR(((IF(U$5&lt;&gt;"", U$5*M$5, 0) + SUMPRODUCT(--(U$6:U99&lt;&gt;""), U$6:U99, (M$6:M99-M$5:M98)))/1000)/T$3, ""))</f>
        <v>#N/A</v>
      </c>
      <c r="Y99" s="1">
        <f t="shared" si="56"/>
        <v>1900</v>
      </c>
      <c r="Z99" s="1">
        <f t="shared" si="57"/>
        <v>0</v>
      </c>
      <c r="AG99" s="1" t="e">
        <f t="shared" si="58"/>
        <v>#N/A</v>
      </c>
      <c r="AH99" s="1" t="e">
        <f t="shared" si="42"/>
        <v>#N/A</v>
      </c>
      <c r="AI99" s="1" t="e">
        <f t="shared" si="59"/>
        <v>#N/A</v>
      </c>
      <c r="AJ99" s="8" t="e" cm="1">
        <f t="array" ref="AJ99">IF(AG99="","", IFERROR(((IF(AG$5&lt;&gt;"", AG$5*Y$5, 0) + SUMPRODUCT(--(AG$6:AG99&lt;&gt;""), AG$6:AG99, (Y$6:Y99-Y$5:Y98)))/1000)/AF$3, ""))</f>
        <v>#N/A</v>
      </c>
      <c r="AK99" s="1">
        <f t="shared" si="60"/>
        <v>1900</v>
      </c>
      <c r="AL99" s="1">
        <f t="shared" si="61"/>
        <v>0</v>
      </c>
      <c r="AS99" s="1" t="e">
        <f t="shared" si="62"/>
        <v>#N/A</v>
      </c>
      <c r="AT99" s="1" t="e">
        <f t="shared" si="43"/>
        <v>#N/A</v>
      </c>
      <c r="AU99" s="1" t="e">
        <f t="shared" si="63"/>
        <v>#N/A</v>
      </c>
      <c r="AV99" s="8" t="e" cm="1">
        <f t="array" ref="AV99">IF(AS99="","", IFERROR(((IF(AS$5&lt;&gt;"", AS$5*AK$5, 0) + SUMPRODUCT(--(AS$6:AS99&lt;&gt;""), AS$6:AS99, (AK$6:AK99-AK$5:AK98)))/1000)/AR$3, ""))</f>
        <v>#N/A</v>
      </c>
      <c r="AW99" s="1">
        <f t="shared" si="64"/>
        <v>1900</v>
      </c>
      <c r="AX99" s="1">
        <f t="shared" si="65"/>
        <v>0</v>
      </c>
      <c r="BE99" s="1" t="e">
        <f t="shared" si="66"/>
        <v>#N/A</v>
      </c>
      <c r="BF99" s="1" t="e">
        <f t="shared" si="44"/>
        <v>#N/A</v>
      </c>
      <c r="BG99" s="1" t="e">
        <f t="shared" si="67"/>
        <v>#N/A</v>
      </c>
      <c r="BH99" s="8" t="e" cm="1">
        <f t="array" ref="BH99">IF(BE99="","", IFERROR(((IF(BE$5&lt;&gt;"", BE$5*AW$5, 0) + SUMPRODUCT(--(BE$6:BE99&lt;&gt;""), BE$6:BE99, (AW$6:AW99-AW$5:AW98)))/1000)/BD$3, ""))</f>
        <v>#N/A</v>
      </c>
      <c r="BI99" s="1">
        <f t="shared" si="68"/>
        <v>1900</v>
      </c>
      <c r="BJ99" s="1">
        <f t="shared" si="69"/>
        <v>0</v>
      </c>
      <c r="BQ99" s="1" t="e">
        <f t="shared" si="70"/>
        <v>#N/A</v>
      </c>
      <c r="BR99" s="1" t="e">
        <f t="shared" si="45"/>
        <v>#N/A</v>
      </c>
      <c r="BS99" s="1" t="e">
        <f t="shared" si="71"/>
        <v>#N/A</v>
      </c>
      <c r="BT99" s="8" t="e" cm="1">
        <f t="array" ref="BT99">IF(BQ99="","", IFERROR(((IF(BQ$5&lt;&gt;"", BQ$5*BI$5, 0) + SUMPRODUCT(--(BQ$6:BQ99&lt;&gt;""), BQ$6:BQ99, (BI$6:BI99-BI$5:BI98)))/1000)/BP$3, ""))</f>
        <v>#N/A</v>
      </c>
      <c r="BU99" s="1">
        <f t="shared" si="72"/>
        <v>1900</v>
      </c>
      <c r="BV99" s="1">
        <f t="shared" si="73"/>
        <v>0</v>
      </c>
      <c r="CC99" s="1" t="e">
        <f t="shared" si="74"/>
        <v>#N/A</v>
      </c>
      <c r="CD99" s="1" t="e">
        <f t="shared" si="46"/>
        <v>#N/A</v>
      </c>
      <c r="CE99" s="1" t="e">
        <f t="shared" si="75"/>
        <v>#N/A</v>
      </c>
      <c r="CF99" s="8" t="e" cm="1">
        <f t="array" ref="CF99">IF(CC99="","", IFERROR(((IF(CC$5&lt;&gt;"", CC$5*BU$5, 0) + SUMPRODUCT(--(CC$6:CC99&lt;&gt;""), CC$6:CC99, (BU$6:BU99-BU$5:BU98)))/1000)/CB$3, ""))</f>
        <v>#N/A</v>
      </c>
      <c r="CG99" s="1">
        <f t="shared" si="76"/>
        <v>1900</v>
      </c>
      <c r="CH99" s="1">
        <f t="shared" si="77"/>
        <v>0</v>
      </c>
      <c r="CO99" s="1" t="e">
        <f t="shared" si="78"/>
        <v>#N/A</v>
      </c>
      <c r="CP99" s="1" t="e">
        <f t="shared" si="47"/>
        <v>#N/A</v>
      </c>
      <c r="CQ99" s="1" t="e">
        <f t="shared" si="79"/>
        <v>#N/A</v>
      </c>
      <c r="CR99" s="8" t="e" cm="1">
        <f t="array" ref="CR99">IF(CO99="","", IFERROR(((IF(CO$5&lt;&gt;"", CO$5*CG$5, 0) + SUMPRODUCT(--(CO$6:CO99&lt;&gt;""), CO$6:CO99, (CG$6:CG99-CG$5:CG98)))/1000)/CN$3, ""))</f>
        <v>#N/A</v>
      </c>
    </row>
    <row r="100" spans="1:96" x14ac:dyDescent="0.25">
      <c r="A100" s="1">
        <f t="shared" si="48"/>
        <v>1920</v>
      </c>
      <c r="B100" s="1">
        <f t="shared" si="49"/>
        <v>0</v>
      </c>
      <c r="I100" s="1" t="e">
        <f t="shared" si="50"/>
        <v>#N/A</v>
      </c>
      <c r="J100" s="1" t="e">
        <f t="shared" si="40"/>
        <v>#N/A</v>
      </c>
      <c r="K100" s="1" t="e">
        <f t="shared" si="51"/>
        <v>#N/A</v>
      </c>
      <c r="L100" s="8" t="e" cm="1">
        <f t="array" ref="L100">IF(I100="","", IFERROR(((IF(I$5&lt;&gt;"", I$5*A$5, 0) + SUMPRODUCT(--(I$6:I100&lt;&gt;""), I$6:I100, (A$6:A100-A$5:A99)))/1000)/H$3, ""))</f>
        <v>#N/A</v>
      </c>
      <c r="M100" s="1">
        <f t="shared" si="52"/>
        <v>1920</v>
      </c>
      <c r="N100" s="1">
        <f t="shared" si="53"/>
        <v>0</v>
      </c>
      <c r="U100" s="1" t="e">
        <f t="shared" si="54"/>
        <v>#N/A</v>
      </c>
      <c r="V100" s="1" t="e">
        <f t="shared" si="41"/>
        <v>#N/A</v>
      </c>
      <c r="W100" s="1" t="e">
        <f t="shared" si="55"/>
        <v>#N/A</v>
      </c>
      <c r="X100" s="8" t="e" cm="1">
        <f t="array" ref="X100">IF(U100="","", IFERROR(((IF(U$5&lt;&gt;"", U$5*M$5, 0) + SUMPRODUCT(--(U$6:U100&lt;&gt;""), U$6:U100, (M$6:M100-M$5:M99)))/1000)/T$3, ""))</f>
        <v>#N/A</v>
      </c>
      <c r="Y100" s="1">
        <f t="shared" si="56"/>
        <v>1920</v>
      </c>
      <c r="Z100" s="1">
        <f t="shared" si="57"/>
        <v>0</v>
      </c>
      <c r="AG100" s="1" t="e">
        <f t="shared" si="58"/>
        <v>#N/A</v>
      </c>
      <c r="AH100" s="1" t="e">
        <f t="shared" si="42"/>
        <v>#N/A</v>
      </c>
      <c r="AI100" s="1" t="e">
        <f t="shared" si="59"/>
        <v>#N/A</v>
      </c>
      <c r="AJ100" s="8" t="e" cm="1">
        <f t="array" ref="AJ100">IF(AG100="","", IFERROR(((IF(AG$5&lt;&gt;"", AG$5*Y$5, 0) + SUMPRODUCT(--(AG$6:AG100&lt;&gt;""), AG$6:AG100, (Y$6:Y100-Y$5:Y99)))/1000)/AF$3, ""))</f>
        <v>#N/A</v>
      </c>
      <c r="AK100" s="1">
        <f t="shared" si="60"/>
        <v>1920</v>
      </c>
      <c r="AL100" s="1">
        <f t="shared" si="61"/>
        <v>0</v>
      </c>
      <c r="AS100" s="1" t="e">
        <f t="shared" si="62"/>
        <v>#N/A</v>
      </c>
      <c r="AT100" s="1" t="e">
        <f t="shared" si="43"/>
        <v>#N/A</v>
      </c>
      <c r="AU100" s="1" t="e">
        <f t="shared" si="63"/>
        <v>#N/A</v>
      </c>
      <c r="AV100" s="8" t="e" cm="1">
        <f t="array" ref="AV100">IF(AS100="","", IFERROR(((IF(AS$5&lt;&gt;"", AS$5*AK$5, 0) + SUMPRODUCT(--(AS$6:AS100&lt;&gt;""), AS$6:AS100, (AK$6:AK100-AK$5:AK99)))/1000)/AR$3, ""))</f>
        <v>#N/A</v>
      </c>
      <c r="AW100" s="1">
        <f t="shared" si="64"/>
        <v>1920</v>
      </c>
      <c r="AX100" s="1">
        <f t="shared" si="65"/>
        <v>0</v>
      </c>
      <c r="BE100" s="1" t="e">
        <f t="shared" si="66"/>
        <v>#N/A</v>
      </c>
      <c r="BF100" s="1" t="e">
        <f t="shared" si="44"/>
        <v>#N/A</v>
      </c>
      <c r="BG100" s="1" t="e">
        <f t="shared" si="67"/>
        <v>#N/A</v>
      </c>
      <c r="BH100" s="8" t="e" cm="1">
        <f t="array" ref="BH100">IF(BE100="","", IFERROR(((IF(BE$5&lt;&gt;"", BE$5*AW$5, 0) + SUMPRODUCT(--(BE$6:BE100&lt;&gt;""), BE$6:BE100, (AW$6:AW100-AW$5:AW99)))/1000)/BD$3, ""))</f>
        <v>#N/A</v>
      </c>
      <c r="BI100" s="1">
        <f t="shared" si="68"/>
        <v>1920</v>
      </c>
      <c r="BJ100" s="1">
        <f t="shared" si="69"/>
        <v>0</v>
      </c>
      <c r="BQ100" s="1" t="e">
        <f t="shared" si="70"/>
        <v>#N/A</v>
      </c>
      <c r="BR100" s="1" t="e">
        <f t="shared" si="45"/>
        <v>#N/A</v>
      </c>
      <c r="BS100" s="1" t="e">
        <f t="shared" si="71"/>
        <v>#N/A</v>
      </c>
      <c r="BT100" s="8" t="e" cm="1">
        <f t="array" ref="BT100">IF(BQ100="","", IFERROR(((IF(BQ$5&lt;&gt;"", BQ$5*BI$5, 0) + SUMPRODUCT(--(BQ$6:BQ100&lt;&gt;""), BQ$6:BQ100, (BI$6:BI100-BI$5:BI99)))/1000)/BP$3, ""))</f>
        <v>#N/A</v>
      </c>
      <c r="BU100" s="1">
        <f t="shared" si="72"/>
        <v>1920</v>
      </c>
      <c r="BV100" s="1">
        <f t="shared" si="73"/>
        <v>0</v>
      </c>
      <c r="CC100" s="1" t="e">
        <f t="shared" si="74"/>
        <v>#N/A</v>
      </c>
      <c r="CD100" s="1" t="e">
        <f t="shared" si="46"/>
        <v>#N/A</v>
      </c>
      <c r="CE100" s="1" t="e">
        <f t="shared" si="75"/>
        <v>#N/A</v>
      </c>
      <c r="CF100" s="8" t="e" cm="1">
        <f t="array" ref="CF100">IF(CC100="","", IFERROR(((IF(CC$5&lt;&gt;"", CC$5*BU$5, 0) + SUMPRODUCT(--(CC$6:CC100&lt;&gt;""), CC$6:CC100, (BU$6:BU100-BU$5:BU99)))/1000)/CB$3, ""))</f>
        <v>#N/A</v>
      </c>
      <c r="CG100" s="1">
        <f t="shared" si="76"/>
        <v>1920</v>
      </c>
      <c r="CH100" s="1">
        <f t="shared" si="77"/>
        <v>0</v>
      </c>
      <c r="CO100" s="1" t="e">
        <f t="shared" si="78"/>
        <v>#N/A</v>
      </c>
      <c r="CP100" s="1" t="e">
        <f t="shared" si="47"/>
        <v>#N/A</v>
      </c>
      <c r="CQ100" s="1" t="e">
        <f t="shared" si="79"/>
        <v>#N/A</v>
      </c>
      <c r="CR100" s="8" t="e" cm="1">
        <f t="array" ref="CR100">IF(CO100="","", IFERROR(((IF(CO$5&lt;&gt;"", CO$5*CG$5, 0) + SUMPRODUCT(--(CO$6:CO100&lt;&gt;""), CO$6:CO100, (CG$6:CG100-CG$5:CG99)))/1000)/CN$3, ""))</f>
        <v>#N/A</v>
      </c>
    </row>
    <row r="101" spans="1:96" x14ac:dyDescent="0.25">
      <c r="A101" s="1">
        <f t="shared" si="48"/>
        <v>1940</v>
      </c>
      <c r="B101" s="1">
        <f t="shared" si="49"/>
        <v>0</v>
      </c>
      <c r="I101" s="1" t="e">
        <f t="shared" si="50"/>
        <v>#N/A</v>
      </c>
      <c r="J101" s="1" t="e">
        <f t="shared" si="40"/>
        <v>#N/A</v>
      </c>
      <c r="K101" s="1" t="e">
        <f t="shared" si="51"/>
        <v>#N/A</v>
      </c>
      <c r="L101" s="8" t="e" cm="1">
        <f t="array" ref="L101">IF(I101="","", IFERROR(((IF(I$5&lt;&gt;"", I$5*A$5, 0) + SUMPRODUCT(--(I$6:I101&lt;&gt;""), I$6:I101, (A$6:A101-A$5:A100)))/1000)/H$3, ""))</f>
        <v>#N/A</v>
      </c>
      <c r="M101" s="1">
        <f t="shared" si="52"/>
        <v>1940</v>
      </c>
      <c r="N101" s="1">
        <f t="shared" si="53"/>
        <v>0</v>
      </c>
      <c r="U101" s="1" t="e">
        <f t="shared" si="54"/>
        <v>#N/A</v>
      </c>
      <c r="V101" s="1" t="e">
        <f t="shared" si="41"/>
        <v>#N/A</v>
      </c>
      <c r="W101" s="1" t="e">
        <f t="shared" si="55"/>
        <v>#N/A</v>
      </c>
      <c r="X101" s="8" t="e" cm="1">
        <f t="array" ref="X101">IF(U101="","", IFERROR(((IF(U$5&lt;&gt;"", U$5*M$5, 0) + SUMPRODUCT(--(U$6:U101&lt;&gt;""), U$6:U101, (M$6:M101-M$5:M100)))/1000)/T$3, ""))</f>
        <v>#N/A</v>
      </c>
      <c r="Y101" s="1">
        <f t="shared" si="56"/>
        <v>1940</v>
      </c>
      <c r="Z101" s="1">
        <f t="shared" si="57"/>
        <v>0</v>
      </c>
      <c r="AG101" s="1" t="e">
        <f t="shared" si="58"/>
        <v>#N/A</v>
      </c>
      <c r="AH101" s="1" t="e">
        <f t="shared" si="42"/>
        <v>#N/A</v>
      </c>
      <c r="AI101" s="1" t="e">
        <f t="shared" si="59"/>
        <v>#N/A</v>
      </c>
      <c r="AJ101" s="8" t="e" cm="1">
        <f t="array" ref="AJ101">IF(AG101="","", IFERROR(((IF(AG$5&lt;&gt;"", AG$5*Y$5, 0) + SUMPRODUCT(--(AG$6:AG101&lt;&gt;""), AG$6:AG101, (Y$6:Y101-Y$5:Y100)))/1000)/AF$3, ""))</f>
        <v>#N/A</v>
      </c>
      <c r="AK101" s="1">
        <f t="shared" si="60"/>
        <v>1940</v>
      </c>
      <c r="AL101" s="1">
        <f t="shared" si="61"/>
        <v>0</v>
      </c>
      <c r="AS101" s="1" t="e">
        <f t="shared" si="62"/>
        <v>#N/A</v>
      </c>
      <c r="AT101" s="1" t="e">
        <f t="shared" si="43"/>
        <v>#N/A</v>
      </c>
      <c r="AU101" s="1" t="e">
        <f t="shared" si="63"/>
        <v>#N/A</v>
      </c>
      <c r="AV101" s="8" t="e" cm="1">
        <f t="array" ref="AV101">IF(AS101="","", IFERROR(((IF(AS$5&lt;&gt;"", AS$5*AK$5, 0) + SUMPRODUCT(--(AS$6:AS101&lt;&gt;""), AS$6:AS101, (AK$6:AK101-AK$5:AK100)))/1000)/AR$3, ""))</f>
        <v>#N/A</v>
      </c>
      <c r="AW101" s="1">
        <f t="shared" si="64"/>
        <v>1940</v>
      </c>
      <c r="AX101" s="1">
        <f t="shared" si="65"/>
        <v>0</v>
      </c>
      <c r="BE101" s="1" t="e">
        <f t="shared" si="66"/>
        <v>#N/A</v>
      </c>
      <c r="BF101" s="1" t="e">
        <f t="shared" si="44"/>
        <v>#N/A</v>
      </c>
      <c r="BG101" s="1" t="e">
        <f t="shared" si="67"/>
        <v>#N/A</v>
      </c>
      <c r="BH101" s="8" t="e" cm="1">
        <f t="array" ref="BH101">IF(BE101="","", IFERROR(((IF(BE$5&lt;&gt;"", BE$5*AW$5, 0) + SUMPRODUCT(--(BE$6:BE101&lt;&gt;""), BE$6:BE101, (AW$6:AW101-AW$5:AW100)))/1000)/BD$3, ""))</f>
        <v>#N/A</v>
      </c>
      <c r="BI101" s="1">
        <f t="shared" si="68"/>
        <v>1940</v>
      </c>
      <c r="BJ101" s="1">
        <f t="shared" si="69"/>
        <v>0</v>
      </c>
      <c r="BQ101" s="1" t="e">
        <f t="shared" si="70"/>
        <v>#N/A</v>
      </c>
      <c r="BR101" s="1" t="e">
        <f t="shared" si="45"/>
        <v>#N/A</v>
      </c>
      <c r="BS101" s="1" t="e">
        <f t="shared" si="71"/>
        <v>#N/A</v>
      </c>
      <c r="BT101" s="8" t="e" cm="1">
        <f t="array" ref="BT101">IF(BQ101="","", IFERROR(((IF(BQ$5&lt;&gt;"", BQ$5*BI$5, 0) + SUMPRODUCT(--(BQ$6:BQ101&lt;&gt;""), BQ$6:BQ101, (BI$6:BI101-BI$5:BI100)))/1000)/BP$3, ""))</f>
        <v>#N/A</v>
      </c>
      <c r="BU101" s="1">
        <f t="shared" si="72"/>
        <v>1940</v>
      </c>
      <c r="BV101" s="1">
        <f t="shared" si="73"/>
        <v>0</v>
      </c>
      <c r="CC101" s="1" t="e">
        <f t="shared" si="74"/>
        <v>#N/A</v>
      </c>
      <c r="CD101" s="1" t="e">
        <f t="shared" si="46"/>
        <v>#N/A</v>
      </c>
      <c r="CE101" s="1" t="e">
        <f t="shared" si="75"/>
        <v>#N/A</v>
      </c>
      <c r="CF101" s="8" t="e" cm="1">
        <f t="array" ref="CF101">IF(CC101="","", IFERROR(((IF(CC$5&lt;&gt;"", CC$5*BU$5, 0) + SUMPRODUCT(--(CC$6:CC101&lt;&gt;""), CC$6:CC101, (BU$6:BU101-BU$5:BU100)))/1000)/CB$3, ""))</f>
        <v>#N/A</v>
      </c>
      <c r="CG101" s="1">
        <f t="shared" si="76"/>
        <v>1940</v>
      </c>
      <c r="CH101" s="1">
        <f t="shared" si="77"/>
        <v>0</v>
      </c>
      <c r="CO101" s="1" t="e">
        <f t="shared" si="78"/>
        <v>#N/A</v>
      </c>
      <c r="CP101" s="1" t="e">
        <f t="shared" si="47"/>
        <v>#N/A</v>
      </c>
      <c r="CQ101" s="1" t="e">
        <f t="shared" si="79"/>
        <v>#N/A</v>
      </c>
      <c r="CR101" s="8" t="e" cm="1">
        <f t="array" ref="CR101">IF(CO101="","", IFERROR(((IF(CO$5&lt;&gt;"", CO$5*CG$5, 0) + SUMPRODUCT(--(CO$6:CO101&lt;&gt;""), CO$6:CO101, (CG$6:CG101-CG$5:CG100)))/1000)/CN$3, ""))</f>
        <v>#N/A</v>
      </c>
    </row>
    <row r="102" spans="1:96" x14ac:dyDescent="0.25">
      <c r="A102" s="1">
        <f t="shared" si="48"/>
        <v>1960</v>
      </c>
      <c r="B102" s="1">
        <f t="shared" si="49"/>
        <v>0</v>
      </c>
      <c r="I102" s="1" t="e">
        <f t="shared" si="50"/>
        <v>#N/A</v>
      </c>
      <c r="J102" s="1" t="e">
        <f t="shared" si="40"/>
        <v>#N/A</v>
      </c>
      <c r="K102" s="1" t="e">
        <f t="shared" si="51"/>
        <v>#N/A</v>
      </c>
      <c r="L102" s="8" t="e" cm="1">
        <f t="array" ref="L102">IF(I102="","", IFERROR(((IF(I$5&lt;&gt;"", I$5*A$5, 0) + SUMPRODUCT(--(I$6:I102&lt;&gt;""), I$6:I102, (A$6:A102-A$5:A101)))/1000)/H$3, ""))</f>
        <v>#N/A</v>
      </c>
      <c r="M102" s="1">
        <f t="shared" si="52"/>
        <v>1960</v>
      </c>
      <c r="N102" s="1">
        <f t="shared" si="53"/>
        <v>0</v>
      </c>
      <c r="U102" s="1" t="e">
        <f t="shared" si="54"/>
        <v>#N/A</v>
      </c>
      <c r="V102" s="1" t="e">
        <f t="shared" si="41"/>
        <v>#N/A</v>
      </c>
      <c r="W102" s="1" t="e">
        <f t="shared" si="55"/>
        <v>#N/A</v>
      </c>
      <c r="X102" s="8" t="e" cm="1">
        <f t="array" ref="X102">IF(U102="","", IFERROR(((IF(U$5&lt;&gt;"", U$5*M$5, 0) + SUMPRODUCT(--(U$6:U102&lt;&gt;""), U$6:U102, (M$6:M102-M$5:M101)))/1000)/T$3, ""))</f>
        <v>#N/A</v>
      </c>
      <c r="Y102" s="1">
        <f t="shared" si="56"/>
        <v>1960</v>
      </c>
      <c r="Z102" s="1">
        <f t="shared" si="57"/>
        <v>0</v>
      </c>
      <c r="AG102" s="1" t="e">
        <f t="shared" si="58"/>
        <v>#N/A</v>
      </c>
      <c r="AH102" s="1" t="e">
        <f t="shared" si="42"/>
        <v>#N/A</v>
      </c>
      <c r="AI102" s="1" t="e">
        <f t="shared" si="59"/>
        <v>#N/A</v>
      </c>
      <c r="AJ102" s="8" t="e" cm="1">
        <f t="array" ref="AJ102">IF(AG102="","", IFERROR(((IF(AG$5&lt;&gt;"", AG$5*Y$5, 0) + SUMPRODUCT(--(AG$6:AG102&lt;&gt;""), AG$6:AG102, (Y$6:Y102-Y$5:Y101)))/1000)/AF$3, ""))</f>
        <v>#N/A</v>
      </c>
      <c r="AK102" s="1">
        <f t="shared" si="60"/>
        <v>1960</v>
      </c>
      <c r="AL102" s="1">
        <f t="shared" si="61"/>
        <v>0</v>
      </c>
      <c r="AS102" s="1" t="e">
        <f t="shared" si="62"/>
        <v>#N/A</v>
      </c>
      <c r="AT102" s="1" t="e">
        <f t="shared" si="43"/>
        <v>#N/A</v>
      </c>
      <c r="AU102" s="1" t="e">
        <f t="shared" si="63"/>
        <v>#N/A</v>
      </c>
      <c r="AV102" s="8" t="e" cm="1">
        <f t="array" ref="AV102">IF(AS102="","", IFERROR(((IF(AS$5&lt;&gt;"", AS$5*AK$5, 0) + SUMPRODUCT(--(AS$6:AS102&lt;&gt;""), AS$6:AS102, (AK$6:AK102-AK$5:AK101)))/1000)/AR$3, ""))</f>
        <v>#N/A</v>
      </c>
      <c r="AW102" s="1">
        <f t="shared" si="64"/>
        <v>1960</v>
      </c>
      <c r="AX102" s="1">
        <f t="shared" si="65"/>
        <v>0</v>
      </c>
      <c r="BE102" s="1" t="e">
        <f t="shared" si="66"/>
        <v>#N/A</v>
      </c>
      <c r="BF102" s="1" t="e">
        <f t="shared" si="44"/>
        <v>#N/A</v>
      </c>
      <c r="BG102" s="1" t="e">
        <f t="shared" si="67"/>
        <v>#N/A</v>
      </c>
      <c r="BH102" s="8" t="e" cm="1">
        <f t="array" ref="BH102">IF(BE102="","", IFERROR(((IF(BE$5&lt;&gt;"", BE$5*AW$5, 0) + SUMPRODUCT(--(BE$6:BE102&lt;&gt;""), BE$6:BE102, (AW$6:AW102-AW$5:AW101)))/1000)/BD$3, ""))</f>
        <v>#N/A</v>
      </c>
      <c r="BI102" s="1">
        <f t="shared" si="68"/>
        <v>1960</v>
      </c>
      <c r="BJ102" s="1">
        <f t="shared" si="69"/>
        <v>0</v>
      </c>
      <c r="BQ102" s="1" t="e">
        <f t="shared" si="70"/>
        <v>#N/A</v>
      </c>
      <c r="BR102" s="1" t="e">
        <f t="shared" si="45"/>
        <v>#N/A</v>
      </c>
      <c r="BS102" s="1" t="e">
        <f t="shared" si="71"/>
        <v>#N/A</v>
      </c>
      <c r="BT102" s="8" t="e" cm="1">
        <f t="array" ref="BT102">IF(BQ102="","", IFERROR(((IF(BQ$5&lt;&gt;"", BQ$5*BI$5, 0) + SUMPRODUCT(--(BQ$6:BQ102&lt;&gt;""), BQ$6:BQ102, (BI$6:BI102-BI$5:BI101)))/1000)/BP$3, ""))</f>
        <v>#N/A</v>
      </c>
      <c r="BU102" s="1">
        <f t="shared" si="72"/>
        <v>1960</v>
      </c>
      <c r="BV102" s="1">
        <f t="shared" si="73"/>
        <v>0</v>
      </c>
      <c r="CC102" s="1" t="e">
        <f t="shared" si="74"/>
        <v>#N/A</v>
      </c>
      <c r="CD102" s="1" t="e">
        <f t="shared" si="46"/>
        <v>#N/A</v>
      </c>
      <c r="CE102" s="1" t="e">
        <f t="shared" si="75"/>
        <v>#N/A</v>
      </c>
      <c r="CF102" s="8" t="e" cm="1">
        <f t="array" ref="CF102">IF(CC102="","", IFERROR(((IF(CC$5&lt;&gt;"", CC$5*BU$5, 0) + SUMPRODUCT(--(CC$6:CC102&lt;&gt;""), CC$6:CC102, (BU$6:BU102-BU$5:BU101)))/1000)/CB$3, ""))</f>
        <v>#N/A</v>
      </c>
      <c r="CG102" s="1">
        <f t="shared" si="76"/>
        <v>1960</v>
      </c>
      <c r="CH102" s="1">
        <f t="shared" si="77"/>
        <v>0</v>
      </c>
      <c r="CO102" s="1" t="e">
        <f t="shared" si="78"/>
        <v>#N/A</v>
      </c>
      <c r="CP102" s="1" t="e">
        <f t="shared" si="47"/>
        <v>#N/A</v>
      </c>
      <c r="CQ102" s="1" t="e">
        <f t="shared" si="79"/>
        <v>#N/A</v>
      </c>
      <c r="CR102" s="8" t="e" cm="1">
        <f t="array" ref="CR102">IF(CO102="","", IFERROR(((IF(CO$5&lt;&gt;"", CO$5*CG$5, 0) + SUMPRODUCT(--(CO$6:CO102&lt;&gt;""), CO$6:CO102, (CG$6:CG102-CG$5:CG101)))/1000)/CN$3, ""))</f>
        <v>#N/A</v>
      </c>
    </row>
    <row r="103" spans="1:96" x14ac:dyDescent="0.25">
      <c r="A103" s="1">
        <f t="shared" si="48"/>
        <v>1980</v>
      </c>
      <c r="B103" s="1">
        <f t="shared" si="49"/>
        <v>0</v>
      </c>
      <c r="I103" s="1" t="e">
        <f t="shared" si="50"/>
        <v>#N/A</v>
      </c>
      <c r="J103" s="1" t="e">
        <f t="shared" si="40"/>
        <v>#N/A</v>
      </c>
      <c r="K103" s="1" t="e">
        <f t="shared" si="51"/>
        <v>#N/A</v>
      </c>
      <c r="L103" s="8" t="e" cm="1">
        <f t="array" ref="L103">IF(I103="","", IFERROR(((IF(I$5&lt;&gt;"", I$5*A$5, 0) + SUMPRODUCT(--(I$6:I103&lt;&gt;""), I$6:I103, (A$6:A103-A$5:A102)))/1000)/H$3, ""))</f>
        <v>#N/A</v>
      </c>
      <c r="M103" s="1">
        <f t="shared" si="52"/>
        <v>1980</v>
      </c>
      <c r="N103" s="1">
        <f t="shared" si="53"/>
        <v>0</v>
      </c>
      <c r="U103" s="1" t="e">
        <f t="shared" si="54"/>
        <v>#N/A</v>
      </c>
      <c r="V103" s="1" t="e">
        <f t="shared" si="41"/>
        <v>#N/A</v>
      </c>
      <c r="W103" s="1" t="e">
        <f t="shared" si="55"/>
        <v>#N/A</v>
      </c>
      <c r="X103" s="8" t="e" cm="1">
        <f t="array" ref="X103">IF(U103="","", IFERROR(((IF(U$5&lt;&gt;"", U$5*M$5, 0) + SUMPRODUCT(--(U$6:U103&lt;&gt;""), U$6:U103, (M$6:M103-M$5:M102)))/1000)/T$3, ""))</f>
        <v>#N/A</v>
      </c>
      <c r="Y103" s="1">
        <f t="shared" si="56"/>
        <v>1980</v>
      </c>
      <c r="Z103" s="1">
        <f t="shared" si="57"/>
        <v>0</v>
      </c>
      <c r="AG103" s="1" t="e">
        <f t="shared" si="58"/>
        <v>#N/A</v>
      </c>
      <c r="AH103" s="1" t="e">
        <f t="shared" si="42"/>
        <v>#N/A</v>
      </c>
      <c r="AI103" s="1" t="e">
        <f t="shared" si="59"/>
        <v>#N/A</v>
      </c>
      <c r="AJ103" s="8" t="e" cm="1">
        <f t="array" ref="AJ103">IF(AG103="","", IFERROR(((IF(AG$5&lt;&gt;"", AG$5*Y$5, 0) + SUMPRODUCT(--(AG$6:AG103&lt;&gt;""), AG$6:AG103, (Y$6:Y103-Y$5:Y102)))/1000)/AF$3, ""))</f>
        <v>#N/A</v>
      </c>
      <c r="AK103" s="1">
        <f t="shared" si="60"/>
        <v>1980</v>
      </c>
      <c r="AL103" s="1">
        <f t="shared" si="61"/>
        <v>0</v>
      </c>
      <c r="AS103" s="1" t="e">
        <f t="shared" si="62"/>
        <v>#N/A</v>
      </c>
      <c r="AT103" s="1" t="e">
        <f t="shared" si="43"/>
        <v>#N/A</v>
      </c>
      <c r="AU103" s="1" t="e">
        <f t="shared" si="63"/>
        <v>#N/A</v>
      </c>
      <c r="AV103" s="8" t="e" cm="1">
        <f t="array" ref="AV103">IF(AS103="","", IFERROR(((IF(AS$5&lt;&gt;"", AS$5*AK$5, 0) + SUMPRODUCT(--(AS$6:AS103&lt;&gt;""), AS$6:AS103, (AK$6:AK103-AK$5:AK102)))/1000)/AR$3, ""))</f>
        <v>#N/A</v>
      </c>
      <c r="AW103" s="1">
        <f t="shared" si="64"/>
        <v>1980</v>
      </c>
      <c r="AX103" s="1">
        <f t="shared" si="65"/>
        <v>0</v>
      </c>
      <c r="BE103" s="1" t="e">
        <f t="shared" si="66"/>
        <v>#N/A</v>
      </c>
      <c r="BF103" s="1" t="e">
        <f t="shared" si="44"/>
        <v>#N/A</v>
      </c>
      <c r="BG103" s="1" t="e">
        <f t="shared" si="67"/>
        <v>#N/A</v>
      </c>
      <c r="BH103" s="8" t="e" cm="1">
        <f t="array" ref="BH103">IF(BE103="","", IFERROR(((IF(BE$5&lt;&gt;"", BE$5*AW$5, 0) + SUMPRODUCT(--(BE$6:BE103&lt;&gt;""), BE$6:BE103, (AW$6:AW103-AW$5:AW102)))/1000)/BD$3, ""))</f>
        <v>#N/A</v>
      </c>
      <c r="BI103" s="1">
        <f t="shared" si="68"/>
        <v>1980</v>
      </c>
      <c r="BJ103" s="1">
        <f t="shared" si="69"/>
        <v>0</v>
      </c>
      <c r="BQ103" s="1" t="e">
        <f t="shared" si="70"/>
        <v>#N/A</v>
      </c>
      <c r="BR103" s="1" t="e">
        <f t="shared" si="45"/>
        <v>#N/A</v>
      </c>
      <c r="BS103" s="1" t="e">
        <f t="shared" si="71"/>
        <v>#N/A</v>
      </c>
      <c r="BT103" s="8" t="e" cm="1">
        <f t="array" ref="BT103">IF(BQ103="","", IFERROR(((IF(BQ$5&lt;&gt;"", BQ$5*BI$5, 0) + SUMPRODUCT(--(BQ$6:BQ103&lt;&gt;""), BQ$6:BQ103, (BI$6:BI103-BI$5:BI102)))/1000)/BP$3, ""))</f>
        <v>#N/A</v>
      </c>
      <c r="BU103" s="1">
        <f t="shared" si="72"/>
        <v>1980</v>
      </c>
      <c r="BV103" s="1">
        <f t="shared" si="73"/>
        <v>0</v>
      </c>
      <c r="CC103" s="1" t="e">
        <f t="shared" si="74"/>
        <v>#N/A</v>
      </c>
      <c r="CD103" s="1" t="e">
        <f t="shared" si="46"/>
        <v>#N/A</v>
      </c>
      <c r="CE103" s="1" t="e">
        <f t="shared" si="75"/>
        <v>#N/A</v>
      </c>
      <c r="CF103" s="8" t="e" cm="1">
        <f t="array" ref="CF103">IF(CC103="","", IFERROR(((IF(CC$5&lt;&gt;"", CC$5*BU$5, 0) + SUMPRODUCT(--(CC$6:CC103&lt;&gt;""), CC$6:CC103, (BU$6:BU103-BU$5:BU102)))/1000)/CB$3, ""))</f>
        <v>#N/A</v>
      </c>
      <c r="CG103" s="1">
        <f t="shared" si="76"/>
        <v>1980</v>
      </c>
      <c r="CH103" s="1">
        <f t="shared" si="77"/>
        <v>0</v>
      </c>
      <c r="CO103" s="1" t="e">
        <f t="shared" si="78"/>
        <v>#N/A</v>
      </c>
      <c r="CP103" s="1" t="e">
        <f t="shared" si="47"/>
        <v>#N/A</v>
      </c>
      <c r="CQ103" s="1" t="e">
        <f t="shared" si="79"/>
        <v>#N/A</v>
      </c>
      <c r="CR103" s="8" t="e" cm="1">
        <f t="array" ref="CR103">IF(CO103="","", IFERROR(((IF(CO$5&lt;&gt;"", CO$5*CG$5, 0) + SUMPRODUCT(--(CO$6:CO103&lt;&gt;""), CO$6:CO103, (CG$6:CG103-CG$5:CG102)))/1000)/CN$3, ""))</f>
        <v>#N/A</v>
      </c>
    </row>
    <row r="104" spans="1:96" x14ac:dyDescent="0.25">
      <c r="A104" s="1">
        <f t="shared" si="48"/>
        <v>2000</v>
      </c>
      <c r="B104" s="1">
        <f t="shared" si="49"/>
        <v>0</v>
      </c>
      <c r="I104" s="1" t="e">
        <f t="shared" si="50"/>
        <v>#N/A</v>
      </c>
      <c r="J104" s="1" t="e">
        <f t="shared" si="40"/>
        <v>#N/A</v>
      </c>
      <c r="K104" s="1" t="e">
        <f t="shared" si="51"/>
        <v>#N/A</v>
      </c>
      <c r="L104" s="8" t="e" cm="1">
        <f t="array" ref="L104">IF(I104="","", IFERROR(((IF(I$5&lt;&gt;"", I$5*A$5, 0) + SUMPRODUCT(--(I$6:I104&lt;&gt;""), I$6:I104, (A$6:A104-A$5:A103)))/1000)/H$3, ""))</f>
        <v>#N/A</v>
      </c>
      <c r="M104" s="1">
        <f t="shared" si="52"/>
        <v>2000</v>
      </c>
      <c r="N104" s="1">
        <f t="shared" si="53"/>
        <v>0</v>
      </c>
      <c r="U104" s="1" t="e">
        <f t="shared" si="54"/>
        <v>#N/A</v>
      </c>
      <c r="V104" s="1" t="e">
        <f t="shared" si="41"/>
        <v>#N/A</v>
      </c>
      <c r="W104" s="1" t="e">
        <f t="shared" si="55"/>
        <v>#N/A</v>
      </c>
      <c r="X104" s="8" t="e" cm="1">
        <f t="array" ref="X104">IF(U104="","", IFERROR(((IF(U$5&lt;&gt;"", U$5*M$5, 0) + SUMPRODUCT(--(U$6:U104&lt;&gt;""), U$6:U104, (M$6:M104-M$5:M103)))/1000)/T$3, ""))</f>
        <v>#N/A</v>
      </c>
      <c r="Y104" s="1">
        <f t="shared" si="56"/>
        <v>2000</v>
      </c>
      <c r="Z104" s="1">
        <f t="shared" si="57"/>
        <v>0</v>
      </c>
      <c r="AG104" s="1" t="e">
        <f t="shared" si="58"/>
        <v>#N/A</v>
      </c>
      <c r="AH104" s="1" t="e">
        <f t="shared" si="42"/>
        <v>#N/A</v>
      </c>
      <c r="AI104" s="1" t="e">
        <f t="shared" si="59"/>
        <v>#N/A</v>
      </c>
      <c r="AJ104" s="8" t="e" cm="1">
        <f t="array" ref="AJ104">IF(AG104="","", IFERROR(((IF(AG$5&lt;&gt;"", AG$5*Y$5, 0) + SUMPRODUCT(--(AG$6:AG104&lt;&gt;""), AG$6:AG104, (Y$6:Y104-Y$5:Y103)))/1000)/AF$3, ""))</f>
        <v>#N/A</v>
      </c>
      <c r="AK104" s="1">
        <f t="shared" si="60"/>
        <v>2000</v>
      </c>
      <c r="AL104" s="1">
        <f t="shared" si="61"/>
        <v>0</v>
      </c>
      <c r="AS104" s="1" t="e">
        <f t="shared" si="62"/>
        <v>#N/A</v>
      </c>
      <c r="AT104" s="1" t="e">
        <f t="shared" si="43"/>
        <v>#N/A</v>
      </c>
      <c r="AU104" s="1" t="e">
        <f t="shared" si="63"/>
        <v>#N/A</v>
      </c>
      <c r="AV104" s="8" t="e" cm="1">
        <f t="array" ref="AV104">IF(AS104="","", IFERROR(((IF(AS$5&lt;&gt;"", AS$5*AK$5, 0) + SUMPRODUCT(--(AS$6:AS104&lt;&gt;""), AS$6:AS104, (AK$6:AK104-AK$5:AK103)))/1000)/AR$3, ""))</f>
        <v>#N/A</v>
      </c>
      <c r="AW104" s="1">
        <f t="shared" si="64"/>
        <v>2000</v>
      </c>
      <c r="AX104" s="1">
        <f t="shared" si="65"/>
        <v>0</v>
      </c>
      <c r="BE104" s="1" t="e">
        <f t="shared" si="66"/>
        <v>#N/A</v>
      </c>
      <c r="BF104" s="1" t="e">
        <f t="shared" si="44"/>
        <v>#N/A</v>
      </c>
      <c r="BG104" s="1" t="e">
        <f t="shared" si="67"/>
        <v>#N/A</v>
      </c>
      <c r="BH104" s="8" t="e" cm="1">
        <f t="array" ref="BH104">IF(BE104="","", IFERROR(((IF(BE$5&lt;&gt;"", BE$5*AW$5, 0) + SUMPRODUCT(--(BE$6:BE104&lt;&gt;""), BE$6:BE104, (AW$6:AW104-AW$5:AW103)))/1000)/BD$3, ""))</f>
        <v>#N/A</v>
      </c>
      <c r="BI104" s="1">
        <f t="shared" si="68"/>
        <v>2000</v>
      </c>
      <c r="BJ104" s="1">
        <f t="shared" si="69"/>
        <v>0</v>
      </c>
      <c r="BQ104" s="1" t="e">
        <f t="shared" si="70"/>
        <v>#N/A</v>
      </c>
      <c r="BR104" s="1" t="e">
        <f t="shared" si="45"/>
        <v>#N/A</v>
      </c>
      <c r="BS104" s="1" t="e">
        <f t="shared" si="71"/>
        <v>#N/A</v>
      </c>
      <c r="BT104" s="8" t="e" cm="1">
        <f t="array" ref="BT104">IF(BQ104="","", IFERROR(((IF(BQ$5&lt;&gt;"", BQ$5*BI$5, 0) + SUMPRODUCT(--(BQ$6:BQ104&lt;&gt;""), BQ$6:BQ104, (BI$6:BI104-BI$5:BI103)))/1000)/BP$3, ""))</f>
        <v>#N/A</v>
      </c>
      <c r="BU104" s="1">
        <f t="shared" si="72"/>
        <v>2000</v>
      </c>
      <c r="BV104" s="1">
        <f t="shared" si="73"/>
        <v>0</v>
      </c>
      <c r="CC104" s="1" t="e">
        <f t="shared" si="74"/>
        <v>#N/A</v>
      </c>
      <c r="CD104" s="1" t="e">
        <f t="shared" si="46"/>
        <v>#N/A</v>
      </c>
      <c r="CE104" s="1" t="e">
        <f t="shared" si="75"/>
        <v>#N/A</v>
      </c>
      <c r="CF104" s="8" t="e" cm="1">
        <f t="array" ref="CF104">IF(CC104="","", IFERROR(((IF(CC$5&lt;&gt;"", CC$5*BU$5, 0) + SUMPRODUCT(--(CC$6:CC104&lt;&gt;""), CC$6:CC104, (BU$6:BU104-BU$5:BU103)))/1000)/CB$3, ""))</f>
        <v>#N/A</v>
      </c>
      <c r="CG104" s="1">
        <f t="shared" si="76"/>
        <v>2000</v>
      </c>
      <c r="CH104" s="1">
        <f t="shared" si="77"/>
        <v>0</v>
      </c>
      <c r="CO104" s="1" t="e">
        <f t="shared" si="78"/>
        <v>#N/A</v>
      </c>
      <c r="CP104" s="1" t="e">
        <f t="shared" si="47"/>
        <v>#N/A</v>
      </c>
      <c r="CQ104" s="1" t="e">
        <f t="shared" si="79"/>
        <v>#N/A</v>
      </c>
      <c r="CR104" s="8" t="e" cm="1">
        <f t="array" ref="CR104">IF(CO104="","", IFERROR(((IF(CO$5&lt;&gt;"", CO$5*CG$5, 0) + SUMPRODUCT(--(CO$6:CO104&lt;&gt;""), CO$6:CO104, (CG$6:CG104-CG$5:CG103)))/1000)/CN$3, ""))</f>
        <v>#N/A</v>
      </c>
    </row>
    <row r="105" spans="1:96" x14ac:dyDescent="0.25">
      <c r="A105" s="1">
        <f t="shared" si="48"/>
        <v>2020</v>
      </c>
      <c r="B105" s="1">
        <f t="shared" si="49"/>
        <v>0</v>
      </c>
      <c r="I105" s="1" t="e">
        <f t="shared" si="50"/>
        <v>#N/A</v>
      </c>
      <c r="J105" s="1" t="e">
        <f t="shared" si="40"/>
        <v>#N/A</v>
      </c>
      <c r="K105" s="1" t="e">
        <f t="shared" si="51"/>
        <v>#N/A</v>
      </c>
      <c r="L105" s="8" t="e" cm="1">
        <f t="array" ref="L105">IF(I105="","", IFERROR(((IF(I$5&lt;&gt;"", I$5*A$5, 0) + SUMPRODUCT(--(I$6:I105&lt;&gt;""), I$6:I105, (A$6:A105-A$5:A104)))/1000)/H$3, ""))</f>
        <v>#N/A</v>
      </c>
      <c r="M105" s="1">
        <f t="shared" si="52"/>
        <v>2020</v>
      </c>
      <c r="N105" s="1">
        <f t="shared" si="53"/>
        <v>0</v>
      </c>
      <c r="U105" s="1" t="e">
        <f t="shared" si="54"/>
        <v>#N/A</v>
      </c>
      <c r="V105" s="1" t="e">
        <f t="shared" si="41"/>
        <v>#N/A</v>
      </c>
      <c r="W105" s="1" t="e">
        <f t="shared" si="55"/>
        <v>#N/A</v>
      </c>
      <c r="X105" s="8" t="e" cm="1">
        <f t="array" ref="X105">IF(U105="","", IFERROR(((IF(U$5&lt;&gt;"", U$5*M$5, 0) + SUMPRODUCT(--(U$6:U105&lt;&gt;""), U$6:U105, (M$6:M105-M$5:M104)))/1000)/T$3, ""))</f>
        <v>#N/A</v>
      </c>
      <c r="Y105" s="1">
        <f t="shared" si="56"/>
        <v>2020</v>
      </c>
      <c r="Z105" s="1">
        <f t="shared" si="57"/>
        <v>0</v>
      </c>
      <c r="AG105" s="1" t="e">
        <f t="shared" si="58"/>
        <v>#N/A</v>
      </c>
      <c r="AH105" s="1" t="e">
        <f t="shared" si="42"/>
        <v>#N/A</v>
      </c>
      <c r="AI105" s="1" t="e">
        <f t="shared" si="59"/>
        <v>#N/A</v>
      </c>
      <c r="AJ105" s="8" t="e" cm="1">
        <f t="array" ref="AJ105">IF(AG105="","", IFERROR(((IF(AG$5&lt;&gt;"", AG$5*Y$5, 0) + SUMPRODUCT(--(AG$6:AG105&lt;&gt;""), AG$6:AG105, (Y$6:Y105-Y$5:Y104)))/1000)/AF$3, ""))</f>
        <v>#N/A</v>
      </c>
      <c r="AK105" s="1">
        <f t="shared" si="60"/>
        <v>2020</v>
      </c>
      <c r="AL105" s="1">
        <f t="shared" si="61"/>
        <v>0</v>
      </c>
      <c r="AS105" s="1" t="e">
        <f t="shared" si="62"/>
        <v>#N/A</v>
      </c>
      <c r="AT105" s="1" t="e">
        <f t="shared" si="43"/>
        <v>#N/A</v>
      </c>
      <c r="AU105" s="1" t="e">
        <f t="shared" si="63"/>
        <v>#N/A</v>
      </c>
      <c r="AV105" s="8" t="e" cm="1">
        <f t="array" ref="AV105">IF(AS105="","", IFERROR(((IF(AS$5&lt;&gt;"", AS$5*AK$5, 0) + SUMPRODUCT(--(AS$6:AS105&lt;&gt;""), AS$6:AS105, (AK$6:AK105-AK$5:AK104)))/1000)/AR$3, ""))</f>
        <v>#N/A</v>
      </c>
      <c r="AW105" s="1">
        <f t="shared" si="64"/>
        <v>2020</v>
      </c>
      <c r="AX105" s="1">
        <f t="shared" si="65"/>
        <v>0</v>
      </c>
      <c r="BE105" s="1" t="e">
        <f t="shared" si="66"/>
        <v>#N/A</v>
      </c>
      <c r="BF105" s="1" t="e">
        <f t="shared" si="44"/>
        <v>#N/A</v>
      </c>
      <c r="BG105" s="1" t="e">
        <f t="shared" si="67"/>
        <v>#N/A</v>
      </c>
      <c r="BH105" s="8" t="e" cm="1">
        <f t="array" ref="BH105">IF(BE105="","", IFERROR(((IF(BE$5&lt;&gt;"", BE$5*AW$5, 0) + SUMPRODUCT(--(BE$6:BE105&lt;&gt;""), BE$6:BE105, (AW$6:AW105-AW$5:AW104)))/1000)/BD$3, ""))</f>
        <v>#N/A</v>
      </c>
      <c r="BI105" s="1">
        <f t="shared" si="68"/>
        <v>2020</v>
      </c>
      <c r="BJ105" s="1">
        <f t="shared" si="69"/>
        <v>0</v>
      </c>
      <c r="BQ105" s="1" t="e">
        <f t="shared" si="70"/>
        <v>#N/A</v>
      </c>
      <c r="BR105" s="1" t="e">
        <f t="shared" si="45"/>
        <v>#N/A</v>
      </c>
      <c r="BS105" s="1" t="e">
        <f t="shared" si="71"/>
        <v>#N/A</v>
      </c>
      <c r="BT105" s="8" t="e" cm="1">
        <f t="array" ref="BT105">IF(BQ105="","", IFERROR(((IF(BQ$5&lt;&gt;"", BQ$5*BI$5, 0) + SUMPRODUCT(--(BQ$6:BQ105&lt;&gt;""), BQ$6:BQ105, (BI$6:BI105-BI$5:BI104)))/1000)/BP$3, ""))</f>
        <v>#N/A</v>
      </c>
      <c r="BU105" s="1">
        <f t="shared" si="72"/>
        <v>2020</v>
      </c>
      <c r="BV105" s="1">
        <f t="shared" si="73"/>
        <v>0</v>
      </c>
      <c r="CC105" s="1" t="e">
        <f t="shared" si="74"/>
        <v>#N/A</v>
      </c>
      <c r="CD105" s="1" t="e">
        <f t="shared" si="46"/>
        <v>#N/A</v>
      </c>
      <c r="CE105" s="1" t="e">
        <f t="shared" si="75"/>
        <v>#N/A</v>
      </c>
      <c r="CF105" s="8" t="e" cm="1">
        <f t="array" ref="CF105">IF(CC105="","", IFERROR(((IF(CC$5&lt;&gt;"", CC$5*BU$5, 0) + SUMPRODUCT(--(CC$6:CC105&lt;&gt;""), CC$6:CC105, (BU$6:BU105-BU$5:BU104)))/1000)/CB$3, ""))</f>
        <v>#N/A</v>
      </c>
      <c r="CG105" s="1">
        <f t="shared" si="76"/>
        <v>2020</v>
      </c>
      <c r="CH105" s="1">
        <f t="shared" si="77"/>
        <v>0</v>
      </c>
      <c r="CO105" s="1" t="e">
        <f t="shared" si="78"/>
        <v>#N/A</v>
      </c>
      <c r="CP105" s="1" t="e">
        <f t="shared" si="47"/>
        <v>#N/A</v>
      </c>
      <c r="CQ105" s="1" t="e">
        <f t="shared" si="79"/>
        <v>#N/A</v>
      </c>
      <c r="CR105" s="8" t="e" cm="1">
        <f t="array" ref="CR105">IF(CO105="","", IFERROR(((IF(CO$5&lt;&gt;"", CO$5*CG$5, 0) + SUMPRODUCT(--(CO$6:CO105&lt;&gt;""), CO$6:CO105, (CG$6:CG105-CG$5:CG104)))/1000)/CN$3, ""))</f>
        <v>#N/A</v>
      </c>
    </row>
    <row r="106" spans="1:96" x14ac:dyDescent="0.25">
      <c r="A106" s="1">
        <f t="shared" si="48"/>
        <v>2040</v>
      </c>
      <c r="B106" s="1">
        <f t="shared" si="49"/>
        <v>0</v>
      </c>
      <c r="I106" s="1" t="e">
        <f t="shared" si="50"/>
        <v>#N/A</v>
      </c>
      <c r="J106" s="1" t="e">
        <f t="shared" si="40"/>
        <v>#N/A</v>
      </c>
      <c r="K106" s="1" t="e">
        <f t="shared" si="51"/>
        <v>#N/A</v>
      </c>
      <c r="L106" s="8" t="e" cm="1">
        <f t="array" ref="L106">IF(I106="","", IFERROR(((IF(I$5&lt;&gt;"", I$5*A$5, 0) + SUMPRODUCT(--(I$6:I106&lt;&gt;""), I$6:I106, (A$6:A106-A$5:A105)))/1000)/H$3, ""))</f>
        <v>#N/A</v>
      </c>
      <c r="M106" s="1">
        <f t="shared" si="52"/>
        <v>2040</v>
      </c>
      <c r="N106" s="1">
        <f t="shared" si="53"/>
        <v>0</v>
      </c>
      <c r="U106" s="1" t="e">
        <f t="shared" si="54"/>
        <v>#N/A</v>
      </c>
      <c r="V106" s="1" t="e">
        <f t="shared" si="41"/>
        <v>#N/A</v>
      </c>
      <c r="W106" s="1" t="e">
        <f t="shared" si="55"/>
        <v>#N/A</v>
      </c>
      <c r="X106" s="8" t="e" cm="1">
        <f t="array" ref="X106">IF(U106="","", IFERROR(((IF(U$5&lt;&gt;"", U$5*M$5, 0) + SUMPRODUCT(--(U$6:U106&lt;&gt;""), U$6:U106, (M$6:M106-M$5:M105)))/1000)/T$3, ""))</f>
        <v>#N/A</v>
      </c>
      <c r="Y106" s="1">
        <f t="shared" si="56"/>
        <v>2040</v>
      </c>
      <c r="Z106" s="1">
        <f t="shared" si="57"/>
        <v>0</v>
      </c>
      <c r="AG106" s="1" t="e">
        <f t="shared" si="58"/>
        <v>#N/A</v>
      </c>
      <c r="AH106" s="1" t="e">
        <f t="shared" si="42"/>
        <v>#N/A</v>
      </c>
      <c r="AI106" s="1" t="e">
        <f t="shared" si="59"/>
        <v>#N/A</v>
      </c>
      <c r="AJ106" s="8" t="e" cm="1">
        <f t="array" ref="AJ106">IF(AG106="","", IFERROR(((IF(AG$5&lt;&gt;"", AG$5*Y$5, 0) + SUMPRODUCT(--(AG$6:AG106&lt;&gt;""), AG$6:AG106, (Y$6:Y106-Y$5:Y105)))/1000)/AF$3, ""))</f>
        <v>#N/A</v>
      </c>
      <c r="AK106" s="1">
        <f t="shared" si="60"/>
        <v>2040</v>
      </c>
      <c r="AL106" s="1">
        <f t="shared" si="61"/>
        <v>0</v>
      </c>
      <c r="AS106" s="1" t="e">
        <f t="shared" si="62"/>
        <v>#N/A</v>
      </c>
      <c r="AT106" s="1" t="e">
        <f t="shared" si="43"/>
        <v>#N/A</v>
      </c>
      <c r="AU106" s="1" t="e">
        <f t="shared" si="63"/>
        <v>#N/A</v>
      </c>
      <c r="AV106" s="8" t="e" cm="1">
        <f t="array" ref="AV106">IF(AS106="","", IFERROR(((IF(AS$5&lt;&gt;"", AS$5*AK$5, 0) + SUMPRODUCT(--(AS$6:AS106&lt;&gt;""), AS$6:AS106, (AK$6:AK106-AK$5:AK105)))/1000)/AR$3, ""))</f>
        <v>#N/A</v>
      </c>
      <c r="AW106" s="1">
        <f t="shared" si="64"/>
        <v>2040</v>
      </c>
      <c r="AX106" s="1">
        <f t="shared" si="65"/>
        <v>0</v>
      </c>
      <c r="BE106" s="1" t="e">
        <f t="shared" si="66"/>
        <v>#N/A</v>
      </c>
      <c r="BF106" s="1" t="e">
        <f t="shared" si="44"/>
        <v>#N/A</v>
      </c>
      <c r="BG106" s="1" t="e">
        <f t="shared" si="67"/>
        <v>#N/A</v>
      </c>
      <c r="BH106" s="8" t="e" cm="1">
        <f t="array" ref="BH106">IF(BE106="","", IFERROR(((IF(BE$5&lt;&gt;"", BE$5*AW$5, 0) + SUMPRODUCT(--(BE$6:BE106&lt;&gt;""), BE$6:BE106, (AW$6:AW106-AW$5:AW105)))/1000)/BD$3, ""))</f>
        <v>#N/A</v>
      </c>
      <c r="BI106" s="1">
        <f t="shared" si="68"/>
        <v>2040</v>
      </c>
      <c r="BJ106" s="1">
        <f t="shared" si="69"/>
        <v>0</v>
      </c>
      <c r="BQ106" s="1" t="e">
        <f t="shared" si="70"/>
        <v>#N/A</v>
      </c>
      <c r="BR106" s="1" t="e">
        <f t="shared" si="45"/>
        <v>#N/A</v>
      </c>
      <c r="BS106" s="1" t="e">
        <f t="shared" si="71"/>
        <v>#N/A</v>
      </c>
      <c r="BT106" s="8" t="e" cm="1">
        <f t="array" ref="BT106">IF(BQ106="","", IFERROR(((IF(BQ$5&lt;&gt;"", BQ$5*BI$5, 0) + SUMPRODUCT(--(BQ$6:BQ106&lt;&gt;""), BQ$6:BQ106, (BI$6:BI106-BI$5:BI105)))/1000)/BP$3, ""))</f>
        <v>#N/A</v>
      </c>
      <c r="BU106" s="1">
        <f t="shared" si="72"/>
        <v>2040</v>
      </c>
      <c r="BV106" s="1">
        <f t="shared" si="73"/>
        <v>0</v>
      </c>
      <c r="CC106" s="1" t="e">
        <f t="shared" si="74"/>
        <v>#N/A</v>
      </c>
      <c r="CD106" s="1" t="e">
        <f t="shared" si="46"/>
        <v>#N/A</v>
      </c>
      <c r="CE106" s="1" t="e">
        <f t="shared" si="75"/>
        <v>#N/A</v>
      </c>
      <c r="CF106" s="8" t="e" cm="1">
        <f t="array" ref="CF106">IF(CC106="","", IFERROR(((IF(CC$5&lt;&gt;"", CC$5*BU$5, 0) + SUMPRODUCT(--(CC$6:CC106&lt;&gt;""), CC$6:CC106, (BU$6:BU106-BU$5:BU105)))/1000)/CB$3, ""))</f>
        <v>#N/A</v>
      </c>
      <c r="CG106" s="1">
        <f t="shared" si="76"/>
        <v>2040</v>
      </c>
      <c r="CH106" s="1">
        <f t="shared" si="77"/>
        <v>0</v>
      </c>
      <c r="CO106" s="1" t="e">
        <f t="shared" si="78"/>
        <v>#N/A</v>
      </c>
      <c r="CP106" s="1" t="e">
        <f t="shared" si="47"/>
        <v>#N/A</v>
      </c>
      <c r="CQ106" s="1" t="e">
        <f t="shared" si="79"/>
        <v>#N/A</v>
      </c>
      <c r="CR106" s="8" t="e" cm="1">
        <f t="array" ref="CR106">IF(CO106="","", IFERROR(((IF(CO$5&lt;&gt;"", CO$5*CG$5, 0) + SUMPRODUCT(--(CO$6:CO106&lt;&gt;""), CO$6:CO106, (CG$6:CG106-CG$5:CG105)))/1000)/CN$3, ""))</f>
        <v>#N/A</v>
      </c>
    </row>
    <row r="107" spans="1:96" x14ac:dyDescent="0.25">
      <c r="A107" s="1">
        <f t="shared" si="48"/>
        <v>2060</v>
      </c>
      <c r="B107" s="1">
        <f t="shared" si="49"/>
        <v>0</v>
      </c>
      <c r="I107" s="1" t="e">
        <f t="shared" si="50"/>
        <v>#N/A</v>
      </c>
      <c r="J107" s="1" t="e">
        <f t="shared" si="40"/>
        <v>#N/A</v>
      </c>
      <c r="K107" s="1" t="e">
        <f t="shared" si="51"/>
        <v>#N/A</v>
      </c>
      <c r="L107" s="8" t="e" cm="1">
        <f t="array" ref="L107">IF(I107="","", IFERROR(((IF(I$5&lt;&gt;"", I$5*A$5, 0) + SUMPRODUCT(--(I$6:I107&lt;&gt;""), I$6:I107, (A$6:A107-A$5:A106)))/1000)/H$3, ""))</f>
        <v>#N/A</v>
      </c>
      <c r="M107" s="1">
        <f t="shared" si="52"/>
        <v>2060</v>
      </c>
      <c r="N107" s="1">
        <f t="shared" si="53"/>
        <v>0</v>
      </c>
      <c r="U107" s="1" t="e">
        <f t="shared" si="54"/>
        <v>#N/A</v>
      </c>
      <c r="V107" s="1" t="e">
        <f t="shared" si="41"/>
        <v>#N/A</v>
      </c>
      <c r="W107" s="1" t="e">
        <f t="shared" si="55"/>
        <v>#N/A</v>
      </c>
      <c r="X107" s="8" t="e" cm="1">
        <f t="array" ref="X107">IF(U107="","", IFERROR(((IF(U$5&lt;&gt;"", U$5*M$5, 0) + SUMPRODUCT(--(U$6:U107&lt;&gt;""), U$6:U107, (M$6:M107-M$5:M106)))/1000)/T$3, ""))</f>
        <v>#N/A</v>
      </c>
      <c r="Y107" s="1">
        <f t="shared" si="56"/>
        <v>2060</v>
      </c>
      <c r="Z107" s="1">
        <f t="shared" si="57"/>
        <v>0</v>
      </c>
      <c r="AG107" s="1" t="e">
        <f t="shared" si="58"/>
        <v>#N/A</v>
      </c>
      <c r="AH107" s="1" t="e">
        <f t="shared" si="42"/>
        <v>#N/A</v>
      </c>
      <c r="AI107" s="1" t="e">
        <f t="shared" si="59"/>
        <v>#N/A</v>
      </c>
      <c r="AJ107" s="8" t="e" cm="1">
        <f t="array" ref="AJ107">IF(AG107="","", IFERROR(((IF(AG$5&lt;&gt;"", AG$5*Y$5, 0) + SUMPRODUCT(--(AG$6:AG107&lt;&gt;""), AG$6:AG107, (Y$6:Y107-Y$5:Y106)))/1000)/AF$3, ""))</f>
        <v>#N/A</v>
      </c>
      <c r="AK107" s="1">
        <f t="shared" si="60"/>
        <v>2060</v>
      </c>
      <c r="AL107" s="1">
        <f t="shared" si="61"/>
        <v>0</v>
      </c>
      <c r="AS107" s="1" t="e">
        <f t="shared" si="62"/>
        <v>#N/A</v>
      </c>
      <c r="AT107" s="1" t="e">
        <f t="shared" si="43"/>
        <v>#N/A</v>
      </c>
      <c r="AU107" s="1" t="e">
        <f t="shared" si="63"/>
        <v>#N/A</v>
      </c>
      <c r="AV107" s="8" t="e" cm="1">
        <f t="array" ref="AV107">IF(AS107="","", IFERROR(((IF(AS$5&lt;&gt;"", AS$5*AK$5, 0) + SUMPRODUCT(--(AS$6:AS107&lt;&gt;""), AS$6:AS107, (AK$6:AK107-AK$5:AK106)))/1000)/AR$3, ""))</f>
        <v>#N/A</v>
      </c>
      <c r="AW107" s="1">
        <f t="shared" si="64"/>
        <v>2060</v>
      </c>
      <c r="AX107" s="1">
        <f t="shared" si="65"/>
        <v>0</v>
      </c>
      <c r="BE107" s="1" t="e">
        <f t="shared" si="66"/>
        <v>#N/A</v>
      </c>
      <c r="BF107" s="1" t="e">
        <f t="shared" si="44"/>
        <v>#N/A</v>
      </c>
      <c r="BG107" s="1" t="e">
        <f t="shared" si="67"/>
        <v>#N/A</v>
      </c>
      <c r="BH107" s="8" t="e" cm="1">
        <f t="array" ref="BH107">IF(BE107="","", IFERROR(((IF(BE$5&lt;&gt;"", BE$5*AW$5, 0) + SUMPRODUCT(--(BE$6:BE107&lt;&gt;""), BE$6:BE107, (AW$6:AW107-AW$5:AW106)))/1000)/BD$3, ""))</f>
        <v>#N/A</v>
      </c>
      <c r="BI107" s="1">
        <f t="shared" si="68"/>
        <v>2060</v>
      </c>
      <c r="BJ107" s="1">
        <f t="shared" si="69"/>
        <v>0</v>
      </c>
      <c r="BQ107" s="1" t="e">
        <f t="shared" si="70"/>
        <v>#N/A</v>
      </c>
      <c r="BR107" s="1" t="e">
        <f t="shared" si="45"/>
        <v>#N/A</v>
      </c>
      <c r="BS107" s="1" t="e">
        <f t="shared" si="71"/>
        <v>#N/A</v>
      </c>
      <c r="BT107" s="8" t="e" cm="1">
        <f t="array" ref="BT107">IF(BQ107="","", IFERROR(((IF(BQ$5&lt;&gt;"", BQ$5*BI$5, 0) + SUMPRODUCT(--(BQ$6:BQ107&lt;&gt;""), BQ$6:BQ107, (BI$6:BI107-BI$5:BI106)))/1000)/BP$3, ""))</f>
        <v>#N/A</v>
      </c>
      <c r="BU107" s="1">
        <f t="shared" si="72"/>
        <v>2060</v>
      </c>
      <c r="BV107" s="1">
        <f t="shared" si="73"/>
        <v>0</v>
      </c>
      <c r="CC107" s="1" t="e">
        <f t="shared" si="74"/>
        <v>#N/A</v>
      </c>
      <c r="CD107" s="1" t="e">
        <f t="shared" si="46"/>
        <v>#N/A</v>
      </c>
      <c r="CE107" s="1" t="e">
        <f t="shared" si="75"/>
        <v>#N/A</v>
      </c>
      <c r="CF107" s="8" t="e" cm="1">
        <f t="array" ref="CF107">IF(CC107="","", IFERROR(((IF(CC$5&lt;&gt;"", CC$5*BU$5, 0) + SUMPRODUCT(--(CC$6:CC107&lt;&gt;""), CC$6:CC107, (BU$6:BU107-BU$5:BU106)))/1000)/CB$3, ""))</f>
        <v>#N/A</v>
      </c>
      <c r="CG107" s="1">
        <f t="shared" si="76"/>
        <v>2060</v>
      </c>
      <c r="CH107" s="1">
        <f t="shared" si="77"/>
        <v>0</v>
      </c>
      <c r="CO107" s="1" t="e">
        <f t="shared" si="78"/>
        <v>#N/A</v>
      </c>
      <c r="CP107" s="1" t="e">
        <f t="shared" si="47"/>
        <v>#N/A</v>
      </c>
      <c r="CQ107" s="1" t="e">
        <f t="shared" si="79"/>
        <v>#N/A</v>
      </c>
      <c r="CR107" s="8" t="e" cm="1">
        <f t="array" ref="CR107">IF(CO107="","", IFERROR(((IF(CO$5&lt;&gt;"", CO$5*CG$5, 0) + SUMPRODUCT(--(CO$6:CO107&lt;&gt;""), CO$6:CO107, (CG$6:CG107-CG$5:CG106)))/1000)/CN$3, ""))</f>
        <v>#N/A</v>
      </c>
    </row>
    <row r="108" spans="1:96" x14ac:dyDescent="0.25">
      <c r="A108" s="1">
        <f t="shared" si="48"/>
        <v>2080</v>
      </c>
      <c r="B108" s="1">
        <f t="shared" si="49"/>
        <v>0</v>
      </c>
      <c r="I108" s="1" t="e">
        <f t="shared" si="50"/>
        <v>#N/A</v>
      </c>
      <c r="J108" s="1" t="e">
        <f t="shared" si="40"/>
        <v>#N/A</v>
      </c>
      <c r="K108" s="1" t="e">
        <f t="shared" si="51"/>
        <v>#N/A</v>
      </c>
      <c r="L108" s="8" t="e" cm="1">
        <f t="array" ref="L108">IF(I108="","", IFERROR(((IF(I$5&lt;&gt;"", I$5*A$5, 0) + SUMPRODUCT(--(I$6:I108&lt;&gt;""), I$6:I108, (A$6:A108-A$5:A107)))/1000)/H$3, ""))</f>
        <v>#N/A</v>
      </c>
      <c r="M108" s="1">
        <f t="shared" si="52"/>
        <v>2080</v>
      </c>
      <c r="N108" s="1">
        <f t="shared" si="53"/>
        <v>0</v>
      </c>
      <c r="U108" s="1" t="e">
        <f t="shared" si="54"/>
        <v>#N/A</v>
      </c>
      <c r="V108" s="1" t="e">
        <f t="shared" si="41"/>
        <v>#N/A</v>
      </c>
      <c r="W108" s="1" t="e">
        <f t="shared" si="55"/>
        <v>#N/A</v>
      </c>
      <c r="X108" s="8" t="e" cm="1">
        <f t="array" ref="X108">IF(U108="","", IFERROR(((IF(U$5&lt;&gt;"", U$5*M$5, 0) + SUMPRODUCT(--(U$6:U108&lt;&gt;""), U$6:U108, (M$6:M108-M$5:M107)))/1000)/T$3, ""))</f>
        <v>#N/A</v>
      </c>
      <c r="Y108" s="1">
        <f t="shared" si="56"/>
        <v>2080</v>
      </c>
      <c r="Z108" s="1">
        <f t="shared" si="57"/>
        <v>0</v>
      </c>
      <c r="AG108" s="1" t="e">
        <f t="shared" si="58"/>
        <v>#N/A</v>
      </c>
      <c r="AH108" s="1" t="e">
        <f t="shared" si="42"/>
        <v>#N/A</v>
      </c>
      <c r="AI108" s="1" t="e">
        <f t="shared" si="59"/>
        <v>#N/A</v>
      </c>
      <c r="AJ108" s="8" t="e" cm="1">
        <f t="array" ref="AJ108">IF(AG108="","", IFERROR(((IF(AG$5&lt;&gt;"", AG$5*Y$5, 0) + SUMPRODUCT(--(AG$6:AG108&lt;&gt;""), AG$6:AG108, (Y$6:Y108-Y$5:Y107)))/1000)/AF$3, ""))</f>
        <v>#N/A</v>
      </c>
      <c r="AK108" s="1">
        <f t="shared" si="60"/>
        <v>2080</v>
      </c>
      <c r="AL108" s="1">
        <f t="shared" si="61"/>
        <v>0</v>
      </c>
      <c r="AS108" s="1" t="e">
        <f t="shared" si="62"/>
        <v>#N/A</v>
      </c>
      <c r="AT108" s="1" t="e">
        <f t="shared" si="43"/>
        <v>#N/A</v>
      </c>
      <c r="AU108" s="1" t="e">
        <f t="shared" si="63"/>
        <v>#N/A</v>
      </c>
      <c r="AV108" s="8" t="e" cm="1">
        <f t="array" ref="AV108">IF(AS108="","", IFERROR(((IF(AS$5&lt;&gt;"", AS$5*AK$5, 0) + SUMPRODUCT(--(AS$6:AS108&lt;&gt;""), AS$6:AS108, (AK$6:AK108-AK$5:AK107)))/1000)/AR$3, ""))</f>
        <v>#N/A</v>
      </c>
      <c r="AW108" s="1">
        <f t="shared" si="64"/>
        <v>2080</v>
      </c>
      <c r="AX108" s="1">
        <f t="shared" si="65"/>
        <v>0</v>
      </c>
      <c r="BE108" s="1" t="e">
        <f t="shared" si="66"/>
        <v>#N/A</v>
      </c>
      <c r="BF108" s="1" t="e">
        <f t="shared" si="44"/>
        <v>#N/A</v>
      </c>
      <c r="BG108" s="1" t="e">
        <f t="shared" si="67"/>
        <v>#N/A</v>
      </c>
      <c r="BH108" s="8" t="e" cm="1">
        <f t="array" ref="BH108">IF(BE108="","", IFERROR(((IF(BE$5&lt;&gt;"", BE$5*AW$5, 0) + SUMPRODUCT(--(BE$6:BE108&lt;&gt;""), BE$6:BE108, (AW$6:AW108-AW$5:AW107)))/1000)/BD$3, ""))</f>
        <v>#N/A</v>
      </c>
      <c r="BI108" s="1">
        <f t="shared" si="68"/>
        <v>2080</v>
      </c>
      <c r="BJ108" s="1">
        <f t="shared" si="69"/>
        <v>0</v>
      </c>
      <c r="BQ108" s="1" t="e">
        <f t="shared" si="70"/>
        <v>#N/A</v>
      </c>
      <c r="BR108" s="1" t="e">
        <f t="shared" si="45"/>
        <v>#N/A</v>
      </c>
      <c r="BS108" s="1" t="e">
        <f t="shared" si="71"/>
        <v>#N/A</v>
      </c>
      <c r="BT108" s="8" t="e" cm="1">
        <f t="array" ref="BT108">IF(BQ108="","", IFERROR(((IF(BQ$5&lt;&gt;"", BQ$5*BI$5, 0) + SUMPRODUCT(--(BQ$6:BQ108&lt;&gt;""), BQ$6:BQ108, (BI$6:BI108-BI$5:BI107)))/1000)/BP$3, ""))</f>
        <v>#N/A</v>
      </c>
      <c r="BU108" s="1">
        <f t="shared" si="72"/>
        <v>2080</v>
      </c>
      <c r="BV108" s="1">
        <f t="shared" si="73"/>
        <v>0</v>
      </c>
      <c r="CC108" s="1" t="e">
        <f t="shared" si="74"/>
        <v>#N/A</v>
      </c>
      <c r="CD108" s="1" t="e">
        <f t="shared" si="46"/>
        <v>#N/A</v>
      </c>
      <c r="CE108" s="1" t="e">
        <f t="shared" si="75"/>
        <v>#N/A</v>
      </c>
      <c r="CF108" s="8" t="e" cm="1">
        <f t="array" ref="CF108">IF(CC108="","", IFERROR(((IF(CC$5&lt;&gt;"", CC$5*BU$5, 0) + SUMPRODUCT(--(CC$6:CC108&lt;&gt;""), CC$6:CC108, (BU$6:BU108-BU$5:BU107)))/1000)/CB$3, ""))</f>
        <v>#N/A</v>
      </c>
      <c r="CG108" s="1">
        <f t="shared" si="76"/>
        <v>2080</v>
      </c>
      <c r="CH108" s="1">
        <f t="shared" si="77"/>
        <v>0</v>
      </c>
      <c r="CO108" s="1" t="e">
        <f t="shared" si="78"/>
        <v>#N/A</v>
      </c>
      <c r="CP108" s="1" t="e">
        <f t="shared" si="47"/>
        <v>#N/A</v>
      </c>
      <c r="CQ108" s="1" t="e">
        <f t="shared" si="79"/>
        <v>#N/A</v>
      </c>
      <c r="CR108" s="8" t="e" cm="1">
        <f t="array" ref="CR108">IF(CO108="","", IFERROR(((IF(CO$5&lt;&gt;"", CO$5*CG$5, 0) + SUMPRODUCT(--(CO$6:CO108&lt;&gt;""), CO$6:CO108, (CG$6:CG108-CG$5:CG107)))/1000)/CN$3, ""))</f>
        <v>#N/A</v>
      </c>
    </row>
    <row r="109" spans="1:96" x14ac:dyDescent="0.25">
      <c r="A109" s="1">
        <f t="shared" si="48"/>
        <v>2100</v>
      </c>
      <c r="B109" s="1">
        <f t="shared" si="49"/>
        <v>0</v>
      </c>
      <c r="I109" s="1" t="e">
        <f t="shared" si="50"/>
        <v>#N/A</v>
      </c>
      <c r="J109" s="1" t="e">
        <f t="shared" si="40"/>
        <v>#N/A</v>
      </c>
      <c r="K109" s="1" t="e">
        <f t="shared" si="51"/>
        <v>#N/A</v>
      </c>
      <c r="L109" s="8" t="e" cm="1">
        <f t="array" ref="L109">IF(I109="","", IFERROR(((IF(I$5&lt;&gt;"", I$5*A$5, 0) + SUMPRODUCT(--(I$6:I109&lt;&gt;""), I$6:I109, (A$6:A109-A$5:A108)))/1000)/H$3, ""))</f>
        <v>#N/A</v>
      </c>
      <c r="M109" s="1">
        <f t="shared" si="52"/>
        <v>2100</v>
      </c>
      <c r="N109" s="1">
        <f t="shared" si="53"/>
        <v>0</v>
      </c>
      <c r="U109" s="1" t="e">
        <f t="shared" si="54"/>
        <v>#N/A</v>
      </c>
      <c r="V109" s="1" t="e">
        <f t="shared" si="41"/>
        <v>#N/A</v>
      </c>
      <c r="W109" s="1" t="e">
        <f t="shared" si="55"/>
        <v>#N/A</v>
      </c>
      <c r="X109" s="8" t="e" cm="1">
        <f t="array" ref="X109">IF(U109="","", IFERROR(((IF(U$5&lt;&gt;"", U$5*M$5, 0) + SUMPRODUCT(--(U$6:U109&lt;&gt;""), U$6:U109, (M$6:M109-M$5:M108)))/1000)/T$3, ""))</f>
        <v>#N/A</v>
      </c>
      <c r="Y109" s="1">
        <f t="shared" si="56"/>
        <v>2100</v>
      </c>
      <c r="Z109" s="1">
        <f t="shared" si="57"/>
        <v>0</v>
      </c>
      <c r="AG109" s="1" t="e">
        <f t="shared" si="58"/>
        <v>#N/A</v>
      </c>
      <c r="AH109" s="1" t="e">
        <f t="shared" si="42"/>
        <v>#N/A</v>
      </c>
      <c r="AI109" s="1" t="e">
        <f t="shared" si="59"/>
        <v>#N/A</v>
      </c>
      <c r="AJ109" s="8" t="e" cm="1">
        <f t="array" ref="AJ109">IF(AG109="","", IFERROR(((IF(AG$5&lt;&gt;"", AG$5*Y$5, 0) + SUMPRODUCT(--(AG$6:AG109&lt;&gt;""), AG$6:AG109, (Y$6:Y109-Y$5:Y108)))/1000)/AF$3, ""))</f>
        <v>#N/A</v>
      </c>
      <c r="AK109" s="1">
        <f t="shared" si="60"/>
        <v>2100</v>
      </c>
      <c r="AL109" s="1">
        <f t="shared" si="61"/>
        <v>0</v>
      </c>
      <c r="AS109" s="1" t="e">
        <f t="shared" si="62"/>
        <v>#N/A</v>
      </c>
      <c r="AT109" s="1" t="e">
        <f t="shared" si="43"/>
        <v>#N/A</v>
      </c>
      <c r="AU109" s="1" t="e">
        <f t="shared" si="63"/>
        <v>#N/A</v>
      </c>
      <c r="AV109" s="8" t="e" cm="1">
        <f t="array" ref="AV109">IF(AS109="","", IFERROR(((IF(AS$5&lt;&gt;"", AS$5*AK$5, 0) + SUMPRODUCT(--(AS$6:AS109&lt;&gt;""), AS$6:AS109, (AK$6:AK109-AK$5:AK108)))/1000)/AR$3, ""))</f>
        <v>#N/A</v>
      </c>
      <c r="AW109" s="1">
        <f t="shared" si="64"/>
        <v>2100</v>
      </c>
      <c r="AX109" s="1">
        <f t="shared" si="65"/>
        <v>0</v>
      </c>
      <c r="BE109" s="1" t="e">
        <f t="shared" si="66"/>
        <v>#N/A</v>
      </c>
      <c r="BF109" s="1" t="e">
        <f t="shared" si="44"/>
        <v>#N/A</v>
      </c>
      <c r="BG109" s="1" t="e">
        <f t="shared" si="67"/>
        <v>#N/A</v>
      </c>
      <c r="BH109" s="8" t="e" cm="1">
        <f t="array" ref="BH109">IF(BE109="","", IFERROR(((IF(BE$5&lt;&gt;"", BE$5*AW$5, 0) + SUMPRODUCT(--(BE$6:BE109&lt;&gt;""), BE$6:BE109, (AW$6:AW109-AW$5:AW108)))/1000)/BD$3, ""))</f>
        <v>#N/A</v>
      </c>
      <c r="BI109" s="1">
        <f t="shared" si="68"/>
        <v>2100</v>
      </c>
      <c r="BJ109" s="1">
        <f t="shared" si="69"/>
        <v>0</v>
      </c>
      <c r="BQ109" s="1" t="e">
        <f t="shared" si="70"/>
        <v>#N/A</v>
      </c>
      <c r="BR109" s="1" t="e">
        <f t="shared" si="45"/>
        <v>#N/A</v>
      </c>
      <c r="BS109" s="1" t="e">
        <f t="shared" si="71"/>
        <v>#N/A</v>
      </c>
      <c r="BT109" s="8" t="e" cm="1">
        <f t="array" ref="BT109">IF(BQ109="","", IFERROR(((IF(BQ$5&lt;&gt;"", BQ$5*BI$5, 0) + SUMPRODUCT(--(BQ$6:BQ109&lt;&gt;""), BQ$6:BQ109, (BI$6:BI109-BI$5:BI108)))/1000)/BP$3, ""))</f>
        <v>#N/A</v>
      </c>
      <c r="BU109" s="1">
        <f t="shared" si="72"/>
        <v>2100</v>
      </c>
      <c r="BV109" s="1">
        <f t="shared" si="73"/>
        <v>0</v>
      </c>
      <c r="CC109" s="1" t="e">
        <f t="shared" si="74"/>
        <v>#N/A</v>
      </c>
      <c r="CD109" s="1" t="e">
        <f t="shared" si="46"/>
        <v>#N/A</v>
      </c>
      <c r="CE109" s="1" t="e">
        <f t="shared" si="75"/>
        <v>#N/A</v>
      </c>
      <c r="CF109" s="8" t="e" cm="1">
        <f t="array" ref="CF109">IF(CC109="","", IFERROR(((IF(CC$5&lt;&gt;"", CC$5*BU$5, 0) + SUMPRODUCT(--(CC$6:CC109&lt;&gt;""), CC$6:CC109, (BU$6:BU109-BU$5:BU108)))/1000)/CB$3, ""))</f>
        <v>#N/A</v>
      </c>
      <c r="CG109" s="1">
        <f t="shared" si="76"/>
        <v>2100</v>
      </c>
      <c r="CH109" s="1">
        <f t="shared" si="77"/>
        <v>0</v>
      </c>
      <c r="CO109" s="1" t="e">
        <f t="shared" si="78"/>
        <v>#N/A</v>
      </c>
      <c r="CP109" s="1" t="e">
        <f t="shared" si="47"/>
        <v>#N/A</v>
      </c>
      <c r="CQ109" s="1" t="e">
        <f t="shared" si="79"/>
        <v>#N/A</v>
      </c>
      <c r="CR109" s="8" t="e" cm="1">
        <f t="array" ref="CR109">IF(CO109="","", IFERROR(((IF(CO$5&lt;&gt;"", CO$5*CG$5, 0) + SUMPRODUCT(--(CO$6:CO109&lt;&gt;""), CO$6:CO109, (CG$6:CG109-CG$5:CG108)))/1000)/CN$3, ""))</f>
        <v>#N/A</v>
      </c>
    </row>
    <row r="110" spans="1:96" x14ac:dyDescent="0.25">
      <c r="A110" s="1">
        <f t="shared" si="48"/>
        <v>2120</v>
      </c>
      <c r="B110" s="1">
        <f t="shared" si="49"/>
        <v>0</v>
      </c>
      <c r="I110" s="1" t="e">
        <f t="shared" si="50"/>
        <v>#N/A</v>
      </c>
      <c r="J110" s="1" t="e">
        <f t="shared" si="40"/>
        <v>#N/A</v>
      </c>
      <c r="K110" s="1" t="e">
        <f t="shared" si="51"/>
        <v>#N/A</v>
      </c>
      <c r="L110" s="8" t="e" cm="1">
        <f t="array" ref="L110">IF(I110="","", IFERROR(((IF(I$5&lt;&gt;"", I$5*A$5, 0) + SUMPRODUCT(--(I$6:I110&lt;&gt;""), I$6:I110, (A$6:A110-A$5:A109)))/1000)/H$3, ""))</f>
        <v>#N/A</v>
      </c>
      <c r="M110" s="1">
        <f t="shared" si="52"/>
        <v>2120</v>
      </c>
      <c r="N110" s="1">
        <f t="shared" si="53"/>
        <v>0</v>
      </c>
      <c r="U110" s="1" t="e">
        <f t="shared" si="54"/>
        <v>#N/A</v>
      </c>
      <c r="V110" s="1" t="e">
        <f t="shared" si="41"/>
        <v>#N/A</v>
      </c>
      <c r="W110" s="1" t="e">
        <f t="shared" si="55"/>
        <v>#N/A</v>
      </c>
      <c r="X110" s="8" t="e" cm="1">
        <f t="array" ref="X110">IF(U110="","", IFERROR(((IF(U$5&lt;&gt;"", U$5*M$5, 0) + SUMPRODUCT(--(U$6:U110&lt;&gt;""), U$6:U110, (M$6:M110-M$5:M109)))/1000)/T$3, ""))</f>
        <v>#N/A</v>
      </c>
      <c r="Y110" s="1">
        <f t="shared" si="56"/>
        <v>2120</v>
      </c>
      <c r="Z110" s="1">
        <f t="shared" si="57"/>
        <v>0</v>
      </c>
      <c r="AG110" s="1" t="e">
        <f t="shared" si="58"/>
        <v>#N/A</v>
      </c>
      <c r="AH110" s="1" t="e">
        <f t="shared" si="42"/>
        <v>#N/A</v>
      </c>
      <c r="AI110" s="1" t="e">
        <f t="shared" si="59"/>
        <v>#N/A</v>
      </c>
      <c r="AJ110" s="8" t="e" cm="1">
        <f t="array" ref="AJ110">IF(AG110="","", IFERROR(((IF(AG$5&lt;&gt;"", AG$5*Y$5, 0) + SUMPRODUCT(--(AG$6:AG110&lt;&gt;""), AG$6:AG110, (Y$6:Y110-Y$5:Y109)))/1000)/AF$3, ""))</f>
        <v>#N/A</v>
      </c>
      <c r="AK110" s="1">
        <f t="shared" si="60"/>
        <v>2120</v>
      </c>
      <c r="AL110" s="1">
        <f t="shared" si="61"/>
        <v>0</v>
      </c>
      <c r="AS110" s="1" t="e">
        <f t="shared" si="62"/>
        <v>#N/A</v>
      </c>
      <c r="AT110" s="1" t="e">
        <f t="shared" si="43"/>
        <v>#N/A</v>
      </c>
      <c r="AU110" s="1" t="e">
        <f t="shared" si="63"/>
        <v>#N/A</v>
      </c>
      <c r="AV110" s="8" t="e" cm="1">
        <f t="array" ref="AV110">IF(AS110="","", IFERROR(((IF(AS$5&lt;&gt;"", AS$5*AK$5, 0) + SUMPRODUCT(--(AS$6:AS110&lt;&gt;""), AS$6:AS110, (AK$6:AK110-AK$5:AK109)))/1000)/AR$3, ""))</f>
        <v>#N/A</v>
      </c>
      <c r="AW110" s="1">
        <f t="shared" si="64"/>
        <v>2120</v>
      </c>
      <c r="AX110" s="1">
        <f t="shared" si="65"/>
        <v>0</v>
      </c>
      <c r="BE110" s="1" t="e">
        <f t="shared" si="66"/>
        <v>#N/A</v>
      </c>
      <c r="BF110" s="1" t="e">
        <f t="shared" si="44"/>
        <v>#N/A</v>
      </c>
      <c r="BG110" s="1" t="e">
        <f t="shared" si="67"/>
        <v>#N/A</v>
      </c>
      <c r="BH110" s="8" t="e" cm="1">
        <f t="array" ref="BH110">IF(BE110="","", IFERROR(((IF(BE$5&lt;&gt;"", BE$5*AW$5, 0) + SUMPRODUCT(--(BE$6:BE110&lt;&gt;""), BE$6:BE110, (AW$6:AW110-AW$5:AW109)))/1000)/BD$3, ""))</f>
        <v>#N/A</v>
      </c>
      <c r="BI110" s="1">
        <f t="shared" si="68"/>
        <v>2120</v>
      </c>
      <c r="BJ110" s="1">
        <f t="shared" si="69"/>
        <v>0</v>
      </c>
      <c r="BQ110" s="1" t="e">
        <f t="shared" si="70"/>
        <v>#N/A</v>
      </c>
      <c r="BR110" s="1" t="e">
        <f t="shared" si="45"/>
        <v>#N/A</v>
      </c>
      <c r="BS110" s="1" t="e">
        <f t="shared" si="71"/>
        <v>#N/A</v>
      </c>
      <c r="BT110" s="8" t="e" cm="1">
        <f t="array" ref="BT110">IF(BQ110="","", IFERROR(((IF(BQ$5&lt;&gt;"", BQ$5*BI$5, 0) + SUMPRODUCT(--(BQ$6:BQ110&lt;&gt;""), BQ$6:BQ110, (BI$6:BI110-BI$5:BI109)))/1000)/BP$3, ""))</f>
        <v>#N/A</v>
      </c>
      <c r="BU110" s="1">
        <f t="shared" si="72"/>
        <v>2120</v>
      </c>
      <c r="BV110" s="1">
        <f t="shared" si="73"/>
        <v>0</v>
      </c>
      <c r="CC110" s="1" t="e">
        <f t="shared" si="74"/>
        <v>#N/A</v>
      </c>
      <c r="CD110" s="1" t="e">
        <f t="shared" si="46"/>
        <v>#N/A</v>
      </c>
      <c r="CE110" s="1" t="e">
        <f t="shared" si="75"/>
        <v>#N/A</v>
      </c>
      <c r="CF110" s="8" t="e" cm="1">
        <f t="array" ref="CF110">IF(CC110="","", IFERROR(((IF(CC$5&lt;&gt;"", CC$5*BU$5, 0) + SUMPRODUCT(--(CC$6:CC110&lt;&gt;""), CC$6:CC110, (BU$6:BU110-BU$5:BU109)))/1000)/CB$3, ""))</f>
        <v>#N/A</v>
      </c>
      <c r="CG110" s="1">
        <f t="shared" si="76"/>
        <v>2120</v>
      </c>
      <c r="CH110" s="1">
        <f t="shared" si="77"/>
        <v>0</v>
      </c>
      <c r="CO110" s="1" t="e">
        <f t="shared" si="78"/>
        <v>#N/A</v>
      </c>
      <c r="CP110" s="1" t="e">
        <f t="shared" si="47"/>
        <v>#N/A</v>
      </c>
      <c r="CQ110" s="1" t="e">
        <f t="shared" si="79"/>
        <v>#N/A</v>
      </c>
      <c r="CR110" s="8" t="e" cm="1">
        <f t="array" ref="CR110">IF(CO110="","", IFERROR(((IF(CO$5&lt;&gt;"", CO$5*CG$5, 0) + SUMPRODUCT(--(CO$6:CO110&lt;&gt;""), CO$6:CO110, (CG$6:CG110-CG$5:CG109)))/1000)/CN$3, ""))</f>
        <v>#N/A</v>
      </c>
    </row>
    <row r="111" spans="1:96" x14ac:dyDescent="0.25">
      <c r="A111" s="1">
        <f t="shared" si="48"/>
        <v>2140</v>
      </c>
      <c r="B111" s="1">
        <f t="shared" si="49"/>
        <v>0</v>
      </c>
      <c r="I111" s="1" t="e">
        <f t="shared" si="50"/>
        <v>#N/A</v>
      </c>
      <c r="J111" s="1" t="e">
        <f t="shared" si="40"/>
        <v>#N/A</v>
      </c>
      <c r="K111" s="1" t="e">
        <f t="shared" si="51"/>
        <v>#N/A</v>
      </c>
      <c r="L111" s="8" t="e" cm="1">
        <f t="array" ref="L111">IF(I111="","", IFERROR(((IF(I$5&lt;&gt;"", I$5*A$5, 0) + SUMPRODUCT(--(I$6:I111&lt;&gt;""), I$6:I111, (A$6:A111-A$5:A110)))/1000)/H$3, ""))</f>
        <v>#N/A</v>
      </c>
      <c r="M111" s="1">
        <f t="shared" si="52"/>
        <v>2140</v>
      </c>
      <c r="N111" s="1">
        <f t="shared" si="53"/>
        <v>0</v>
      </c>
      <c r="U111" s="1" t="e">
        <f t="shared" si="54"/>
        <v>#N/A</v>
      </c>
      <c r="V111" s="1" t="e">
        <f t="shared" si="41"/>
        <v>#N/A</v>
      </c>
      <c r="W111" s="1" t="e">
        <f t="shared" si="55"/>
        <v>#N/A</v>
      </c>
      <c r="X111" s="8" t="e" cm="1">
        <f t="array" ref="X111">IF(U111="","", IFERROR(((IF(U$5&lt;&gt;"", U$5*M$5, 0) + SUMPRODUCT(--(U$6:U111&lt;&gt;""), U$6:U111, (M$6:M111-M$5:M110)))/1000)/T$3, ""))</f>
        <v>#N/A</v>
      </c>
      <c r="Y111" s="1">
        <f t="shared" si="56"/>
        <v>2140</v>
      </c>
      <c r="Z111" s="1">
        <f t="shared" si="57"/>
        <v>0</v>
      </c>
      <c r="AG111" s="1" t="e">
        <f t="shared" si="58"/>
        <v>#N/A</v>
      </c>
      <c r="AH111" s="1" t="e">
        <f t="shared" si="42"/>
        <v>#N/A</v>
      </c>
      <c r="AI111" s="1" t="e">
        <f t="shared" si="59"/>
        <v>#N/A</v>
      </c>
      <c r="AJ111" s="8" t="e" cm="1">
        <f t="array" ref="AJ111">IF(AG111="","", IFERROR(((IF(AG$5&lt;&gt;"", AG$5*Y$5, 0) + SUMPRODUCT(--(AG$6:AG111&lt;&gt;""), AG$6:AG111, (Y$6:Y111-Y$5:Y110)))/1000)/AF$3, ""))</f>
        <v>#N/A</v>
      </c>
      <c r="AK111" s="1">
        <f t="shared" si="60"/>
        <v>2140</v>
      </c>
      <c r="AL111" s="1">
        <f t="shared" si="61"/>
        <v>0</v>
      </c>
      <c r="AS111" s="1" t="e">
        <f t="shared" si="62"/>
        <v>#N/A</v>
      </c>
      <c r="AT111" s="1" t="e">
        <f t="shared" si="43"/>
        <v>#N/A</v>
      </c>
      <c r="AU111" s="1" t="e">
        <f t="shared" si="63"/>
        <v>#N/A</v>
      </c>
      <c r="AV111" s="8" t="e" cm="1">
        <f t="array" ref="AV111">IF(AS111="","", IFERROR(((IF(AS$5&lt;&gt;"", AS$5*AK$5, 0) + SUMPRODUCT(--(AS$6:AS111&lt;&gt;""), AS$6:AS111, (AK$6:AK111-AK$5:AK110)))/1000)/AR$3, ""))</f>
        <v>#N/A</v>
      </c>
      <c r="AW111" s="1">
        <f t="shared" si="64"/>
        <v>2140</v>
      </c>
      <c r="AX111" s="1">
        <f t="shared" si="65"/>
        <v>0</v>
      </c>
      <c r="BE111" s="1" t="e">
        <f t="shared" si="66"/>
        <v>#N/A</v>
      </c>
      <c r="BF111" s="1" t="e">
        <f t="shared" si="44"/>
        <v>#N/A</v>
      </c>
      <c r="BG111" s="1" t="e">
        <f t="shared" si="67"/>
        <v>#N/A</v>
      </c>
      <c r="BH111" s="8" t="e" cm="1">
        <f t="array" ref="BH111">IF(BE111="","", IFERROR(((IF(BE$5&lt;&gt;"", BE$5*AW$5, 0) + SUMPRODUCT(--(BE$6:BE111&lt;&gt;""), BE$6:BE111, (AW$6:AW111-AW$5:AW110)))/1000)/BD$3, ""))</f>
        <v>#N/A</v>
      </c>
      <c r="BI111" s="1">
        <f t="shared" si="68"/>
        <v>2140</v>
      </c>
      <c r="BJ111" s="1">
        <f t="shared" si="69"/>
        <v>0</v>
      </c>
      <c r="BQ111" s="1" t="e">
        <f t="shared" si="70"/>
        <v>#N/A</v>
      </c>
      <c r="BR111" s="1" t="e">
        <f t="shared" si="45"/>
        <v>#N/A</v>
      </c>
      <c r="BS111" s="1" t="e">
        <f t="shared" si="71"/>
        <v>#N/A</v>
      </c>
      <c r="BT111" s="8" t="e" cm="1">
        <f t="array" ref="BT111">IF(BQ111="","", IFERROR(((IF(BQ$5&lt;&gt;"", BQ$5*BI$5, 0) + SUMPRODUCT(--(BQ$6:BQ111&lt;&gt;""), BQ$6:BQ111, (BI$6:BI111-BI$5:BI110)))/1000)/BP$3, ""))</f>
        <v>#N/A</v>
      </c>
      <c r="BU111" s="1">
        <f t="shared" si="72"/>
        <v>2140</v>
      </c>
      <c r="BV111" s="1">
        <f t="shared" si="73"/>
        <v>0</v>
      </c>
      <c r="CC111" s="1" t="e">
        <f t="shared" si="74"/>
        <v>#N/A</v>
      </c>
      <c r="CD111" s="1" t="e">
        <f t="shared" si="46"/>
        <v>#N/A</v>
      </c>
      <c r="CE111" s="1" t="e">
        <f t="shared" si="75"/>
        <v>#N/A</v>
      </c>
      <c r="CF111" s="8" t="e" cm="1">
        <f t="array" ref="CF111">IF(CC111="","", IFERROR(((IF(CC$5&lt;&gt;"", CC$5*BU$5, 0) + SUMPRODUCT(--(CC$6:CC111&lt;&gt;""), CC$6:CC111, (BU$6:BU111-BU$5:BU110)))/1000)/CB$3, ""))</f>
        <v>#N/A</v>
      </c>
      <c r="CG111" s="1">
        <f t="shared" si="76"/>
        <v>2140</v>
      </c>
      <c r="CH111" s="1">
        <f t="shared" si="77"/>
        <v>0</v>
      </c>
      <c r="CO111" s="1" t="e">
        <f t="shared" si="78"/>
        <v>#N/A</v>
      </c>
      <c r="CP111" s="1" t="e">
        <f t="shared" si="47"/>
        <v>#N/A</v>
      </c>
      <c r="CQ111" s="1" t="e">
        <f t="shared" si="79"/>
        <v>#N/A</v>
      </c>
      <c r="CR111" s="8" t="e" cm="1">
        <f t="array" ref="CR111">IF(CO111="","", IFERROR(((IF(CO$5&lt;&gt;"", CO$5*CG$5, 0) + SUMPRODUCT(--(CO$6:CO111&lt;&gt;""), CO$6:CO111, (CG$6:CG111-CG$5:CG110)))/1000)/CN$3, ""))</f>
        <v>#N/A</v>
      </c>
    </row>
    <row r="112" spans="1:96" x14ac:dyDescent="0.25">
      <c r="A112" s="1">
        <f t="shared" si="48"/>
        <v>2160</v>
      </c>
      <c r="B112" s="1">
        <f t="shared" si="49"/>
        <v>0</v>
      </c>
      <c r="I112" s="1" t="e">
        <f t="shared" si="50"/>
        <v>#N/A</v>
      </c>
      <c r="J112" s="1" t="e">
        <f t="shared" si="40"/>
        <v>#N/A</v>
      </c>
      <c r="K112" s="1" t="e">
        <f t="shared" si="51"/>
        <v>#N/A</v>
      </c>
      <c r="L112" s="8" t="e" cm="1">
        <f t="array" ref="L112">IF(I112="","", IFERROR(((IF(I$5&lt;&gt;"", I$5*A$5, 0) + SUMPRODUCT(--(I$6:I112&lt;&gt;""), I$6:I112, (A$6:A112-A$5:A111)))/1000)/H$3, ""))</f>
        <v>#N/A</v>
      </c>
      <c r="M112" s="1">
        <f t="shared" si="52"/>
        <v>2160</v>
      </c>
      <c r="N112" s="1">
        <f t="shared" si="53"/>
        <v>0</v>
      </c>
      <c r="U112" s="1" t="e">
        <f t="shared" si="54"/>
        <v>#N/A</v>
      </c>
      <c r="V112" s="1" t="e">
        <f t="shared" si="41"/>
        <v>#N/A</v>
      </c>
      <c r="W112" s="1" t="e">
        <f t="shared" si="55"/>
        <v>#N/A</v>
      </c>
      <c r="X112" s="8" t="e" cm="1">
        <f t="array" ref="X112">IF(U112="","", IFERROR(((IF(U$5&lt;&gt;"", U$5*M$5, 0) + SUMPRODUCT(--(U$6:U112&lt;&gt;""), U$6:U112, (M$6:M112-M$5:M111)))/1000)/T$3, ""))</f>
        <v>#N/A</v>
      </c>
      <c r="Y112" s="1">
        <f t="shared" si="56"/>
        <v>2160</v>
      </c>
      <c r="Z112" s="1">
        <f t="shared" si="57"/>
        <v>0</v>
      </c>
      <c r="AG112" s="1" t="e">
        <f t="shared" si="58"/>
        <v>#N/A</v>
      </c>
      <c r="AH112" s="1" t="e">
        <f t="shared" si="42"/>
        <v>#N/A</v>
      </c>
      <c r="AI112" s="1" t="e">
        <f t="shared" si="59"/>
        <v>#N/A</v>
      </c>
      <c r="AJ112" s="8" t="e" cm="1">
        <f t="array" ref="AJ112">IF(AG112="","", IFERROR(((IF(AG$5&lt;&gt;"", AG$5*Y$5, 0) + SUMPRODUCT(--(AG$6:AG112&lt;&gt;""), AG$6:AG112, (Y$6:Y112-Y$5:Y111)))/1000)/AF$3, ""))</f>
        <v>#N/A</v>
      </c>
      <c r="AK112" s="1">
        <f t="shared" si="60"/>
        <v>2160</v>
      </c>
      <c r="AL112" s="1">
        <f t="shared" si="61"/>
        <v>0</v>
      </c>
      <c r="AS112" s="1" t="e">
        <f t="shared" si="62"/>
        <v>#N/A</v>
      </c>
      <c r="AT112" s="1" t="e">
        <f t="shared" si="43"/>
        <v>#N/A</v>
      </c>
      <c r="AU112" s="1" t="e">
        <f t="shared" si="63"/>
        <v>#N/A</v>
      </c>
      <c r="AV112" s="8" t="e" cm="1">
        <f t="array" ref="AV112">IF(AS112="","", IFERROR(((IF(AS$5&lt;&gt;"", AS$5*AK$5, 0) + SUMPRODUCT(--(AS$6:AS112&lt;&gt;""), AS$6:AS112, (AK$6:AK112-AK$5:AK111)))/1000)/AR$3, ""))</f>
        <v>#N/A</v>
      </c>
      <c r="AW112" s="1">
        <f t="shared" si="64"/>
        <v>2160</v>
      </c>
      <c r="AX112" s="1">
        <f t="shared" si="65"/>
        <v>0</v>
      </c>
      <c r="BE112" s="1" t="e">
        <f t="shared" si="66"/>
        <v>#N/A</v>
      </c>
      <c r="BF112" s="1" t="e">
        <f t="shared" si="44"/>
        <v>#N/A</v>
      </c>
      <c r="BG112" s="1" t="e">
        <f t="shared" si="67"/>
        <v>#N/A</v>
      </c>
      <c r="BH112" s="8" t="e" cm="1">
        <f t="array" ref="BH112">IF(BE112="","", IFERROR(((IF(BE$5&lt;&gt;"", BE$5*AW$5, 0) + SUMPRODUCT(--(BE$6:BE112&lt;&gt;""), BE$6:BE112, (AW$6:AW112-AW$5:AW111)))/1000)/BD$3, ""))</f>
        <v>#N/A</v>
      </c>
      <c r="BI112" s="1">
        <f t="shared" si="68"/>
        <v>2160</v>
      </c>
      <c r="BJ112" s="1">
        <f t="shared" si="69"/>
        <v>0</v>
      </c>
      <c r="BQ112" s="1" t="e">
        <f t="shared" si="70"/>
        <v>#N/A</v>
      </c>
      <c r="BR112" s="1" t="e">
        <f t="shared" si="45"/>
        <v>#N/A</v>
      </c>
      <c r="BS112" s="1" t="e">
        <f t="shared" si="71"/>
        <v>#N/A</v>
      </c>
      <c r="BT112" s="8" t="e" cm="1">
        <f t="array" ref="BT112">IF(BQ112="","", IFERROR(((IF(BQ$5&lt;&gt;"", BQ$5*BI$5, 0) + SUMPRODUCT(--(BQ$6:BQ112&lt;&gt;""), BQ$6:BQ112, (BI$6:BI112-BI$5:BI111)))/1000)/BP$3, ""))</f>
        <v>#N/A</v>
      </c>
      <c r="BU112" s="1">
        <f t="shared" si="72"/>
        <v>2160</v>
      </c>
      <c r="BV112" s="1">
        <f t="shared" si="73"/>
        <v>0</v>
      </c>
      <c r="CC112" s="1" t="e">
        <f t="shared" si="74"/>
        <v>#N/A</v>
      </c>
      <c r="CD112" s="1" t="e">
        <f t="shared" si="46"/>
        <v>#N/A</v>
      </c>
      <c r="CE112" s="1" t="e">
        <f t="shared" si="75"/>
        <v>#N/A</v>
      </c>
      <c r="CF112" s="8" t="e" cm="1">
        <f t="array" ref="CF112">IF(CC112="","", IFERROR(((IF(CC$5&lt;&gt;"", CC$5*BU$5, 0) + SUMPRODUCT(--(CC$6:CC112&lt;&gt;""), CC$6:CC112, (BU$6:BU112-BU$5:BU111)))/1000)/CB$3, ""))</f>
        <v>#N/A</v>
      </c>
      <c r="CG112" s="1">
        <f t="shared" si="76"/>
        <v>2160</v>
      </c>
      <c r="CH112" s="1">
        <f t="shared" si="77"/>
        <v>0</v>
      </c>
      <c r="CO112" s="1" t="e">
        <f t="shared" si="78"/>
        <v>#N/A</v>
      </c>
      <c r="CP112" s="1" t="e">
        <f t="shared" si="47"/>
        <v>#N/A</v>
      </c>
      <c r="CQ112" s="1" t="e">
        <f t="shared" si="79"/>
        <v>#N/A</v>
      </c>
      <c r="CR112" s="8" t="e" cm="1">
        <f t="array" ref="CR112">IF(CO112="","", IFERROR(((IF(CO$5&lt;&gt;"", CO$5*CG$5, 0) + SUMPRODUCT(--(CO$6:CO112&lt;&gt;""), CO$6:CO112, (CG$6:CG112-CG$5:CG111)))/1000)/CN$3, ""))</f>
        <v>#N/A</v>
      </c>
    </row>
    <row r="113" spans="1:96" x14ac:dyDescent="0.25">
      <c r="A113" s="1">
        <f t="shared" si="48"/>
        <v>2180</v>
      </c>
      <c r="B113" s="1">
        <f t="shared" si="49"/>
        <v>0</v>
      </c>
      <c r="I113" s="1" t="e">
        <f t="shared" si="50"/>
        <v>#N/A</v>
      </c>
      <c r="J113" s="1" t="e">
        <f t="shared" si="40"/>
        <v>#N/A</v>
      </c>
      <c r="K113" s="1" t="e">
        <f t="shared" si="51"/>
        <v>#N/A</v>
      </c>
      <c r="L113" s="8" t="e" cm="1">
        <f t="array" ref="L113">IF(I113="","", IFERROR(((IF(I$5&lt;&gt;"", I$5*A$5, 0) + SUMPRODUCT(--(I$6:I113&lt;&gt;""), I$6:I113, (A$6:A113-A$5:A112)))/1000)/H$3, ""))</f>
        <v>#N/A</v>
      </c>
      <c r="M113" s="1">
        <f t="shared" si="52"/>
        <v>2180</v>
      </c>
      <c r="N113" s="1">
        <f t="shared" si="53"/>
        <v>0</v>
      </c>
      <c r="U113" s="1" t="e">
        <f t="shared" si="54"/>
        <v>#N/A</v>
      </c>
      <c r="V113" s="1" t="e">
        <f t="shared" si="41"/>
        <v>#N/A</v>
      </c>
      <c r="W113" s="1" t="e">
        <f t="shared" si="55"/>
        <v>#N/A</v>
      </c>
      <c r="X113" s="8" t="e" cm="1">
        <f t="array" ref="X113">IF(U113="","", IFERROR(((IF(U$5&lt;&gt;"", U$5*M$5, 0) + SUMPRODUCT(--(U$6:U113&lt;&gt;""), U$6:U113, (M$6:M113-M$5:M112)))/1000)/T$3, ""))</f>
        <v>#N/A</v>
      </c>
      <c r="Y113" s="1">
        <f t="shared" si="56"/>
        <v>2180</v>
      </c>
      <c r="Z113" s="1">
        <f t="shared" si="57"/>
        <v>0</v>
      </c>
      <c r="AG113" s="1" t="e">
        <f t="shared" si="58"/>
        <v>#N/A</v>
      </c>
      <c r="AH113" s="1" t="e">
        <f t="shared" si="42"/>
        <v>#N/A</v>
      </c>
      <c r="AI113" s="1" t="e">
        <f t="shared" si="59"/>
        <v>#N/A</v>
      </c>
      <c r="AJ113" s="8" t="e" cm="1">
        <f t="array" ref="AJ113">IF(AG113="","", IFERROR(((IF(AG$5&lt;&gt;"", AG$5*Y$5, 0) + SUMPRODUCT(--(AG$6:AG113&lt;&gt;""), AG$6:AG113, (Y$6:Y113-Y$5:Y112)))/1000)/AF$3, ""))</f>
        <v>#N/A</v>
      </c>
      <c r="AK113" s="1">
        <f t="shared" si="60"/>
        <v>2180</v>
      </c>
      <c r="AL113" s="1">
        <f t="shared" si="61"/>
        <v>0</v>
      </c>
      <c r="AS113" s="1" t="e">
        <f t="shared" si="62"/>
        <v>#N/A</v>
      </c>
      <c r="AT113" s="1" t="e">
        <f t="shared" si="43"/>
        <v>#N/A</v>
      </c>
      <c r="AU113" s="1" t="e">
        <f t="shared" si="63"/>
        <v>#N/A</v>
      </c>
      <c r="AV113" s="8" t="e" cm="1">
        <f t="array" ref="AV113">IF(AS113="","", IFERROR(((IF(AS$5&lt;&gt;"", AS$5*AK$5, 0) + SUMPRODUCT(--(AS$6:AS113&lt;&gt;""), AS$6:AS113, (AK$6:AK113-AK$5:AK112)))/1000)/AR$3, ""))</f>
        <v>#N/A</v>
      </c>
      <c r="AW113" s="1">
        <f t="shared" si="64"/>
        <v>2180</v>
      </c>
      <c r="AX113" s="1">
        <f t="shared" si="65"/>
        <v>0</v>
      </c>
      <c r="BE113" s="1" t="e">
        <f t="shared" si="66"/>
        <v>#N/A</v>
      </c>
      <c r="BF113" s="1" t="e">
        <f t="shared" si="44"/>
        <v>#N/A</v>
      </c>
      <c r="BG113" s="1" t="e">
        <f t="shared" si="67"/>
        <v>#N/A</v>
      </c>
      <c r="BH113" s="8" t="e" cm="1">
        <f t="array" ref="BH113">IF(BE113="","", IFERROR(((IF(BE$5&lt;&gt;"", BE$5*AW$5, 0) + SUMPRODUCT(--(BE$6:BE113&lt;&gt;""), BE$6:BE113, (AW$6:AW113-AW$5:AW112)))/1000)/BD$3, ""))</f>
        <v>#N/A</v>
      </c>
      <c r="BI113" s="1">
        <f t="shared" si="68"/>
        <v>2180</v>
      </c>
      <c r="BJ113" s="1">
        <f t="shared" si="69"/>
        <v>0</v>
      </c>
      <c r="BQ113" s="1" t="e">
        <f t="shared" si="70"/>
        <v>#N/A</v>
      </c>
      <c r="BR113" s="1" t="e">
        <f t="shared" si="45"/>
        <v>#N/A</v>
      </c>
      <c r="BS113" s="1" t="e">
        <f t="shared" si="71"/>
        <v>#N/A</v>
      </c>
      <c r="BT113" s="8" t="e" cm="1">
        <f t="array" ref="BT113">IF(BQ113="","", IFERROR(((IF(BQ$5&lt;&gt;"", BQ$5*BI$5, 0) + SUMPRODUCT(--(BQ$6:BQ113&lt;&gt;""), BQ$6:BQ113, (BI$6:BI113-BI$5:BI112)))/1000)/BP$3, ""))</f>
        <v>#N/A</v>
      </c>
      <c r="BU113" s="1">
        <f t="shared" si="72"/>
        <v>2180</v>
      </c>
      <c r="BV113" s="1">
        <f t="shared" si="73"/>
        <v>0</v>
      </c>
      <c r="CC113" s="1" t="e">
        <f t="shared" si="74"/>
        <v>#N/A</v>
      </c>
      <c r="CD113" s="1" t="e">
        <f t="shared" si="46"/>
        <v>#N/A</v>
      </c>
      <c r="CE113" s="1" t="e">
        <f t="shared" si="75"/>
        <v>#N/A</v>
      </c>
      <c r="CF113" s="8" t="e" cm="1">
        <f t="array" ref="CF113">IF(CC113="","", IFERROR(((IF(CC$5&lt;&gt;"", CC$5*BU$5, 0) + SUMPRODUCT(--(CC$6:CC113&lt;&gt;""), CC$6:CC113, (BU$6:BU113-BU$5:BU112)))/1000)/CB$3, ""))</f>
        <v>#N/A</v>
      </c>
      <c r="CG113" s="1">
        <f t="shared" si="76"/>
        <v>2180</v>
      </c>
      <c r="CH113" s="1">
        <f t="shared" si="77"/>
        <v>0</v>
      </c>
      <c r="CO113" s="1" t="e">
        <f t="shared" si="78"/>
        <v>#N/A</v>
      </c>
      <c r="CP113" s="1" t="e">
        <f t="shared" si="47"/>
        <v>#N/A</v>
      </c>
      <c r="CQ113" s="1" t="e">
        <f t="shared" si="79"/>
        <v>#N/A</v>
      </c>
      <c r="CR113" s="8" t="e" cm="1">
        <f t="array" ref="CR113">IF(CO113="","", IFERROR(((IF(CO$5&lt;&gt;"", CO$5*CG$5, 0) + SUMPRODUCT(--(CO$6:CO113&lt;&gt;""), CO$6:CO113, (CG$6:CG113-CG$5:CG112)))/1000)/CN$3, ""))</f>
        <v>#N/A</v>
      </c>
    </row>
    <row r="114" spans="1:96" x14ac:dyDescent="0.25">
      <c r="A114" s="1">
        <f t="shared" si="48"/>
        <v>2200</v>
      </c>
      <c r="B114" s="1">
        <f t="shared" si="49"/>
        <v>0</v>
      </c>
      <c r="I114" s="1" t="e">
        <f t="shared" si="50"/>
        <v>#N/A</v>
      </c>
      <c r="J114" s="1" t="e">
        <f t="shared" si="40"/>
        <v>#N/A</v>
      </c>
      <c r="K114" s="1" t="e">
        <f t="shared" si="51"/>
        <v>#N/A</v>
      </c>
      <c r="L114" s="8" t="e" cm="1">
        <f t="array" ref="L114">IF(I114="","", IFERROR(((IF(I$5&lt;&gt;"", I$5*A$5, 0) + SUMPRODUCT(--(I$6:I114&lt;&gt;""), I$6:I114, (A$6:A114-A$5:A113)))/1000)/H$3, ""))</f>
        <v>#N/A</v>
      </c>
      <c r="M114" s="1">
        <f t="shared" si="52"/>
        <v>2200</v>
      </c>
      <c r="N114" s="1">
        <f t="shared" si="53"/>
        <v>0</v>
      </c>
      <c r="U114" s="1" t="e">
        <f t="shared" si="54"/>
        <v>#N/A</v>
      </c>
      <c r="V114" s="1" t="e">
        <f t="shared" si="41"/>
        <v>#N/A</v>
      </c>
      <c r="W114" s="1" t="e">
        <f t="shared" si="55"/>
        <v>#N/A</v>
      </c>
      <c r="X114" s="8" t="e" cm="1">
        <f t="array" ref="X114">IF(U114="","", IFERROR(((IF(U$5&lt;&gt;"", U$5*M$5, 0) + SUMPRODUCT(--(U$6:U114&lt;&gt;""), U$6:U114, (M$6:M114-M$5:M113)))/1000)/T$3, ""))</f>
        <v>#N/A</v>
      </c>
      <c r="Y114" s="1">
        <f t="shared" si="56"/>
        <v>2200</v>
      </c>
      <c r="Z114" s="1">
        <f t="shared" si="57"/>
        <v>0</v>
      </c>
      <c r="AG114" s="1" t="e">
        <f t="shared" si="58"/>
        <v>#N/A</v>
      </c>
      <c r="AH114" s="1" t="e">
        <f t="shared" si="42"/>
        <v>#N/A</v>
      </c>
      <c r="AI114" s="1" t="e">
        <f t="shared" si="59"/>
        <v>#N/A</v>
      </c>
      <c r="AJ114" s="8" t="e" cm="1">
        <f t="array" ref="AJ114">IF(AG114="","", IFERROR(((IF(AG$5&lt;&gt;"", AG$5*Y$5, 0) + SUMPRODUCT(--(AG$6:AG114&lt;&gt;""), AG$6:AG114, (Y$6:Y114-Y$5:Y113)))/1000)/AF$3, ""))</f>
        <v>#N/A</v>
      </c>
      <c r="AK114" s="1">
        <f t="shared" si="60"/>
        <v>2200</v>
      </c>
      <c r="AL114" s="1">
        <f t="shared" si="61"/>
        <v>0</v>
      </c>
      <c r="AS114" s="1" t="e">
        <f t="shared" si="62"/>
        <v>#N/A</v>
      </c>
      <c r="AT114" s="1" t="e">
        <f t="shared" si="43"/>
        <v>#N/A</v>
      </c>
      <c r="AU114" s="1" t="e">
        <f t="shared" si="63"/>
        <v>#N/A</v>
      </c>
      <c r="AV114" s="8" t="e" cm="1">
        <f t="array" ref="AV114">IF(AS114="","", IFERROR(((IF(AS$5&lt;&gt;"", AS$5*AK$5, 0) + SUMPRODUCT(--(AS$6:AS114&lt;&gt;""), AS$6:AS114, (AK$6:AK114-AK$5:AK113)))/1000)/AR$3, ""))</f>
        <v>#N/A</v>
      </c>
      <c r="AW114" s="1">
        <f t="shared" si="64"/>
        <v>2200</v>
      </c>
      <c r="AX114" s="1">
        <f t="shared" si="65"/>
        <v>0</v>
      </c>
      <c r="BE114" s="1" t="e">
        <f t="shared" si="66"/>
        <v>#N/A</v>
      </c>
      <c r="BF114" s="1" t="e">
        <f t="shared" si="44"/>
        <v>#N/A</v>
      </c>
      <c r="BG114" s="1" t="e">
        <f t="shared" si="67"/>
        <v>#N/A</v>
      </c>
      <c r="BH114" s="8" t="e" cm="1">
        <f t="array" ref="BH114">IF(BE114="","", IFERROR(((IF(BE$5&lt;&gt;"", BE$5*AW$5, 0) + SUMPRODUCT(--(BE$6:BE114&lt;&gt;""), BE$6:BE114, (AW$6:AW114-AW$5:AW113)))/1000)/BD$3, ""))</f>
        <v>#N/A</v>
      </c>
      <c r="BI114" s="1">
        <f t="shared" si="68"/>
        <v>2200</v>
      </c>
      <c r="BJ114" s="1">
        <f t="shared" si="69"/>
        <v>0</v>
      </c>
      <c r="BQ114" s="1" t="e">
        <f t="shared" si="70"/>
        <v>#N/A</v>
      </c>
      <c r="BR114" s="1" t="e">
        <f t="shared" si="45"/>
        <v>#N/A</v>
      </c>
      <c r="BS114" s="1" t="e">
        <f t="shared" si="71"/>
        <v>#N/A</v>
      </c>
      <c r="BT114" s="8" t="e" cm="1">
        <f t="array" ref="BT114">IF(BQ114="","", IFERROR(((IF(BQ$5&lt;&gt;"", BQ$5*BI$5, 0) + SUMPRODUCT(--(BQ$6:BQ114&lt;&gt;""), BQ$6:BQ114, (BI$6:BI114-BI$5:BI113)))/1000)/BP$3, ""))</f>
        <v>#N/A</v>
      </c>
      <c r="BU114" s="1">
        <f t="shared" si="72"/>
        <v>2200</v>
      </c>
      <c r="BV114" s="1">
        <f t="shared" si="73"/>
        <v>0</v>
      </c>
      <c r="CC114" s="1" t="e">
        <f t="shared" si="74"/>
        <v>#N/A</v>
      </c>
      <c r="CD114" s="1" t="e">
        <f t="shared" si="46"/>
        <v>#N/A</v>
      </c>
      <c r="CE114" s="1" t="e">
        <f t="shared" si="75"/>
        <v>#N/A</v>
      </c>
      <c r="CF114" s="8" t="e" cm="1">
        <f t="array" ref="CF114">IF(CC114="","", IFERROR(((IF(CC$5&lt;&gt;"", CC$5*BU$5, 0) + SUMPRODUCT(--(CC$6:CC114&lt;&gt;""), CC$6:CC114, (BU$6:BU114-BU$5:BU113)))/1000)/CB$3, ""))</f>
        <v>#N/A</v>
      </c>
      <c r="CG114" s="1">
        <f t="shared" si="76"/>
        <v>2200</v>
      </c>
      <c r="CH114" s="1">
        <f t="shared" si="77"/>
        <v>0</v>
      </c>
      <c r="CO114" s="1" t="e">
        <f t="shared" si="78"/>
        <v>#N/A</v>
      </c>
      <c r="CP114" s="1" t="e">
        <f t="shared" si="47"/>
        <v>#N/A</v>
      </c>
      <c r="CQ114" s="1" t="e">
        <f t="shared" si="79"/>
        <v>#N/A</v>
      </c>
      <c r="CR114" s="8" t="e" cm="1">
        <f t="array" ref="CR114">IF(CO114="","", IFERROR(((IF(CO$5&lt;&gt;"", CO$5*CG$5, 0) + SUMPRODUCT(--(CO$6:CO114&lt;&gt;""), CO$6:CO114, (CG$6:CG114-CG$5:CG113)))/1000)/CN$3, ""))</f>
        <v>#N/A</v>
      </c>
    </row>
    <row r="115" spans="1:96" x14ac:dyDescent="0.25">
      <c r="A115" s="1">
        <f t="shared" si="48"/>
        <v>2220</v>
      </c>
      <c r="B115" s="1">
        <f t="shared" si="49"/>
        <v>0</v>
      </c>
      <c r="I115" s="1" t="e">
        <f t="shared" si="50"/>
        <v>#N/A</v>
      </c>
      <c r="J115" s="1" t="e">
        <f t="shared" si="40"/>
        <v>#N/A</v>
      </c>
      <c r="K115" s="1" t="e">
        <f t="shared" si="51"/>
        <v>#N/A</v>
      </c>
      <c r="L115" s="8" t="e" cm="1">
        <f t="array" ref="L115">IF(I115="","", IFERROR(((IF(I$5&lt;&gt;"", I$5*A$5, 0) + SUMPRODUCT(--(I$6:I115&lt;&gt;""), I$6:I115, (A$6:A115-A$5:A114)))/1000)/H$3, ""))</f>
        <v>#N/A</v>
      </c>
      <c r="M115" s="1">
        <f t="shared" si="52"/>
        <v>2220</v>
      </c>
      <c r="N115" s="1">
        <f t="shared" si="53"/>
        <v>0</v>
      </c>
      <c r="U115" s="1" t="e">
        <f t="shared" si="54"/>
        <v>#N/A</v>
      </c>
      <c r="V115" s="1" t="e">
        <f t="shared" si="41"/>
        <v>#N/A</v>
      </c>
      <c r="W115" s="1" t="e">
        <f t="shared" si="55"/>
        <v>#N/A</v>
      </c>
      <c r="X115" s="8" t="e" cm="1">
        <f t="array" ref="X115">IF(U115="","", IFERROR(((IF(U$5&lt;&gt;"", U$5*M$5, 0) + SUMPRODUCT(--(U$6:U115&lt;&gt;""), U$6:U115, (M$6:M115-M$5:M114)))/1000)/T$3, ""))</f>
        <v>#N/A</v>
      </c>
      <c r="Y115" s="1">
        <f t="shared" si="56"/>
        <v>2220</v>
      </c>
      <c r="Z115" s="1">
        <f t="shared" si="57"/>
        <v>0</v>
      </c>
      <c r="AG115" s="1" t="e">
        <f t="shared" si="58"/>
        <v>#N/A</v>
      </c>
      <c r="AH115" s="1" t="e">
        <f t="shared" si="42"/>
        <v>#N/A</v>
      </c>
      <c r="AI115" s="1" t="e">
        <f t="shared" si="59"/>
        <v>#N/A</v>
      </c>
      <c r="AJ115" s="8" t="e" cm="1">
        <f t="array" ref="AJ115">IF(AG115="","", IFERROR(((IF(AG$5&lt;&gt;"", AG$5*Y$5, 0) + SUMPRODUCT(--(AG$6:AG115&lt;&gt;""), AG$6:AG115, (Y$6:Y115-Y$5:Y114)))/1000)/AF$3, ""))</f>
        <v>#N/A</v>
      </c>
      <c r="AK115" s="1">
        <f t="shared" si="60"/>
        <v>2220</v>
      </c>
      <c r="AL115" s="1">
        <f t="shared" si="61"/>
        <v>0</v>
      </c>
      <c r="AS115" s="1" t="e">
        <f t="shared" si="62"/>
        <v>#N/A</v>
      </c>
      <c r="AT115" s="1" t="e">
        <f t="shared" si="43"/>
        <v>#N/A</v>
      </c>
      <c r="AU115" s="1" t="e">
        <f t="shared" si="63"/>
        <v>#N/A</v>
      </c>
      <c r="AV115" s="8" t="e" cm="1">
        <f t="array" ref="AV115">IF(AS115="","", IFERROR(((IF(AS$5&lt;&gt;"", AS$5*AK$5, 0) + SUMPRODUCT(--(AS$6:AS115&lt;&gt;""), AS$6:AS115, (AK$6:AK115-AK$5:AK114)))/1000)/AR$3, ""))</f>
        <v>#N/A</v>
      </c>
      <c r="AW115" s="1">
        <f t="shared" si="64"/>
        <v>2220</v>
      </c>
      <c r="AX115" s="1">
        <f t="shared" si="65"/>
        <v>0</v>
      </c>
      <c r="BE115" s="1" t="e">
        <f t="shared" si="66"/>
        <v>#N/A</v>
      </c>
      <c r="BF115" s="1" t="e">
        <f t="shared" si="44"/>
        <v>#N/A</v>
      </c>
      <c r="BG115" s="1" t="e">
        <f t="shared" si="67"/>
        <v>#N/A</v>
      </c>
      <c r="BH115" s="8" t="e" cm="1">
        <f t="array" ref="BH115">IF(BE115="","", IFERROR(((IF(BE$5&lt;&gt;"", BE$5*AW$5, 0) + SUMPRODUCT(--(BE$6:BE115&lt;&gt;""), BE$6:BE115, (AW$6:AW115-AW$5:AW114)))/1000)/BD$3, ""))</f>
        <v>#N/A</v>
      </c>
      <c r="BI115" s="1">
        <f t="shared" si="68"/>
        <v>2220</v>
      </c>
      <c r="BJ115" s="1">
        <f t="shared" si="69"/>
        <v>0</v>
      </c>
      <c r="BQ115" s="1" t="e">
        <f t="shared" si="70"/>
        <v>#N/A</v>
      </c>
      <c r="BR115" s="1" t="e">
        <f t="shared" si="45"/>
        <v>#N/A</v>
      </c>
      <c r="BS115" s="1" t="e">
        <f t="shared" si="71"/>
        <v>#N/A</v>
      </c>
      <c r="BT115" s="8" t="e" cm="1">
        <f t="array" ref="BT115">IF(BQ115="","", IFERROR(((IF(BQ$5&lt;&gt;"", BQ$5*BI$5, 0) + SUMPRODUCT(--(BQ$6:BQ115&lt;&gt;""), BQ$6:BQ115, (BI$6:BI115-BI$5:BI114)))/1000)/BP$3, ""))</f>
        <v>#N/A</v>
      </c>
      <c r="BU115" s="1">
        <f t="shared" si="72"/>
        <v>2220</v>
      </c>
      <c r="BV115" s="1">
        <f t="shared" si="73"/>
        <v>0</v>
      </c>
      <c r="CC115" s="1" t="e">
        <f t="shared" si="74"/>
        <v>#N/A</v>
      </c>
      <c r="CD115" s="1" t="e">
        <f t="shared" si="46"/>
        <v>#N/A</v>
      </c>
      <c r="CE115" s="1" t="e">
        <f t="shared" si="75"/>
        <v>#N/A</v>
      </c>
      <c r="CF115" s="8" t="e" cm="1">
        <f t="array" ref="CF115">IF(CC115="","", IFERROR(((IF(CC$5&lt;&gt;"", CC$5*BU$5, 0) + SUMPRODUCT(--(CC$6:CC115&lt;&gt;""), CC$6:CC115, (BU$6:BU115-BU$5:BU114)))/1000)/CB$3, ""))</f>
        <v>#N/A</v>
      </c>
      <c r="CG115" s="1">
        <f t="shared" si="76"/>
        <v>2220</v>
      </c>
      <c r="CH115" s="1">
        <f t="shared" si="77"/>
        <v>0</v>
      </c>
      <c r="CO115" s="1" t="e">
        <f t="shared" si="78"/>
        <v>#N/A</v>
      </c>
      <c r="CP115" s="1" t="e">
        <f t="shared" si="47"/>
        <v>#N/A</v>
      </c>
      <c r="CQ115" s="1" t="e">
        <f t="shared" si="79"/>
        <v>#N/A</v>
      </c>
      <c r="CR115" s="8" t="e" cm="1">
        <f t="array" ref="CR115">IF(CO115="","", IFERROR(((IF(CO$5&lt;&gt;"", CO$5*CG$5, 0) + SUMPRODUCT(--(CO$6:CO115&lt;&gt;""), CO$6:CO115, (CG$6:CG115-CG$5:CG114)))/1000)/CN$3, ""))</f>
        <v>#N/A</v>
      </c>
    </row>
  </sheetData>
  <conditionalFormatting sqref="I5:L115">
    <cfRule type="containsErrors" dxfId="65" priority="40">
      <formula>ISERROR(I5)</formula>
    </cfRule>
  </conditionalFormatting>
  <conditionalFormatting sqref="K6:K115">
    <cfRule type="cellIs" dxfId="64" priority="48" operator="between">
      <formula>25</formula>
      <formula>1000</formula>
    </cfRule>
    <cfRule type="cellIs" dxfId="63" priority="46" operator="between">
      <formula>0</formula>
      <formula>15</formula>
    </cfRule>
    <cfRule type="cellIs" dxfId="62" priority="47" operator="between">
      <formula>15</formula>
      <formula>25</formula>
    </cfRule>
  </conditionalFormatting>
  <conditionalFormatting sqref="L2:L3 X2:X3">
    <cfRule type="containsErrors" dxfId="61" priority="39">
      <formula>ISERROR(L2)</formula>
    </cfRule>
  </conditionalFormatting>
  <conditionalFormatting sqref="U5:X115">
    <cfRule type="containsErrors" dxfId="60" priority="7">
      <formula>ISERROR(U5)</formula>
    </cfRule>
  </conditionalFormatting>
  <conditionalFormatting sqref="W6:W115">
    <cfRule type="cellIs" dxfId="59" priority="45" operator="between">
      <formula>25</formula>
      <formula>1000</formula>
    </cfRule>
    <cfRule type="cellIs" dxfId="58" priority="44" operator="between">
      <formula>15</formula>
      <formula>25</formula>
    </cfRule>
    <cfRule type="cellIs" dxfId="57" priority="43" operator="between">
      <formula>0</formula>
      <formula>15</formula>
    </cfRule>
  </conditionalFormatting>
  <conditionalFormatting sqref="AG5:AJ115">
    <cfRule type="containsErrors" dxfId="56" priority="6">
      <formula>ISERROR(AG5)</formula>
    </cfRule>
  </conditionalFormatting>
  <conditionalFormatting sqref="AI6:AI115">
    <cfRule type="cellIs" dxfId="55" priority="38" operator="between">
      <formula>25</formula>
      <formula>1000</formula>
    </cfRule>
    <cfRule type="cellIs" dxfId="54" priority="37" operator="between">
      <formula>15</formula>
      <formula>25</formula>
    </cfRule>
    <cfRule type="cellIs" dxfId="53" priority="36" operator="between">
      <formula>0</formula>
      <formula>15</formula>
    </cfRule>
  </conditionalFormatting>
  <conditionalFormatting sqref="AJ2:AJ3 AV2:AV3">
    <cfRule type="containsErrors" dxfId="52" priority="31">
      <formula>ISERROR(AJ2)</formula>
    </cfRule>
  </conditionalFormatting>
  <conditionalFormatting sqref="AS5:AV115">
    <cfRule type="containsErrors" dxfId="51" priority="5">
      <formula>ISERROR(AS5)</formula>
    </cfRule>
  </conditionalFormatting>
  <conditionalFormatting sqref="AU6:AU115">
    <cfRule type="cellIs" dxfId="50" priority="35" operator="between">
      <formula>25</formula>
      <formula>1000</formula>
    </cfRule>
    <cfRule type="cellIs" dxfId="49" priority="34" operator="between">
      <formula>15</formula>
      <formula>25</formula>
    </cfRule>
    <cfRule type="cellIs" dxfId="48" priority="33" operator="between">
      <formula>0</formula>
      <formula>15</formula>
    </cfRule>
  </conditionalFormatting>
  <conditionalFormatting sqref="BE5:BH115">
    <cfRule type="containsErrors" dxfId="47" priority="4">
      <formula>ISERROR(BE5)</formula>
    </cfRule>
  </conditionalFormatting>
  <conditionalFormatting sqref="BG6:BG115">
    <cfRule type="cellIs" dxfId="46" priority="29" operator="between">
      <formula>15</formula>
      <formula>25</formula>
    </cfRule>
    <cfRule type="cellIs" dxfId="45" priority="30" operator="between">
      <formula>25</formula>
      <formula>1000</formula>
    </cfRule>
    <cfRule type="cellIs" dxfId="44" priority="28" operator="between">
      <formula>0</formula>
      <formula>15</formula>
    </cfRule>
  </conditionalFormatting>
  <conditionalFormatting sqref="BH2:BH3 BT2:BT3">
    <cfRule type="containsErrors" dxfId="43" priority="23">
      <formula>ISERROR(BH2)</formula>
    </cfRule>
  </conditionalFormatting>
  <conditionalFormatting sqref="BQ5:BT115">
    <cfRule type="containsErrors" dxfId="42" priority="3">
      <formula>ISERROR(BQ5)</formula>
    </cfRule>
  </conditionalFormatting>
  <conditionalFormatting sqref="BS6:BS115">
    <cfRule type="cellIs" dxfId="41" priority="26" operator="between">
      <formula>15</formula>
      <formula>25</formula>
    </cfRule>
    <cfRule type="cellIs" dxfId="40" priority="25" operator="between">
      <formula>0</formula>
      <formula>15</formula>
    </cfRule>
    <cfRule type="cellIs" dxfId="39" priority="27" operator="between">
      <formula>25</formula>
      <formula>1000</formula>
    </cfRule>
  </conditionalFormatting>
  <conditionalFormatting sqref="CC5:CF115">
    <cfRule type="containsErrors" dxfId="38" priority="2">
      <formula>ISERROR(CC5)</formula>
    </cfRule>
  </conditionalFormatting>
  <conditionalFormatting sqref="CE6:CE115">
    <cfRule type="cellIs" dxfId="37" priority="22" operator="between">
      <formula>25</formula>
      <formula>1000</formula>
    </cfRule>
    <cfRule type="cellIs" dxfId="36" priority="21" operator="between">
      <formula>15</formula>
      <formula>25</formula>
    </cfRule>
    <cfRule type="cellIs" dxfId="35" priority="20" operator="between">
      <formula>0</formula>
      <formula>15</formula>
    </cfRule>
  </conditionalFormatting>
  <conditionalFormatting sqref="CF2:CF3 CR2:CR3">
    <cfRule type="containsErrors" dxfId="34" priority="15">
      <formula>ISERROR(CF2)</formula>
    </cfRule>
  </conditionalFormatting>
  <conditionalFormatting sqref="CO5:CR115">
    <cfRule type="containsErrors" dxfId="33" priority="1">
      <formula>ISERROR(CO5)</formula>
    </cfRule>
  </conditionalFormatting>
  <conditionalFormatting sqref="CQ6:CQ115">
    <cfRule type="cellIs" dxfId="32" priority="19" operator="between">
      <formula>25</formula>
      <formula>1000</formula>
    </cfRule>
    <cfRule type="cellIs" dxfId="31" priority="18" operator="between">
      <formula>15</formula>
      <formula>25</formula>
    </cfRule>
    <cfRule type="cellIs" dxfId="30" priority="17" operator="between">
      <formula>0</formula>
      <formula>15</formula>
    </cfRule>
  </conditionalFormatting>
  <pageMargins left="0.7" right="0.7" top="0.75" bottom="0.75" header="0.3" footer="0.3"/>
  <ignoredErrors>
    <ignoredError sqref="A1:XFD1 A5:XFD1048576 CS4:XFD4 A3:XFD3 A2:B2 CJ2:XFD2 BX2:CH2 BL2:BV2 AZ2:BJ2 AN2:AX2 AB2:AL2 P2:Z2 D2:N2" evalError="1"/>
  </ignoredError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DE13-56C7-4A27-9613-30CBEDABD6E4}">
  <dimension ref="A1:AV115"/>
  <sheetViews>
    <sheetView zoomScale="80" zoomScaleNormal="80" workbookViewId="0">
      <selection sqref="A1:XFD4"/>
    </sheetView>
  </sheetViews>
  <sheetFormatPr defaultRowHeight="15" x14ac:dyDescent="0.25"/>
  <cols>
    <col min="1" max="1" width="15.28515625" style="1" customWidth="1"/>
    <col min="2" max="2" width="12.5703125" style="1" customWidth="1"/>
    <col min="3" max="3" width="11.28515625" style="1" customWidth="1"/>
    <col min="4" max="4" width="14.28515625" style="1" customWidth="1"/>
    <col min="5" max="5" width="23" style="1" bestFit="1" customWidth="1"/>
    <col min="6" max="6" width="12.85546875" style="1" bestFit="1" customWidth="1"/>
    <col min="7" max="7" width="13" style="1" customWidth="1"/>
    <col min="8" max="8" width="39.7109375" style="1" customWidth="1"/>
    <col min="9" max="9" width="14.85546875" style="1" bestFit="1" customWidth="1"/>
    <col min="10" max="10" width="18" style="1" customWidth="1"/>
    <col min="11" max="11" width="12.140625" style="1" customWidth="1"/>
    <col min="12" max="12" width="14.140625" style="7" customWidth="1"/>
    <col min="13" max="13" width="16.140625" style="1" customWidth="1"/>
    <col min="14" max="14" width="12.5703125" style="1" customWidth="1"/>
    <col min="15" max="15" width="10.85546875" style="1" customWidth="1"/>
    <col min="16" max="16" width="14.28515625" style="1" customWidth="1"/>
    <col min="17" max="17" width="23" style="1" bestFit="1" customWidth="1"/>
    <col min="18" max="18" width="12.85546875" style="1" bestFit="1" customWidth="1"/>
    <col min="19" max="19" width="13" style="1" customWidth="1"/>
    <col min="20" max="20" width="39.7109375" style="1" customWidth="1"/>
    <col min="21" max="21" width="14.85546875" style="1" bestFit="1" customWidth="1"/>
    <col min="22" max="22" width="18" style="1" customWidth="1"/>
    <col min="23" max="23" width="12.140625" style="1" customWidth="1"/>
    <col min="24" max="24" width="14.140625" style="7" customWidth="1"/>
    <col min="25" max="25" width="11.7109375" style="1" customWidth="1"/>
    <col min="26" max="26" width="12.5703125" style="1" customWidth="1"/>
    <col min="27" max="27" width="11.28515625" style="1" customWidth="1"/>
    <col min="28" max="28" width="14.28515625" style="1" customWidth="1"/>
    <col min="29" max="29" width="23" style="1" bestFit="1" customWidth="1"/>
    <col min="30" max="30" width="12.85546875" style="1" bestFit="1" customWidth="1"/>
    <col min="31" max="31" width="13" style="1" customWidth="1"/>
    <col min="32" max="32" width="39.7109375" style="1" customWidth="1"/>
    <col min="33" max="33" width="14.85546875" style="1" bestFit="1" customWidth="1"/>
    <col min="34" max="34" width="18" style="1" customWidth="1"/>
    <col min="35" max="35" width="12.140625" style="1" customWidth="1"/>
    <col min="36" max="36" width="14.140625" style="7" customWidth="1"/>
    <col min="37" max="37" width="11.7109375" style="1" customWidth="1"/>
    <col min="38" max="38" width="12.5703125" style="1" customWidth="1"/>
    <col min="39" max="39" width="10.85546875" style="1" customWidth="1"/>
    <col min="40" max="40" width="14.28515625" style="1" customWidth="1"/>
    <col min="41" max="41" width="23" style="1" bestFit="1" customWidth="1"/>
    <col min="42" max="42" width="12.85546875" style="1" bestFit="1" customWidth="1"/>
    <col min="43" max="43" width="13" style="1" customWidth="1"/>
    <col min="44" max="44" width="39.7109375" style="1" customWidth="1"/>
    <col min="45" max="45" width="14.85546875" style="1" bestFit="1" customWidth="1"/>
    <col min="46" max="46" width="18" style="1" customWidth="1"/>
    <col min="47" max="47" width="12.140625" style="1" customWidth="1"/>
    <col min="48" max="48" width="14.140625" style="7" customWidth="1"/>
    <col min="49" max="16384" width="9.140625" style="1"/>
  </cols>
  <sheetData>
    <row r="1" spans="1:48" s="2" customFormat="1" ht="45" x14ac:dyDescent="0.25">
      <c r="A1" s="3" t="s">
        <v>36</v>
      </c>
      <c r="C1" s="4" t="s">
        <v>6</v>
      </c>
      <c r="E1" s="4" t="s">
        <v>43</v>
      </c>
      <c r="G1" s="4" t="s">
        <v>54</v>
      </c>
      <c r="H1" s="2" t="s">
        <v>53</v>
      </c>
      <c r="J1" s="4" t="s">
        <v>7</v>
      </c>
      <c r="L1" s="6" t="s">
        <v>20</v>
      </c>
      <c r="M1" s="3" t="s">
        <v>36</v>
      </c>
      <c r="O1" s="4" t="s">
        <v>6</v>
      </c>
      <c r="Q1" s="4" t="s">
        <v>43</v>
      </c>
      <c r="S1" s="4" t="s">
        <v>54</v>
      </c>
      <c r="T1" s="2" t="s">
        <v>53</v>
      </c>
      <c r="V1" s="4" t="s">
        <v>7</v>
      </c>
      <c r="X1" s="6" t="s">
        <v>20</v>
      </c>
      <c r="Y1" s="3" t="s">
        <v>36</v>
      </c>
      <c r="AA1" s="4" t="s">
        <v>6</v>
      </c>
      <c r="AC1" s="4" t="s">
        <v>43</v>
      </c>
      <c r="AE1" s="4" t="s">
        <v>54</v>
      </c>
      <c r="AF1" s="2" t="s">
        <v>53</v>
      </c>
      <c r="AH1" s="4" t="s">
        <v>7</v>
      </c>
      <c r="AJ1" s="6" t="s">
        <v>20</v>
      </c>
      <c r="AK1" s="3" t="s">
        <v>36</v>
      </c>
      <c r="AM1" s="4" t="s">
        <v>6</v>
      </c>
      <c r="AO1" s="4" t="s">
        <v>43</v>
      </c>
      <c r="AQ1" s="4" t="s">
        <v>54</v>
      </c>
      <c r="AR1" s="2" t="s">
        <v>53</v>
      </c>
      <c r="AT1" s="4" t="s">
        <v>7</v>
      </c>
      <c r="AV1" s="6" t="s">
        <v>20</v>
      </c>
    </row>
    <row r="2" spans="1:48" s="2" customFormat="1" ht="30" x14ac:dyDescent="0.25">
      <c r="A2" s="4" t="s">
        <v>2</v>
      </c>
      <c r="C2" s="4" t="s">
        <v>127</v>
      </c>
      <c r="E2" s="4" t="s">
        <v>1</v>
      </c>
      <c r="F2" s="2" cm="1">
        <f t="array" ref="F2">_xlfn.SWITCH(H1,
    "CCELL3.0", F3^2/(D2+0.78),
    "EVOMAX", F3^2/(D2),
    "EVO", F3^2/(D2),
    "SE", F3^2/D2,
    "T51", F3^2/(0.25+D2),
    "Competitor", F3^2/D2,
    "Error: Unknown device type")</f>
        <v>0</v>
      </c>
      <c r="G2" s="4" t="s">
        <v>8</v>
      </c>
      <c r="H2" s="2" t="s">
        <v>21</v>
      </c>
      <c r="I2" s="4" t="s">
        <v>9</v>
      </c>
      <c r="J2" s="4" t="s">
        <v>10</v>
      </c>
      <c r="L2" s="20" t="e">
        <f>IF(I5="","",AVERAGEIFS(I5:I115,I5:I115,"&lt;&gt;0",I5:I115,"&lt;&gt;"))</f>
        <v>#N/A</v>
      </c>
      <c r="M2" s="4" t="s">
        <v>2</v>
      </c>
      <c r="O2" s="4" t="s">
        <v>127</v>
      </c>
      <c r="Q2" s="4" t="s">
        <v>1</v>
      </c>
      <c r="R2" s="2" cm="1">
        <f t="array" ref="R2">_xlfn.SWITCH(T1,
    "CCELL3.0", R3^2/(P2+0.78),
    "EVOMAX", R3^2/(P2),
    "EVO", R3^2/(P2),
    "SE", R3^2/P2,
    "T51", R3^2/(0.25+P2),
    "Competitor", R3^2/P2,
    "Error: Unknown device type")</f>
        <v>0</v>
      </c>
      <c r="S2" s="4" t="s">
        <v>8</v>
      </c>
      <c r="T2" s="2" t="s">
        <v>21</v>
      </c>
      <c r="U2" s="4" t="s">
        <v>9</v>
      </c>
      <c r="V2" s="4" t="s">
        <v>10</v>
      </c>
      <c r="X2" s="20" t="e">
        <f>IF(U5="","",AVERAGEIFS(U5:U115,U5:U115,"&lt;&gt;0",U5:U115,"&lt;&gt;"))</f>
        <v>#N/A</v>
      </c>
      <c r="Y2" s="4" t="s">
        <v>2</v>
      </c>
      <c r="AA2" s="4" t="s">
        <v>127</v>
      </c>
      <c r="AC2" s="4" t="s">
        <v>1</v>
      </c>
      <c r="AD2" s="2" cm="1">
        <f t="array" ref="AD2">_xlfn.SWITCH(AF1,
    "CCELL3.0", AD3^2/(AB2+0.78),
    "EVOMAX", AD3^2/(AB2),
    "EVO", AD3^2/(AB2),
    "SE", AD3^2/AB2,
    "T51", AD3^2/(0.25+AB2),
    "Competitor", AD3^2/AB2,
    "Error: Unknown device type")</f>
        <v>0</v>
      </c>
      <c r="AE2" s="4" t="s">
        <v>8</v>
      </c>
      <c r="AF2" s="2" t="s">
        <v>21</v>
      </c>
      <c r="AG2" s="4" t="s">
        <v>9</v>
      </c>
      <c r="AH2" s="4" t="s">
        <v>10</v>
      </c>
      <c r="AJ2" s="20" t="e">
        <f>IF(AG5="","",AVERAGEIFS(AG5:AG115,AG5:AG115,"&lt;&gt;0",AG5:AG115,"&lt;&gt;"))</f>
        <v>#N/A</v>
      </c>
      <c r="AK2" s="4" t="s">
        <v>2</v>
      </c>
      <c r="AM2" s="4" t="s">
        <v>127</v>
      </c>
      <c r="AO2" s="4" t="s">
        <v>1</v>
      </c>
      <c r="AP2" s="2" cm="1">
        <f t="array" ref="AP2">_xlfn.SWITCH(AR1,
    "CCELL3.0", AP3^2/(AN2+0.78),
    "EVOMAX", AP3^2/(AN2),
    "EVO", AP3^2/(AN2),
    "SE", AP3^2/AN2,
    "T51", AP3^2/(0.25+AN2),
    "Competitor", AP3^2/AN2,
    "Error: Unknown device type")</f>
        <v>0</v>
      </c>
      <c r="AQ2" s="4" t="s">
        <v>8</v>
      </c>
      <c r="AR2" s="2" t="s">
        <v>21</v>
      </c>
      <c r="AS2" s="4" t="s">
        <v>9</v>
      </c>
      <c r="AT2" s="4" t="s">
        <v>10</v>
      </c>
      <c r="AV2" s="20" t="e">
        <f>IF(AS5="","",AVERAGEIFS(AS5:AS115,AS5:AS115,"&lt;&gt;0",AS5:AS115,"&lt;&gt;"))</f>
        <v>#N/A</v>
      </c>
    </row>
    <row r="3" spans="1:48" s="2" customFormat="1" ht="30" x14ac:dyDescent="0.25">
      <c r="A3" s="4" t="s">
        <v>11</v>
      </c>
      <c r="C3" s="4" t="s">
        <v>0</v>
      </c>
      <c r="E3" s="4" t="s">
        <v>3</v>
      </c>
      <c r="G3" s="4" t="s">
        <v>12</v>
      </c>
      <c r="I3" s="21" t="str" cm="1">
        <f t="array" ref="I3">IFERROR(((IF(I5&lt;&gt;"", I5*A5, 0) + SUMPRODUCT(--(I6:I115&lt;&gt;""), I6:I115, (A6:A115-A5:A114)))/1000)/H3, "")</f>
        <v/>
      </c>
      <c r="J3" s="4" t="s">
        <v>13</v>
      </c>
      <c r="L3" s="20" t="e" cm="1">
        <f t="array" ref="L3">IF(I5="","",_xlfn.STDEV.P(IF(ISNUMBER(I5:I115), IF(I5:I115&lt;&gt;0,I5:I115))))</f>
        <v>#N/A</v>
      </c>
      <c r="M3" s="4" t="s">
        <v>11</v>
      </c>
      <c r="O3" s="4" t="s">
        <v>0</v>
      </c>
      <c r="Q3" s="4" t="s">
        <v>3</v>
      </c>
      <c r="S3" s="4" t="s">
        <v>12</v>
      </c>
      <c r="U3" s="21" t="str" cm="1">
        <f t="array" ref="U3">IFERROR(((IF(U5&lt;&gt;"", U5*M5, 0) + SUMPRODUCT(--(U6:U115&lt;&gt;""), U6:U115, (M6:M115-M5:M114)))/1000)/T3, "")</f>
        <v/>
      </c>
      <c r="V3" s="4" t="s">
        <v>13</v>
      </c>
      <c r="X3" s="20" t="e" cm="1">
        <f t="array" ref="X3">IF(U5="","",_xlfn.STDEV.P(IF(ISNUMBER(U5:U115), IF(U5:U115&lt;&gt;0,U5:U115))))</f>
        <v>#N/A</v>
      </c>
      <c r="Y3" s="4" t="s">
        <v>11</v>
      </c>
      <c r="AA3" s="4" t="s">
        <v>0</v>
      </c>
      <c r="AC3" s="4" t="s">
        <v>3</v>
      </c>
      <c r="AE3" s="4" t="s">
        <v>12</v>
      </c>
      <c r="AG3" s="21" t="str" cm="1">
        <f t="array" ref="AG3">IFERROR(((IF(AG5&lt;&gt;"", AG5*Y5, 0) + SUMPRODUCT(--(AG6:AG115&lt;&gt;""), AG6:AG115, (Y6:Y115-Y5:Y114)))/1000)/AF3, "")</f>
        <v/>
      </c>
      <c r="AH3" s="4" t="s">
        <v>13</v>
      </c>
      <c r="AJ3" s="20" t="e" cm="1">
        <f t="array" ref="AJ3">IF(AG5="","",_xlfn.STDEV.P(IF(ISNUMBER(AG5:AG115), IF(AG5:AG115&lt;&gt;0,AG5:AG115))))</f>
        <v>#N/A</v>
      </c>
      <c r="AK3" s="4" t="s">
        <v>11</v>
      </c>
      <c r="AM3" s="4" t="s">
        <v>0</v>
      </c>
      <c r="AO3" s="4" t="s">
        <v>3</v>
      </c>
      <c r="AQ3" s="4" t="s">
        <v>12</v>
      </c>
      <c r="AS3" s="21" t="str" cm="1">
        <f t="array" ref="AS3">IFERROR(((IF(AS5&lt;&gt;"", AS5*AK5, 0) + SUMPRODUCT(--(AS6:AS115&lt;&gt;""), AS6:AS115, (AK6:AK115-AK5:AK114)))/1000)/AR3, "")</f>
        <v/>
      </c>
      <c r="AT3" s="4" t="s">
        <v>13</v>
      </c>
      <c r="AV3" s="20" t="e" cm="1">
        <f t="array" ref="AV3">IF(AS5="","",_xlfn.STDEV.P(IF(ISNUMBER(AS5:AS115), IF(AS5:AS115&lt;&gt;0,AS5:AS115))))</f>
        <v>#N/A</v>
      </c>
    </row>
    <row r="4" spans="1:48" s="2" customFormat="1" ht="45" x14ac:dyDescent="0.25">
      <c r="A4" s="2" t="s">
        <v>14</v>
      </c>
      <c r="B4" s="2" t="s">
        <v>123</v>
      </c>
      <c r="C4" s="2" t="s">
        <v>124</v>
      </c>
      <c r="D4" s="2" t="s">
        <v>15</v>
      </c>
      <c r="E4" s="2" t="s">
        <v>125</v>
      </c>
      <c r="F4" s="2" t="s">
        <v>16</v>
      </c>
      <c r="G4" s="2" t="s">
        <v>17</v>
      </c>
      <c r="H4" s="2" t="s">
        <v>18</v>
      </c>
      <c r="I4" s="2" t="s">
        <v>19</v>
      </c>
      <c r="J4" s="2" t="s">
        <v>55</v>
      </c>
      <c r="K4" s="2" t="s">
        <v>57</v>
      </c>
      <c r="L4" s="20" t="s">
        <v>126</v>
      </c>
      <c r="M4" s="2" t="s">
        <v>14</v>
      </c>
      <c r="N4" s="2" t="s">
        <v>123</v>
      </c>
      <c r="O4" s="2" t="s">
        <v>124</v>
      </c>
      <c r="P4" s="2" t="s">
        <v>15</v>
      </c>
      <c r="Q4" s="2" t="s">
        <v>125</v>
      </c>
      <c r="R4" s="2" t="s">
        <v>16</v>
      </c>
      <c r="S4" s="2" t="s">
        <v>17</v>
      </c>
      <c r="T4" s="2" t="s">
        <v>18</v>
      </c>
      <c r="U4" s="2" t="s">
        <v>19</v>
      </c>
      <c r="V4" s="2" t="s">
        <v>55</v>
      </c>
      <c r="W4" s="2" t="s">
        <v>57</v>
      </c>
      <c r="X4" s="20" t="s">
        <v>126</v>
      </c>
      <c r="Y4" s="2" t="s">
        <v>14</v>
      </c>
      <c r="Z4" s="2" t="s">
        <v>123</v>
      </c>
      <c r="AA4" s="2" t="s">
        <v>124</v>
      </c>
      <c r="AB4" s="2" t="s">
        <v>15</v>
      </c>
      <c r="AC4" s="2" t="s">
        <v>125</v>
      </c>
      <c r="AD4" s="2" t="s">
        <v>16</v>
      </c>
      <c r="AE4" s="2" t="s">
        <v>17</v>
      </c>
      <c r="AF4" s="2" t="s">
        <v>18</v>
      </c>
      <c r="AG4" s="2" t="s">
        <v>19</v>
      </c>
      <c r="AH4" s="2" t="s">
        <v>55</v>
      </c>
      <c r="AI4" s="2" t="s">
        <v>57</v>
      </c>
      <c r="AJ4" s="20" t="s">
        <v>126</v>
      </c>
      <c r="AK4" s="2" t="s">
        <v>14</v>
      </c>
      <c r="AL4" s="2" t="s">
        <v>123</v>
      </c>
      <c r="AM4" s="2" t="s">
        <v>124</v>
      </c>
      <c r="AN4" s="2" t="s">
        <v>15</v>
      </c>
      <c r="AO4" s="2" t="s">
        <v>125</v>
      </c>
      <c r="AP4" s="2" t="s">
        <v>16</v>
      </c>
      <c r="AQ4" s="2" t="s">
        <v>17</v>
      </c>
      <c r="AR4" s="2" t="s">
        <v>18</v>
      </c>
      <c r="AS4" s="2" t="s">
        <v>19</v>
      </c>
      <c r="AT4" s="2" t="s">
        <v>55</v>
      </c>
      <c r="AU4" s="2" t="s">
        <v>57</v>
      </c>
      <c r="AV4" s="20" t="s">
        <v>126</v>
      </c>
    </row>
    <row r="5" spans="1:48" x14ac:dyDescent="0.25">
      <c r="A5" s="1">
        <v>10</v>
      </c>
      <c r="B5" s="1">
        <v>0</v>
      </c>
      <c r="I5" s="1" t="e">
        <f>IF(C5="", NA(), (B5-C5)*1000/A5)</f>
        <v>#N/A</v>
      </c>
      <c r="J5" s="1" t="e">
        <f>IF(I5="","",I5/F$2/2.5)</f>
        <v>#N/A</v>
      </c>
      <c r="L5" s="8" t="e">
        <f>IF(I5="","", IFERROR(((IF(I$5&lt;&gt;"", I$5*A$5, 0))/1000)/H$3, ""))</f>
        <v>#N/A</v>
      </c>
      <c r="M5" s="1">
        <v>10</v>
      </c>
      <c r="U5" s="1" t="e">
        <f>IF(O5="", NA(), (N5-O5)*1000/M5)</f>
        <v>#N/A</v>
      </c>
      <c r="V5" s="1" t="e">
        <f>IF(U5="","",U5/R$2/2.5)</f>
        <v>#N/A</v>
      </c>
      <c r="X5" s="8" t="e">
        <f>IF(U5="","", IFERROR(((IF(U$5&lt;&gt;"", U$5*M$5, 0))/1000)/T$3, ""))</f>
        <v>#N/A</v>
      </c>
      <c r="Y5" s="1">
        <v>10</v>
      </c>
      <c r="Z5" s="1">
        <v>0</v>
      </c>
      <c r="AG5" s="1" t="e">
        <f>IF(AA5="", NA(), (Z5-AA5)*1000/Y5)</f>
        <v>#N/A</v>
      </c>
      <c r="AH5" s="1" t="e">
        <f>IF(AG5="","",AG5/AD$2/2.5)</f>
        <v>#N/A</v>
      </c>
      <c r="AJ5" s="8" t="e">
        <f>IF(AG5="","", IFERROR(((IF(AG$5&lt;&gt;"", AG$5*Y$5, 0))/1000)/AF$3, ""))</f>
        <v>#N/A</v>
      </c>
      <c r="AK5" s="1">
        <v>10</v>
      </c>
      <c r="AS5" s="1" t="e">
        <f>IF(AM5="", NA(), (AL5-AM5)*1000/AK5)</f>
        <v>#N/A</v>
      </c>
      <c r="AT5" s="1" t="e">
        <f>IF(AS5="","",AS5/AP$2/2.5)</f>
        <v>#N/A</v>
      </c>
      <c r="AV5" s="8" t="e">
        <f>IF(AS5="","", IFERROR(((IF(AS$5&lt;&gt;"", AS$5*AK$5, 0))/1000)/AR$3, ""))</f>
        <v>#N/A</v>
      </c>
    </row>
    <row r="6" spans="1:48" x14ac:dyDescent="0.25">
      <c r="A6" s="1">
        <f>A5+10</f>
        <v>20</v>
      </c>
      <c r="B6" s="1">
        <f>C5</f>
        <v>0</v>
      </c>
      <c r="I6" s="1" t="e">
        <f>IF(C6="", NA(), (B6-C6)*1000/(A6-A5))</f>
        <v>#N/A</v>
      </c>
      <c r="J6" s="1" t="e">
        <f t="shared" ref="J6:J69" si="0">IF(I6="","",I6/F$2/2.5)</f>
        <v>#N/A</v>
      </c>
      <c r="K6" s="1" t="e">
        <f>IF(I6="","", 100*_xlfn.STDEV.P(I5:I6)/AVERAGE(I5:I6))</f>
        <v>#N/A</v>
      </c>
      <c r="L6" s="8" t="e" cm="1">
        <f t="array" ref="L6">IF(I6="","", IFERROR(((IF(I$5&lt;&gt;"", I$5*A$5, 0) + SUMPRODUCT(--(I$6:I6&lt;&gt;""), I$6:I6, (A$6:A6-A$5:A5)))/1000)/H$3, ""))</f>
        <v>#N/A</v>
      </c>
      <c r="M6" s="1">
        <f>M5+10</f>
        <v>20</v>
      </c>
      <c r="N6" s="1">
        <f>O5</f>
        <v>0</v>
      </c>
      <c r="U6" s="1" t="e">
        <f>IF(O6="", NA(), (N6-O6)*1000/(M6-M5))</f>
        <v>#N/A</v>
      </c>
      <c r="V6" s="1" t="e">
        <f t="shared" ref="V6:V69" si="1">IF(U6="","",U6/R$2/2.5)</f>
        <v>#N/A</v>
      </c>
      <c r="W6" s="1" t="e">
        <f>IF(U6="","", 100*_xlfn.STDEV.P(U5:U6)/AVERAGE(U5:U6))</f>
        <v>#N/A</v>
      </c>
      <c r="X6" s="8" t="e" cm="1">
        <f t="array" ref="X6">IF(U6="","", IFERROR(((IF(U$5&lt;&gt;"", U$5*M$5, 0) + SUMPRODUCT(--(U$6:U6&lt;&gt;""), U$6:U6, (M$6:M6-M$5:M5)))/1000)/T$3, ""))</f>
        <v>#N/A</v>
      </c>
      <c r="Y6" s="1">
        <f>Y5+10</f>
        <v>20</v>
      </c>
      <c r="Z6" s="1">
        <f>AA5</f>
        <v>0</v>
      </c>
      <c r="AG6" s="1" t="e">
        <f>IF(AA6="", NA(), (Z6-AA6)*1000/(Y6-Y5))</f>
        <v>#N/A</v>
      </c>
      <c r="AH6" s="1" t="e">
        <f t="shared" ref="AH6:AH69" si="2">IF(AG6="","",AG6/AD$2/2.5)</f>
        <v>#N/A</v>
      </c>
      <c r="AI6" s="1" t="e">
        <f>IF(AG6="","", 100*_xlfn.STDEV.P(AG5:AG6)/AVERAGE(AG5:AG6))</f>
        <v>#N/A</v>
      </c>
      <c r="AJ6" s="8" t="e" cm="1">
        <f t="array" ref="AJ6">IF(AG6="","", IFERROR(((IF(AG$5&lt;&gt;"", AG$5*Y$5, 0) + SUMPRODUCT(--(AG$6:AG6&lt;&gt;""), AG$6:AG6, (Y$6:Y6-Y$5:Y5)))/1000)/AF$3, ""))</f>
        <v>#N/A</v>
      </c>
      <c r="AK6" s="1">
        <f>AK5+10</f>
        <v>20</v>
      </c>
      <c r="AL6" s="1">
        <f>AM5</f>
        <v>0</v>
      </c>
      <c r="AS6" s="1" t="e">
        <f>IF(AM6="", NA(), (AL6-AM6)*1000/(AK6-AK5))</f>
        <v>#N/A</v>
      </c>
      <c r="AT6" s="1" t="e">
        <f t="shared" ref="AT6:AT69" si="3">IF(AS6="","",AS6/AP$2/2.5)</f>
        <v>#N/A</v>
      </c>
      <c r="AU6" s="1" t="e">
        <f>IF(AS6="","", 100*_xlfn.STDEV.P(AS5:AS6)/AVERAGE(AS5:AS6))</f>
        <v>#N/A</v>
      </c>
      <c r="AV6" s="8" t="e" cm="1">
        <f t="array" ref="AV6">IF(AS6="","", IFERROR(((IF(AS$5&lt;&gt;"", AS$5*AK$5, 0) + SUMPRODUCT(--(AS$6:AS6&lt;&gt;""), AS$6:AS6, (AK$6:AK6-AK$5:AK5)))/1000)/AR$3, ""))</f>
        <v>#N/A</v>
      </c>
    </row>
    <row r="7" spans="1:48" x14ac:dyDescent="0.25">
      <c r="A7" s="1">
        <f t="shared" ref="A7:A70" si="4">A6+10</f>
        <v>30</v>
      </c>
      <c r="B7" s="1">
        <f t="shared" ref="B7:B70" si="5">C6</f>
        <v>0</v>
      </c>
      <c r="I7" s="1" t="e">
        <f t="shared" ref="I7:I70" si="6">IF(C7="", NA(), (B7-C7)*1000/(A7-A6))</f>
        <v>#N/A</v>
      </c>
      <c r="J7" s="1" t="e">
        <f t="shared" si="0"/>
        <v>#N/A</v>
      </c>
      <c r="K7" s="1" t="e">
        <f t="shared" ref="K7:K70" si="7">IF(I7="","", 100*_xlfn.STDEV.P(I6:I7)/AVERAGE(I6:I7))</f>
        <v>#N/A</v>
      </c>
      <c r="L7" s="8" t="e" cm="1">
        <f t="array" ref="L7">IF(I7="","", IFERROR(((IF(I$5&lt;&gt;"", I$5*A$5, 0) + SUMPRODUCT(--(I$6:I7&lt;&gt;""), I$6:I7, (A$6:A7-A$5:A6)))/1000)/H$3, ""))</f>
        <v>#N/A</v>
      </c>
      <c r="M7" s="1">
        <f t="shared" ref="M7:M70" si="8">M6+10</f>
        <v>30</v>
      </c>
      <c r="N7" s="1">
        <f t="shared" ref="N7:N70" si="9">O6</f>
        <v>0</v>
      </c>
      <c r="U7" s="1" t="e">
        <f t="shared" ref="U7:U70" si="10">IF(O7="", NA(), (N7-O7)*1000/(M7-M6))</f>
        <v>#N/A</v>
      </c>
      <c r="V7" s="1" t="e">
        <f t="shared" si="1"/>
        <v>#N/A</v>
      </c>
      <c r="W7" s="1" t="e">
        <f t="shared" ref="W7:W70" si="11">IF(U7="","", 100*_xlfn.STDEV.P(U6:U7)/AVERAGE(U6:U7))</f>
        <v>#N/A</v>
      </c>
      <c r="X7" s="8" t="e" cm="1">
        <f t="array" ref="X7">IF(U7="","", IFERROR(((IF(U$5&lt;&gt;"", U$5*M$5, 0) + SUMPRODUCT(--(U$6:U7&lt;&gt;""), U$6:U7, (M$6:M7-M$5:M6)))/1000)/T$3, ""))</f>
        <v>#N/A</v>
      </c>
      <c r="Y7" s="1">
        <f t="shared" ref="Y7:Y70" si="12">Y6+10</f>
        <v>30</v>
      </c>
      <c r="Z7" s="1">
        <f t="shared" ref="Z7:Z70" si="13">AA6</f>
        <v>0</v>
      </c>
      <c r="AG7" s="1" t="e">
        <f t="shared" ref="AG7:AG70" si="14">IF(AA7="", NA(), (Z7-AA7)*1000/(Y7-Y6))</f>
        <v>#N/A</v>
      </c>
      <c r="AH7" s="1" t="e">
        <f t="shared" si="2"/>
        <v>#N/A</v>
      </c>
      <c r="AI7" s="1" t="e">
        <f t="shared" ref="AI7:AI70" si="15">IF(AG7="","", 100*_xlfn.STDEV.P(AG6:AG7)/AVERAGE(AG6:AG7))</f>
        <v>#N/A</v>
      </c>
      <c r="AJ7" s="8" t="e" cm="1">
        <f t="array" ref="AJ7">IF(AG7="","", IFERROR(((IF(AG$5&lt;&gt;"", AG$5*Y$5, 0) + SUMPRODUCT(--(AG$6:AG7&lt;&gt;""), AG$6:AG7, (Y$6:Y7-Y$5:Y6)))/1000)/AF$3, ""))</f>
        <v>#N/A</v>
      </c>
      <c r="AK7" s="1">
        <f t="shared" ref="AK7:AK70" si="16">AK6+10</f>
        <v>30</v>
      </c>
      <c r="AL7" s="1">
        <f t="shared" ref="AL7:AL70" si="17">AM6</f>
        <v>0</v>
      </c>
      <c r="AS7" s="1" t="e">
        <f t="shared" ref="AS7:AS70" si="18">IF(AM7="", NA(), (AL7-AM7)*1000/(AK7-AK6))</f>
        <v>#N/A</v>
      </c>
      <c r="AT7" s="1" t="e">
        <f t="shared" si="3"/>
        <v>#N/A</v>
      </c>
      <c r="AU7" s="1" t="e">
        <f t="shared" ref="AU7:AU70" si="19">IF(AS7="","", 100*_xlfn.STDEV.P(AS6:AS7)/AVERAGE(AS6:AS7))</f>
        <v>#N/A</v>
      </c>
      <c r="AV7" s="8" t="e" cm="1">
        <f t="array" ref="AV7">IF(AS7="","", IFERROR(((IF(AS$5&lt;&gt;"", AS$5*AK$5, 0) + SUMPRODUCT(--(AS$6:AS7&lt;&gt;""), AS$6:AS7, (AK$6:AK7-AK$5:AK6)))/1000)/AR$3, ""))</f>
        <v>#N/A</v>
      </c>
    </row>
    <row r="8" spans="1:48" x14ac:dyDescent="0.25">
      <c r="A8" s="1">
        <f t="shared" si="4"/>
        <v>40</v>
      </c>
      <c r="B8" s="1">
        <f t="shared" si="5"/>
        <v>0</v>
      </c>
      <c r="I8" s="1" t="e">
        <f t="shared" si="6"/>
        <v>#N/A</v>
      </c>
      <c r="J8" s="1" t="e">
        <f t="shared" si="0"/>
        <v>#N/A</v>
      </c>
      <c r="K8" s="1" t="e">
        <f t="shared" si="7"/>
        <v>#N/A</v>
      </c>
      <c r="L8" s="8" t="e" cm="1">
        <f t="array" ref="L8">IF(I8="","", IFERROR(((IF(I$5&lt;&gt;"", I$5*A$5, 0) + SUMPRODUCT(--(I$6:I8&lt;&gt;""), I$6:I8, (A$6:A8-A$5:A7)))/1000)/H$3, ""))</f>
        <v>#N/A</v>
      </c>
      <c r="M8" s="1">
        <f t="shared" si="8"/>
        <v>40</v>
      </c>
      <c r="N8" s="1">
        <f t="shared" si="9"/>
        <v>0</v>
      </c>
      <c r="U8" s="1" t="e">
        <f t="shared" si="10"/>
        <v>#N/A</v>
      </c>
      <c r="V8" s="1" t="e">
        <f t="shared" si="1"/>
        <v>#N/A</v>
      </c>
      <c r="W8" s="1" t="e">
        <f t="shared" si="11"/>
        <v>#N/A</v>
      </c>
      <c r="X8" s="8" t="e" cm="1">
        <f t="array" ref="X8">IF(U8="","", IFERROR(((IF(U$5&lt;&gt;"", U$5*M$5, 0) + SUMPRODUCT(--(U$6:U8&lt;&gt;""), U$6:U8, (M$6:M8-M$5:M7)))/1000)/T$3, ""))</f>
        <v>#N/A</v>
      </c>
      <c r="Y8" s="1">
        <f t="shared" si="12"/>
        <v>40</v>
      </c>
      <c r="Z8" s="1">
        <f t="shared" si="13"/>
        <v>0</v>
      </c>
      <c r="AG8" s="1" t="e">
        <f t="shared" si="14"/>
        <v>#N/A</v>
      </c>
      <c r="AH8" s="1" t="e">
        <f t="shared" si="2"/>
        <v>#N/A</v>
      </c>
      <c r="AI8" s="1" t="e">
        <f t="shared" si="15"/>
        <v>#N/A</v>
      </c>
      <c r="AJ8" s="8" t="e" cm="1">
        <f t="array" ref="AJ8">IF(AG8="","", IFERROR(((IF(AG$5&lt;&gt;"", AG$5*Y$5, 0) + SUMPRODUCT(--(AG$6:AG8&lt;&gt;""), AG$6:AG8, (Y$6:Y8-Y$5:Y7)))/1000)/AF$3, ""))</f>
        <v>#N/A</v>
      </c>
      <c r="AK8" s="1">
        <f t="shared" si="16"/>
        <v>40</v>
      </c>
      <c r="AL8" s="1">
        <f t="shared" si="17"/>
        <v>0</v>
      </c>
      <c r="AS8" s="1" t="e">
        <f t="shared" si="18"/>
        <v>#N/A</v>
      </c>
      <c r="AT8" s="1" t="e">
        <f t="shared" si="3"/>
        <v>#N/A</v>
      </c>
      <c r="AU8" s="1" t="e">
        <f t="shared" si="19"/>
        <v>#N/A</v>
      </c>
      <c r="AV8" s="8" t="e" cm="1">
        <f t="array" ref="AV8">IF(AS8="","", IFERROR(((IF(AS$5&lt;&gt;"", AS$5*AK$5, 0) + SUMPRODUCT(--(AS$6:AS8&lt;&gt;""), AS$6:AS8, (AK$6:AK8-AK$5:AK7)))/1000)/AR$3, ""))</f>
        <v>#N/A</v>
      </c>
    </row>
    <row r="9" spans="1:48" x14ac:dyDescent="0.25">
      <c r="A9" s="1">
        <f t="shared" si="4"/>
        <v>50</v>
      </c>
      <c r="B9" s="1">
        <f t="shared" si="5"/>
        <v>0</v>
      </c>
      <c r="I9" s="1" t="e">
        <f t="shared" si="6"/>
        <v>#N/A</v>
      </c>
      <c r="J9" s="1" t="e">
        <f t="shared" si="0"/>
        <v>#N/A</v>
      </c>
      <c r="K9" s="1" t="e">
        <f t="shared" si="7"/>
        <v>#N/A</v>
      </c>
      <c r="L9" s="8" t="e" cm="1">
        <f t="array" ref="L9">IF(I9="","", IFERROR(((IF(I$5&lt;&gt;"", I$5*A$5, 0) + SUMPRODUCT(--(I$6:I9&lt;&gt;""), I$6:I9, (A$6:A9-A$5:A8)))/1000)/H$3, ""))</f>
        <v>#N/A</v>
      </c>
      <c r="M9" s="1">
        <f t="shared" si="8"/>
        <v>50</v>
      </c>
      <c r="N9" s="1">
        <f t="shared" si="9"/>
        <v>0</v>
      </c>
      <c r="U9" s="1" t="e">
        <f t="shared" si="10"/>
        <v>#N/A</v>
      </c>
      <c r="V9" s="1" t="e">
        <f t="shared" si="1"/>
        <v>#N/A</v>
      </c>
      <c r="W9" s="1" t="e">
        <f t="shared" si="11"/>
        <v>#N/A</v>
      </c>
      <c r="X9" s="8" t="e" cm="1">
        <f t="array" ref="X9">IF(U9="","", IFERROR(((IF(U$5&lt;&gt;"", U$5*M$5, 0) + SUMPRODUCT(--(U$6:U9&lt;&gt;""), U$6:U9, (M$6:M9-M$5:M8)))/1000)/T$3, ""))</f>
        <v>#N/A</v>
      </c>
      <c r="Y9" s="1">
        <f t="shared" si="12"/>
        <v>50</v>
      </c>
      <c r="Z9" s="1">
        <f t="shared" si="13"/>
        <v>0</v>
      </c>
      <c r="AG9" s="1" t="e">
        <f t="shared" si="14"/>
        <v>#N/A</v>
      </c>
      <c r="AH9" s="1" t="e">
        <f t="shared" si="2"/>
        <v>#N/A</v>
      </c>
      <c r="AI9" s="1" t="e">
        <f t="shared" si="15"/>
        <v>#N/A</v>
      </c>
      <c r="AJ9" s="8" t="e" cm="1">
        <f t="array" ref="AJ9">IF(AG9="","", IFERROR(((IF(AG$5&lt;&gt;"", AG$5*Y$5, 0) + SUMPRODUCT(--(AG$6:AG9&lt;&gt;""), AG$6:AG9, (Y$6:Y9-Y$5:Y8)))/1000)/AF$3, ""))</f>
        <v>#N/A</v>
      </c>
      <c r="AK9" s="1">
        <f t="shared" si="16"/>
        <v>50</v>
      </c>
      <c r="AL9" s="1">
        <f t="shared" si="17"/>
        <v>0</v>
      </c>
      <c r="AS9" s="1" t="e">
        <f t="shared" si="18"/>
        <v>#N/A</v>
      </c>
      <c r="AT9" s="1" t="e">
        <f t="shared" si="3"/>
        <v>#N/A</v>
      </c>
      <c r="AU9" s="1" t="e">
        <f t="shared" si="19"/>
        <v>#N/A</v>
      </c>
      <c r="AV9" s="8" t="e" cm="1">
        <f t="array" ref="AV9">IF(AS9="","", IFERROR(((IF(AS$5&lt;&gt;"", AS$5*AK$5, 0) + SUMPRODUCT(--(AS$6:AS9&lt;&gt;""), AS$6:AS9, (AK$6:AK9-AK$5:AK8)))/1000)/AR$3, ""))</f>
        <v>#N/A</v>
      </c>
    </row>
    <row r="10" spans="1:48" x14ac:dyDescent="0.25">
      <c r="A10" s="1">
        <f t="shared" si="4"/>
        <v>60</v>
      </c>
      <c r="B10" s="1">
        <f t="shared" si="5"/>
        <v>0</v>
      </c>
      <c r="I10" s="1" t="e">
        <f t="shared" si="6"/>
        <v>#N/A</v>
      </c>
      <c r="J10" s="1" t="e">
        <f t="shared" si="0"/>
        <v>#N/A</v>
      </c>
      <c r="K10" s="1" t="e">
        <f t="shared" si="7"/>
        <v>#N/A</v>
      </c>
      <c r="L10" s="8" t="e" cm="1">
        <f t="array" ref="L10">IF(I10="","", IFERROR(((IF(I$5&lt;&gt;"", I$5*A$5, 0) + SUMPRODUCT(--(I$6:I10&lt;&gt;""), I$6:I10, (A$6:A10-A$5:A9)))/1000)/H$3, ""))</f>
        <v>#N/A</v>
      </c>
      <c r="M10" s="1">
        <f t="shared" si="8"/>
        <v>60</v>
      </c>
      <c r="N10" s="1">
        <f t="shared" si="9"/>
        <v>0</v>
      </c>
      <c r="U10" s="1" t="e">
        <f t="shared" si="10"/>
        <v>#N/A</v>
      </c>
      <c r="V10" s="1" t="e">
        <f t="shared" si="1"/>
        <v>#N/A</v>
      </c>
      <c r="W10" s="1" t="e">
        <f t="shared" si="11"/>
        <v>#N/A</v>
      </c>
      <c r="X10" s="8" t="e" cm="1">
        <f t="array" ref="X10">IF(U10="","", IFERROR(((IF(U$5&lt;&gt;"", U$5*M$5, 0) + SUMPRODUCT(--(U$6:U10&lt;&gt;""), U$6:U10, (M$6:M10-M$5:M9)))/1000)/T$3, ""))</f>
        <v>#N/A</v>
      </c>
      <c r="Y10" s="1">
        <f t="shared" si="12"/>
        <v>60</v>
      </c>
      <c r="Z10" s="1">
        <f t="shared" si="13"/>
        <v>0</v>
      </c>
      <c r="AG10" s="1" t="e">
        <f t="shared" si="14"/>
        <v>#N/A</v>
      </c>
      <c r="AH10" s="1" t="e">
        <f t="shared" si="2"/>
        <v>#N/A</v>
      </c>
      <c r="AI10" s="1" t="e">
        <f t="shared" si="15"/>
        <v>#N/A</v>
      </c>
      <c r="AJ10" s="8" t="e" cm="1">
        <f t="array" ref="AJ10">IF(AG10="","", IFERROR(((IF(AG$5&lt;&gt;"", AG$5*Y$5, 0) + SUMPRODUCT(--(AG$6:AG10&lt;&gt;""), AG$6:AG10, (Y$6:Y10-Y$5:Y9)))/1000)/AF$3, ""))</f>
        <v>#N/A</v>
      </c>
      <c r="AK10" s="1">
        <f t="shared" si="16"/>
        <v>60</v>
      </c>
      <c r="AL10" s="1">
        <f t="shared" si="17"/>
        <v>0</v>
      </c>
      <c r="AS10" s="1" t="e">
        <f t="shared" si="18"/>
        <v>#N/A</v>
      </c>
      <c r="AT10" s="1" t="e">
        <f t="shared" si="3"/>
        <v>#N/A</v>
      </c>
      <c r="AU10" s="1" t="e">
        <f t="shared" si="19"/>
        <v>#N/A</v>
      </c>
      <c r="AV10" s="8" t="e" cm="1">
        <f t="array" ref="AV10">IF(AS10="","", IFERROR(((IF(AS$5&lt;&gt;"", AS$5*AK$5, 0) + SUMPRODUCT(--(AS$6:AS10&lt;&gt;""), AS$6:AS10, (AK$6:AK10-AK$5:AK9)))/1000)/AR$3, ""))</f>
        <v>#N/A</v>
      </c>
    </row>
    <row r="11" spans="1:48" x14ac:dyDescent="0.25">
      <c r="A11" s="1">
        <f t="shared" si="4"/>
        <v>70</v>
      </c>
      <c r="B11" s="1">
        <f t="shared" si="5"/>
        <v>0</v>
      </c>
      <c r="I11" s="1" t="e">
        <f t="shared" si="6"/>
        <v>#N/A</v>
      </c>
      <c r="J11" s="1" t="e">
        <f t="shared" si="0"/>
        <v>#N/A</v>
      </c>
      <c r="K11" s="1" t="e">
        <f t="shared" si="7"/>
        <v>#N/A</v>
      </c>
      <c r="L11" s="8" t="e" cm="1">
        <f t="array" ref="L11">IF(I11="","", IFERROR(((IF(I$5&lt;&gt;"", I$5*A$5, 0) + SUMPRODUCT(--(I$6:I11&lt;&gt;""), I$6:I11, (A$6:A11-A$5:A10)))/1000)/H$3, ""))</f>
        <v>#N/A</v>
      </c>
      <c r="M11" s="1">
        <f t="shared" si="8"/>
        <v>70</v>
      </c>
      <c r="N11" s="1">
        <f t="shared" si="9"/>
        <v>0</v>
      </c>
      <c r="U11" s="1" t="e">
        <f t="shared" si="10"/>
        <v>#N/A</v>
      </c>
      <c r="V11" s="1" t="e">
        <f t="shared" si="1"/>
        <v>#N/A</v>
      </c>
      <c r="W11" s="1" t="e">
        <f t="shared" si="11"/>
        <v>#N/A</v>
      </c>
      <c r="X11" s="8" t="e" cm="1">
        <f t="array" ref="X11">IF(U11="","", IFERROR(((IF(U$5&lt;&gt;"", U$5*M$5, 0) + SUMPRODUCT(--(U$6:U11&lt;&gt;""), U$6:U11, (M$6:M11-M$5:M10)))/1000)/T$3, ""))</f>
        <v>#N/A</v>
      </c>
      <c r="Y11" s="1">
        <f t="shared" si="12"/>
        <v>70</v>
      </c>
      <c r="Z11" s="1">
        <f t="shared" si="13"/>
        <v>0</v>
      </c>
      <c r="AG11" s="1" t="e">
        <f t="shared" si="14"/>
        <v>#N/A</v>
      </c>
      <c r="AH11" s="1" t="e">
        <f t="shared" si="2"/>
        <v>#N/A</v>
      </c>
      <c r="AI11" s="1" t="e">
        <f t="shared" si="15"/>
        <v>#N/A</v>
      </c>
      <c r="AJ11" s="8" t="e" cm="1">
        <f t="array" ref="AJ11">IF(AG11="","", IFERROR(((IF(AG$5&lt;&gt;"", AG$5*Y$5, 0) + SUMPRODUCT(--(AG$6:AG11&lt;&gt;""), AG$6:AG11, (Y$6:Y11-Y$5:Y10)))/1000)/AF$3, ""))</f>
        <v>#N/A</v>
      </c>
      <c r="AK11" s="1">
        <f t="shared" si="16"/>
        <v>70</v>
      </c>
      <c r="AL11" s="1">
        <f t="shared" si="17"/>
        <v>0</v>
      </c>
      <c r="AS11" s="1" t="e">
        <f t="shared" si="18"/>
        <v>#N/A</v>
      </c>
      <c r="AT11" s="1" t="e">
        <f t="shared" si="3"/>
        <v>#N/A</v>
      </c>
      <c r="AU11" s="1" t="e">
        <f t="shared" si="19"/>
        <v>#N/A</v>
      </c>
      <c r="AV11" s="8" t="e" cm="1">
        <f t="array" ref="AV11">IF(AS11="","", IFERROR(((IF(AS$5&lt;&gt;"", AS$5*AK$5, 0) + SUMPRODUCT(--(AS$6:AS11&lt;&gt;""), AS$6:AS11, (AK$6:AK11-AK$5:AK10)))/1000)/AR$3, ""))</f>
        <v>#N/A</v>
      </c>
    </row>
    <row r="12" spans="1:48" x14ac:dyDescent="0.25">
      <c r="A12" s="1">
        <f t="shared" si="4"/>
        <v>80</v>
      </c>
      <c r="B12" s="1">
        <f t="shared" si="5"/>
        <v>0</v>
      </c>
      <c r="I12" s="1" t="e">
        <f t="shared" si="6"/>
        <v>#N/A</v>
      </c>
      <c r="J12" s="1" t="e">
        <f t="shared" si="0"/>
        <v>#N/A</v>
      </c>
      <c r="K12" s="1" t="e">
        <f t="shared" si="7"/>
        <v>#N/A</v>
      </c>
      <c r="L12" s="8" t="e" cm="1">
        <f t="array" ref="L12">IF(I12="","", IFERROR(((IF(I$5&lt;&gt;"", I$5*A$5, 0) + SUMPRODUCT(--(I$6:I12&lt;&gt;""), I$6:I12, (A$6:A12-A$5:A11)))/1000)/H$3, ""))</f>
        <v>#N/A</v>
      </c>
      <c r="M12" s="1">
        <f t="shared" si="8"/>
        <v>80</v>
      </c>
      <c r="N12" s="1">
        <f t="shared" si="9"/>
        <v>0</v>
      </c>
      <c r="U12" s="1" t="e">
        <f t="shared" si="10"/>
        <v>#N/A</v>
      </c>
      <c r="V12" s="1" t="e">
        <f t="shared" si="1"/>
        <v>#N/A</v>
      </c>
      <c r="W12" s="1" t="e">
        <f t="shared" si="11"/>
        <v>#N/A</v>
      </c>
      <c r="X12" s="8" t="e" cm="1">
        <f t="array" ref="X12">IF(U12="","", IFERROR(((IF(U$5&lt;&gt;"", U$5*M$5, 0) + SUMPRODUCT(--(U$6:U12&lt;&gt;""), U$6:U12, (M$6:M12-M$5:M11)))/1000)/T$3, ""))</f>
        <v>#N/A</v>
      </c>
      <c r="Y12" s="1">
        <f t="shared" si="12"/>
        <v>80</v>
      </c>
      <c r="Z12" s="1">
        <f t="shared" si="13"/>
        <v>0</v>
      </c>
      <c r="AG12" s="1" t="e">
        <f t="shared" si="14"/>
        <v>#N/A</v>
      </c>
      <c r="AH12" s="1" t="e">
        <f t="shared" si="2"/>
        <v>#N/A</v>
      </c>
      <c r="AI12" s="1" t="e">
        <f t="shared" si="15"/>
        <v>#N/A</v>
      </c>
      <c r="AJ12" s="8" t="e" cm="1">
        <f t="array" ref="AJ12">IF(AG12="","", IFERROR(((IF(AG$5&lt;&gt;"", AG$5*Y$5, 0) + SUMPRODUCT(--(AG$6:AG12&lt;&gt;""), AG$6:AG12, (Y$6:Y12-Y$5:Y11)))/1000)/AF$3, ""))</f>
        <v>#N/A</v>
      </c>
      <c r="AK12" s="1">
        <f t="shared" si="16"/>
        <v>80</v>
      </c>
      <c r="AL12" s="1">
        <f t="shared" si="17"/>
        <v>0</v>
      </c>
      <c r="AS12" s="1" t="e">
        <f t="shared" si="18"/>
        <v>#N/A</v>
      </c>
      <c r="AT12" s="1" t="e">
        <f t="shared" si="3"/>
        <v>#N/A</v>
      </c>
      <c r="AU12" s="1" t="e">
        <f t="shared" si="19"/>
        <v>#N/A</v>
      </c>
      <c r="AV12" s="8" t="e" cm="1">
        <f t="array" ref="AV12">IF(AS12="","", IFERROR(((IF(AS$5&lt;&gt;"", AS$5*AK$5, 0) + SUMPRODUCT(--(AS$6:AS12&lt;&gt;""), AS$6:AS12, (AK$6:AK12-AK$5:AK11)))/1000)/AR$3, ""))</f>
        <v>#N/A</v>
      </c>
    </row>
    <row r="13" spans="1:48" x14ac:dyDescent="0.25">
      <c r="A13" s="1">
        <f t="shared" si="4"/>
        <v>90</v>
      </c>
      <c r="B13" s="1">
        <f t="shared" si="5"/>
        <v>0</v>
      </c>
      <c r="I13" s="1" t="e">
        <f t="shared" si="6"/>
        <v>#N/A</v>
      </c>
      <c r="J13" s="1" t="e">
        <f t="shared" si="0"/>
        <v>#N/A</v>
      </c>
      <c r="K13" s="1" t="e">
        <f t="shared" si="7"/>
        <v>#N/A</v>
      </c>
      <c r="L13" s="8" t="e" cm="1">
        <f t="array" ref="L13">IF(I13="","", IFERROR(((IF(I$5&lt;&gt;"", I$5*A$5, 0) + SUMPRODUCT(--(I$6:I13&lt;&gt;""), I$6:I13, (A$6:A13-A$5:A12)))/1000)/H$3, ""))</f>
        <v>#N/A</v>
      </c>
      <c r="M13" s="1">
        <f t="shared" si="8"/>
        <v>90</v>
      </c>
      <c r="N13" s="1">
        <f t="shared" si="9"/>
        <v>0</v>
      </c>
      <c r="U13" s="1" t="e">
        <f t="shared" si="10"/>
        <v>#N/A</v>
      </c>
      <c r="V13" s="1" t="e">
        <f t="shared" si="1"/>
        <v>#N/A</v>
      </c>
      <c r="W13" s="1" t="e">
        <f t="shared" si="11"/>
        <v>#N/A</v>
      </c>
      <c r="X13" s="8" t="e" cm="1">
        <f t="array" ref="X13">IF(U13="","", IFERROR(((IF(U$5&lt;&gt;"", U$5*M$5, 0) + SUMPRODUCT(--(U$6:U13&lt;&gt;""), U$6:U13, (M$6:M13-M$5:M12)))/1000)/T$3, ""))</f>
        <v>#N/A</v>
      </c>
      <c r="Y13" s="1">
        <f t="shared" si="12"/>
        <v>90</v>
      </c>
      <c r="Z13" s="1">
        <f t="shared" si="13"/>
        <v>0</v>
      </c>
      <c r="AG13" s="1" t="e">
        <f t="shared" si="14"/>
        <v>#N/A</v>
      </c>
      <c r="AH13" s="1" t="e">
        <f t="shared" si="2"/>
        <v>#N/A</v>
      </c>
      <c r="AI13" s="1" t="e">
        <f t="shared" si="15"/>
        <v>#N/A</v>
      </c>
      <c r="AJ13" s="8" t="e" cm="1">
        <f t="array" ref="AJ13">IF(AG13="","", IFERROR(((IF(AG$5&lt;&gt;"", AG$5*Y$5, 0) + SUMPRODUCT(--(AG$6:AG13&lt;&gt;""), AG$6:AG13, (Y$6:Y13-Y$5:Y12)))/1000)/AF$3, ""))</f>
        <v>#N/A</v>
      </c>
      <c r="AK13" s="1">
        <f t="shared" si="16"/>
        <v>90</v>
      </c>
      <c r="AL13" s="1">
        <f t="shared" si="17"/>
        <v>0</v>
      </c>
      <c r="AS13" s="1" t="e">
        <f t="shared" si="18"/>
        <v>#N/A</v>
      </c>
      <c r="AT13" s="1" t="e">
        <f t="shared" si="3"/>
        <v>#N/A</v>
      </c>
      <c r="AU13" s="1" t="e">
        <f t="shared" si="19"/>
        <v>#N/A</v>
      </c>
      <c r="AV13" s="8" t="e" cm="1">
        <f t="array" ref="AV13">IF(AS13="","", IFERROR(((IF(AS$5&lt;&gt;"", AS$5*AK$5, 0) + SUMPRODUCT(--(AS$6:AS13&lt;&gt;""), AS$6:AS13, (AK$6:AK13-AK$5:AK12)))/1000)/AR$3, ""))</f>
        <v>#N/A</v>
      </c>
    </row>
    <row r="14" spans="1:48" x14ac:dyDescent="0.25">
      <c r="A14" s="1">
        <f t="shared" si="4"/>
        <v>100</v>
      </c>
      <c r="B14" s="1">
        <f t="shared" si="5"/>
        <v>0</v>
      </c>
      <c r="I14" s="1" t="e">
        <f t="shared" si="6"/>
        <v>#N/A</v>
      </c>
      <c r="J14" s="1" t="e">
        <f t="shared" si="0"/>
        <v>#N/A</v>
      </c>
      <c r="K14" s="1" t="e">
        <f t="shared" si="7"/>
        <v>#N/A</v>
      </c>
      <c r="L14" s="8" t="e" cm="1">
        <f t="array" ref="L14">IF(I14="","", IFERROR(((IF(I$5&lt;&gt;"", I$5*A$5, 0) + SUMPRODUCT(--(I$6:I14&lt;&gt;""), I$6:I14, (A$6:A14-A$5:A13)))/1000)/H$3, ""))</f>
        <v>#N/A</v>
      </c>
      <c r="M14" s="1">
        <f t="shared" si="8"/>
        <v>100</v>
      </c>
      <c r="N14" s="1">
        <f t="shared" si="9"/>
        <v>0</v>
      </c>
      <c r="U14" s="1" t="e">
        <f t="shared" si="10"/>
        <v>#N/A</v>
      </c>
      <c r="V14" s="1" t="e">
        <f t="shared" si="1"/>
        <v>#N/A</v>
      </c>
      <c r="W14" s="1" t="e">
        <f t="shared" si="11"/>
        <v>#N/A</v>
      </c>
      <c r="X14" s="8" t="e" cm="1">
        <f t="array" ref="X14">IF(U14="","", IFERROR(((IF(U$5&lt;&gt;"", U$5*M$5, 0) + SUMPRODUCT(--(U$6:U14&lt;&gt;""), U$6:U14, (M$6:M14-M$5:M13)))/1000)/T$3, ""))</f>
        <v>#N/A</v>
      </c>
      <c r="Y14" s="1">
        <f t="shared" si="12"/>
        <v>100</v>
      </c>
      <c r="Z14" s="1">
        <f t="shared" si="13"/>
        <v>0</v>
      </c>
      <c r="AG14" s="1" t="e">
        <f t="shared" si="14"/>
        <v>#N/A</v>
      </c>
      <c r="AH14" s="1" t="e">
        <f t="shared" si="2"/>
        <v>#N/A</v>
      </c>
      <c r="AI14" s="1" t="e">
        <f t="shared" si="15"/>
        <v>#N/A</v>
      </c>
      <c r="AJ14" s="8" t="e" cm="1">
        <f t="array" ref="AJ14">IF(AG14="","", IFERROR(((IF(AG$5&lt;&gt;"", AG$5*Y$5, 0) + SUMPRODUCT(--(AG$6:AG14&lt;&gt;""), AG$6:AG14, (Y$6:Y14-Y$5:Y13)))/1000)/AF$3, ""))</f>
        <v>#N/A</v>
      </c>
      <c r="AK14" s="1">
        <f t="shared" si="16"/>
        <v>100</v>
      </c>
      <c r="AL14" s="1">
        <f t="shared" si="17"/>
        <v>0</v>
      </c>
      <c r="AS14" s="1" t="e">
        <f t="shared" si="18"/>
        <v>#N/A</v>
      </c>
      <c r="AT14" s="1" t="e">
        <f t="shared" si="3"/>
        <v>#N/A</v>
      </c>
      <c r="AU14" s="1" t="e">
        <f t="shared" si="19"/>
        <v>#N/A</v>
      </c>
      <c r="AV14" s="8" t="e" cm="1">
        <f t="array" ref="AV14">IF(AS14="","", IFERROR(((IF(AS$5&lt;&gt;"", AS$5*AK$5, 0) + SUMPRODUCT(--(AS$6:AS14&lt;&gt;""), AS$6:AS14, (AK$6:AK14-AK$5:AK13)))/1000)/AR$3, ""))</f>
        <v>#N/A</v>
      </c>
    </row>
    <row r="15" spans="1:48" x14ac:dyDescent="0.25">
      <c r="A15" s="1">
        <f t="shared" si="4"/>
        <v>110</v>
      </c>
      <c r="B15" s="1">
        <f t="shared" si="5"/>
        <v>0</v>
      </c>
      <c r="I15" s="1" t="e">
        <f t="shared" si="6"/>
        <v>#N/A</v>
      </c>
      <c r="J15" s="1" t="e">
        <f t="shared" si="0"/>
        <v>#N/A</v>
      </c>
      <c r="K15" s="1" t="e">
        <f t="shared" si="7"/>
        <v>#N/A</v>
      </c>
      <c r="L15" s="8" t="e" cm="1">
        <f t="array" ref="L15">IF(I15="","", IFERROR(((IF(I$5&lt;&gt;"", I$5*A$5, 0) + SUMPRODUCT(--(I$6:I15&lt;&gt;""), I$6:I15, (A$6:A15-A$5:A14)))/1000)/H$3, ""))</f>
        <v>#N/A</v>
      </c>
      <c r="M15" s="1">
        <f t="shared" si="8"/>
        <v>110</v>
      </c>
      <c r="N15" s="1">
        <f t="shared" si="9"/>
        <v>0</v>
      </c>
      <c r="U15" s="1" t="e">
        <f t="shared" si="10"/>
        <v>#N/A</v>
      </c>
      <c r="V15" s="1" t="e">
        <f t="shared" si="1"/>
        <v>#N/A</v>
      </c>
      <c r="W15" s="1" t="e">
        <f t="shared" si="11"/>
        <v>#N/A</v>
      </c>
      <c r="X15" s="8" t="e" cm="1">
        <f t="array" ref="X15">IF(U15="","", IFERROR(((IF(U$5&lt;&gt;"", U$5*M$5, 0) + SUMPRODUCT(--(U$6:U15&lt;&gt;""), U$6:U15, (M$6:M15-M$5:M14)))/1000)/T$3, ""))</f>
        <v>#N/A</v>
      </c>
      <c r="Y15" s="1">
        <f t="shared" si="12"/>
        <v>110</v>
      </c>
      <c r="Z15" s="1">
        <f t="shared" si="13"/>
        <v>0</v>
      </c>
      <c r="AG15" s="1" t="e">
        <f t="shared" si="14"/>
        <v>#N/A</v>
      </c>
      <c r="AH15" s="1" t="e">
        <f t="shared" si="2"/>
        <v>#N/A</v>
      </c>
      <c r="AI15" s="1" t="e">
        <f t="shared" si="15"/>
        <v>#N/A</v>
      </c>
      <c r="AJ15" s="8" t="e" cm="1">
        <f t="array" ref="AJ15">IF(AG15="","", IFERROR(((IF(AG$5&lt;&gt;"", AG$5*Y$5, 0) + SUMPRODUCT(--(AG$6:AG15&lt;&gt;""), AG$6:AG15, (Y$6:Y15-Y$5:Y14)))/1000)/AF$3, ""))</f>
        <v>#N/A</v>
      </c>
      <c r="AK15" s="1">
        <f t="shared" si="16"/>
        <v>110</v>
      </c>
      <c r="AL15" s="1">
        <f t="shared" si="17"/>
        <v>0</v>
      </c>
      <c r="AS15" s="1" t="e">
        <f t="shared" si="18"/>
        <v>#N/A</v>
      </c>
      <c r="AT15" s="1" t="e">
        <f t="shared" si="3"/>
        <v>#N/A</v>
      </c>
      <c r="AU15" s="1" t="e">
        <f t="shared" si="19"/>
        <v>#N/A</v>
      </c>
      <c r="AV15" s="8" t="e" cm="1">
        <f t="array" ref="AV15">IF(AS15="","", IFERROR(((IF(AS$5&lt;&gt;"", AS$5*AK$5, 0) + SUMPRODUCT(--(AS$6:AS15&lt;&gt;""), AS$6:AS15, (AK$6:AK15-AK$5:AK14)))/1000)/AR$3, ""))</f>
        <v>#N/A</v>
      </c>
    </row>
    <row r="16" spans="1:48" x14ac:dyDescent="0.25">
      <c r="A16" s="1">
        <f t="shared" si="4"/>
        <v>120</v>
      </c>
      <c r="B16" s="1">
        <f t="shared" si="5"/>
        <v>0</v>
      </c>
      <c r="I16" s="1" t="e">
        <f t="shared" si="6"/>
        <v>#N/A</v>
      </c>
      <c r="J16" s="1" t="e">
        <f t="shared" si="0"/>
        <v>#N/A</v>
      </c>
      <c r="K16" s="1" t="e">
        <f t="shared" si="7"/>
        <v>#N/A</v>
      </c>
      <c r="L16" s="8" t="e" cm="1">
        <f t="array" ref="L16">IF(I16="","", IFERROR(((IF(I$5&lt;&gt;"", I$5*A$5, 0) + SUMPRODUCT(--(I$6:I16&lt;&gt;""), I$6:I16, (A$6:A16-A$5:A15)))/1000)/H$3, ""))</f>
        <v>#N/A</v>
      </c>
      <c r="M16" s="1">
        <f t="shared" si="8"/>
        <v>120</v>
      </c>
      <c r="N16" s="1">
        <f t="shared" si="9"/>
        <v>0</v>
      </c>
      <c r="U16" s="1" t="e">
        <f t="shared" si="10"/>
        <v>#N/A</v>
      </c>
      <c r="V16" s="1" t="e">
        <f t="shared" si="1"/>
        <v>#N/A</v>
      </c>
      <c r="W16" s="1" t="e">
        <f t="shared" si="11"/>
        <v>#N/A</v>
      </c>
      <c r="X16" s="8" t="e" cm="1">
        <f t="array" ref="X16">IF(U16="","", IFERROR(((IF(U$5&lt;&gt;"", U$5*M$5, 0) + SUMPRODUCT(--(U$6:U16&lt;&gt;""), U$6:U16, (M$6:M16-M$5:M15)))/1000)/T$3, ""))</f>
        <v>#N/A</v>
      </c>
      <c r="Y16" s="1">
        <f t="shared" si="12"/>
        <v>120</v>
      </c>
      <c r="Z16" s="1">
        <f t="shared" si="13"/>
        <v>0</v>
      </c>
      <c r="AG16" s="1" t="e">
        <f t="shared" si="14"/>
        <v>#N/A</v>
      </c>
      <c r="AH16" s="1" t="e">
        <f t="shared" si="2"/>
        <v>#N/A</v>
      </c>
      <c r="AI16" s="1" t="e">
        <f t="shared" si="15"/>
        <v>#N/A</v>
      </c>
      <c r="AJ16" s="8" t="e" cm="1">
        <f t="array" ref="AJ16">IF(AG16="","", IFERROR(((IF(AG$5&lt;&gt;"", AG$5*Y$5, 0) + SUMPRODUCT(--(AG$6:AG16&lt;&gt;""), AG$6:AG16, (Y$6:Y16-Y$5:Y15)))/1000)/AF$3, ""))</f>
        <v>#N/A</v>
      </c>
      <c r="AK16" s="1">
        <f t="shared" si="16"/>
        <v>120</v>
      </c>
      <c r="AL16" s="1">
        <f t="shared" si="17"/>
        <v>0</v>
      </c>
      <c r="AS16" s="1" t="e">
        <f t="shared" si="18"/>
        <v>#N/A</v>
      </c>
      <c r="AT16" s="1" t="e">
        <f t="shared" si="3"/>
        <v>#N/A</v>
      </c>
      <c r="AU16" s="1" t="e">
        <f t="shared" si="19"/>
        <v>#N/A</v>
      </c>
      <c r="AV16" s="8" t="e" cm="1">
        <f t="array" ref="AV16">IF(AS16="","", IFERROR(((IF(AS$5&lt;&gt;"", AS$5*AK$5, 0) + SUMPRODUCT(--(AS$6:AS16&lt;&gt;""), AS$6:AS16, (AK$6:AK16-AK$5:AK15)))/1000)/AR$3, ""))</f>
        <v>#N/A</v>
      </c>
    </row>
    <row r="17" spans="1:48" x14ac:dyDescent="0.25">
      <c r="A17" s="1">
        <f t="shared" si="4"/>
        <v>130</v>
      </c>
      <c r="B17" s="1">
        <f t="shared" si="5"/>
        <v>0</v>
      </c>
      <c r="I17" s="1" t="e">
        <f t="shared" si="6"/>
        <v>#N/A</v>
      </c>
      <c r="J17" s="1" t="e">
        <f t="shared" si="0"/>
        <v>#N/A</v>
      </c>
      <c r="K17" s="1" t="e">
        <f t="shared" si="7"/>
        <v>#N/A</v>
      </c>
      <c r="L17" s="8" t="e" cm="1">
        <f t="array" ref="L17">IF(I17="","", IFERROR(((IF(I$5&lt;&gt;"", I$5*A$5, 0) + SUMPRODUCT(--(I$6:I17&lt;&gt;""), I$6:I17, (A$6:A17-A$5:A16)))/1000)/H$3, ""))</f>
        <v>#N/A</v>
      </c>
      <c r="M17" s="1">
        <f t="shared" si="8"/>
        <v>130</v>
      </c>
      <c r="N17" s="1">
        <f t="shared" si="9"/>
        <v>0</v>
      </c>
      <c r="U17" s="1" t="e">
        <f t="shared" si="10"/>
        <v>#N/A</v>
      </c>
      <c r="V17" s="1" t="e">
        <f t="shared" si="1"/>
        <v>#N/A</v>
      </c>
      <c r="W17" s="1" t="e">
        <f t="shared" si="11"/>
        <v>#N/A</v>
      </c>
      <c r="X17" s="8" t="e" cm="1">
        <f t="array" ref="X17">IF(U17="","", IFERROR(((IF(U$5&lt;&gt;"", U$5*M$5, 0) + SUMPRODUCT(--(U$6:U17&lt;&gt;""), U$6:U17, (M$6:M17-M$5:M16)))/1000)/T$3, ""))</f>
        <v>#N/A</v>
      </c>
      <c r="Y17" s="1">
        <f t="shared" si="12"/>
        <v>130</v>
      </c>
      <c r="Z17" s="1">
        <f t="shared" si="13"/>
        <v>0</v>
      </c>
      <c r="AG17" s="1" t="e">
        <f t="shared" si="14"/>
        <v>#N/A</v>
      </c>
      <c r="AH17" s="1" t="e">
        <f t="shared" si="2"/>
        <v>#N/A</v>
      </c>
      <c r="AI17" s="1" t="e">
        <f t="shared" si="15"/>
        <v>#N/A</v>
      </c>
      <c r="AJ17" s="8" t="e" cm="1">
        <f t="array" ref="AJ17">IF(AG17="","", IFERROR(((IF(AG$5&lt;&gt;"", AG$5*Y$5, 0) + SUMPRODUCT(--(AG$6:AG17&lt;&gt;""), AG$6:AG17, (Y$6:Y17-Y$5:Y16)))/1000)/AF$3, ""))</f>
        <v>#N/A</v>
      </c>
      <c r="AK17" s="1">
        <f t="shared" si="16"/>
        <v>130</v>
      </c>
      <c r="AL17" s="1">
        <f t="shared" si="17"/>
        <v>0</v>
      </c>
      <c r="AS17" s="1" t="e">
        <f t="shared" si="18"/>
        <v>#N/A</v>
      </c>
      <c r="AT17" s="1" t="e">
        <f t="shared" si="3"/>
        <v>#N/A</v>
      </c>
      <c r="AU17" s="1" t="e">
        <f t="shared" si="19"/>
        <v>#N/A</v>
      </c>
      <c r="AV17" s="8" t="e" cm="1">
        <f t="array" ref="AV17">IF(AS17="","", IFERROR(((IF(AS$5&lt;&gt;"", AS$5*AK$5, 0) + SUMPRODUCT(--(AS$6:AS17&lt;&gt;""), AS$6:AS17, (AK$6:AK17-AK$5:AK16)))/1000)/AR$3, ""))</f>
        <v>#N/A</v>
      </c>
    </row>
    <row r="18" spans="1:48" x14ac:dyDescent="0.25">
      <c r="A18" s="1">
        <f t="shared" si="4"/>
        <v>140</v>
      </c>
      <c r="B18" s="1">
        <f t="shared" si="5"/>
        <v>0</v>
      </c>
      <c r="I18" s="1" t="e">
        <f t="shared" si="6"/>
        <v>#N/A</v>
      </c>
      <c r="J18" s="1" t="e">
        <f t="shared" si="0"/>
        <v>#N/A</v>
      </c>
      <c r="K18" s="1" t="e">
        <f t="shared" si="7"/>
        <v>#N/A</v>
      </c>
      <c r="L18" s="8" t="e" cm="1">
        <f t="array" ref="L18">IF(I18="","", IFERROR(((IF(I$5&lt;&gt;"", I$5*A$5, 0) + SUMPRODUCT(--(I$6:I18&lt;&gt;""), I$6:I18, (A$6:A18-A$5:A17)))/1000)/H$3, ""))</f>
        <v>#N/A</v>
      </c>
      <c r="M18" s="1">
        <f t="shared" si="8"/>
        <v>140</v>
      </c>
      <c r="N18" s="1">
        <f t="shared" si="9"/>
        <v>0</v>
      </c>
      <c r="U18" s="1" t="e">
        <f t="shared" si="10"/>
        <v>#N/A</v>
      </c>
      <c r="V18" s="1" t="e">
        <f t="shared" si="1"/>
        <v>#N/A</v>
      </c>
      <c r="W18" s="1" t="e">
        <f t="shared" si="11"/>
        <v>#N/A</v>
      </c>
      <c r="X18" s="8" t="e" cm="1">
        <f t="array" ref="X18">IF(U18="","", IFERROR(((IF(U$5&lt;&gt;"", U$5*M$5, 0) + SUMPRODUCT(--(U$6:U18&lt;&gt;""), U$6:U18, (M$6:M18-M$5:M17)))/1000)/T$3, ""))</f>
        <v>#N/A</v>
      </c>
      <c r="Y18" s="1">
        <f t="shared" si="12"/>
        <v>140</v>
      </c>
      <c r="Z18" s="1">
        <f t="shared" si="13"/>
        <v>0</v>
      </c>
      <c r="AG18" s="1" t="e">
        <f t="shared" si="14"/>
        <v>#N/A</v>
      </c>
      <c r="AH18" s="1" t="e">
        <f t="shared" si="2"/>
        <v>#N/A</v>
      </c>
      <c r="AI18" s="1" t="e">
        <f t="shared" si="15"/>
        <v>#N/A</v>
      </c>
      <c r="AJ18" s="8" t="e" cm="1">
        <f t="array" ref="AJ18">IF(AG18="","", IFERROR(((IF(AG$5&lt;&gt;"", AG$5*Y$5, 0) + SUMPRODUCT(--(AG$6:AG18&lt;&gt;""), AG$6:AG18, (Y$6:Y18-Y$5:Y17)))/1000)/AF$3, ""))</f>
        <v>#N/A</v>
      </c>
      <c r="AK18" s="1">
        <f t="shared" si="16"/>
        <v>140</v>
      </c>
      <c r="AL18" s="1">
        <f t="shared" si="17"/>
        <v>0</v>
      </c>
      <c r="AS18" s="1" t="e">
        <f t="shared" si="18"/>
        <v>#N/A</v>
      </c>
      <c r="AT18" s="1" t="e">
        <f t="shared" si="3"/>
        <v>#N/A</v>
      </c>
      <c r="AU18" s="1" t="e">
        <f t="shared" si="19"/>
        <v>#N/A</v>
      </c>
      <c r="AV18" s="8" t="e" cm="1">
        <f t="array" ref="AV18">IF(AS18="","", IFERROR(((IF(AS$5&lt;&gt;"", AS$5*AK$5, 0) + SUMPRODUCT(--(AS$6:AS18&lt;&gt;""), AS$6:AS18, (AK$6:AK18-AK$5:AK17)))/1000)/AR$3, ""))</f>
        <v>#N/A</v>
      </c>
    </row>
    <row r="19" spans="1:48" x14ac:dyDescent="0.25">
      <c r="A19" s="1">
        <f t="shared" si="4"/>
        <v>150</v>
      </c>
      <c r="B19" s="1">
        <f t="shared" si="5"/>
        <v>0</v>
      </c>
      <c r="I19" s="1" t="e">
        <f t="shared" si="6"/>
        <v>#N/A</v>
      </c>
      <c r="J19" s="1" t="e">
        <f t="shared" si="0"/>
        <v>#N/A</v>
      </c>
      <c r="K19" s="1" t="e">
        <f t="shared" si="7"/>
        <v>#N/A</v>
      </c>
      <c r="L19" s="8" t="e" cm="1">
        <f t="array" ref="L19">IF(I19="","", IFERROR(((IF(I$5&lt;&gt;"", I$5*A$5, 0) + SUMPRODUCT(--(I$6:I19&lt;&gt;""), I$6:I19, (A$6:A19-A$5:A18)))/1000)/H$3, ""))</f>
        <v>#N/A</v>
      </c>
      <c r="M19" s="1">
        <f t="shared" si="8"/>
        <v>150</v>
      </c>
      <c r="N19" s="1">
        <f t="shared" si="9"/>
        <v>0</v>
      </c>
      <c r="U19" s="1" t="e">
        <f t="shared" si="10"/>
        <v>#N/A</v>
      </c>
      <c r="V19" s="1" t="e">
        <f t="shared" si="1"/>
        <v>#N/A</v>
      </c>
      <c r="W19" s="1" t="e">
        <f t="shared" si="11"/>
        <v>#N/A</v>
      </c>
      <c r="X19" s="8" t="e" cm="1">
        <f t="array" ref="X19">IF(U19="","", IFERROR(((IF(U$5&lt;&gt;"", U$5*M$5, 0) + SUMPRODUCT(--(U$6:U19&lt;&gt;""), U$6:U19, (M$6:M19-M$5:M18)))/1000)/T$3, ""))</f>
        <v>#N/A</v>
      </c>
      <c r="Y19" s="1">
        <f t="shared" si="12"/>
        <v>150</v>
      </c>
      <c r="Z19" s="1">
        <f t="shared" si="13"/>
        <v>0</v>
      </c>
      <c r="AG19" s="1" t="e">
        <f t="shared" si="14"/>
        <v>#N/A</v>
      </c>
      <c r="AH19" s="1" t="e">
        <f t="shared" si="2"/>
        <v>#N/A</v>
      </c>
      <c r="AI19" s="1" t="e">
        <f t="shared" si="15"/>
        <v>#N/A</v>
      </c>
      <c r="AJ19" s="8" t="e" cm="1">
        <f t="array" ref="AJ19">IF(AG19="","", IFERROR(((IF(AG$5&lt;&gt;"", AG$5*Y$5, 0) + SUMPRODUCT(--(AG$6:AG19&lt;&gt;""), AG$6:AG19, (Y$6:Y19-Y$5:Y18)))/1000)/AF$3, ""))</f>
        <v>#N/A</v>
      </c>
      <c r="AK19" s="1">
        <f t="shared" si="16"/>
        <v>150</v>
      </c>
      <c r="AL19" s="1">
        <f t="shared" si="17"/>
        <v>0</v>
      </c>
      <c r="AS19" s="1" t="e">
        <f t="shared" si="18"/>
        <v>#N/A</v>
      </c>
      <c r="AT19" s="1" t="e">
        <f t="shared" si="3"/>
        <v>#N/A</v>
      </c>
      <c r="AU19" s="1" t="e">
        <f t="shared" si="19"/>
        <v>#N/A</v>
      </c>
      <c r="AV19" s="8" t="e" cm="1">
        <f t="array" ref="AV19">IF(AS19="","", IFERROR(((IF(AS$5&lt;&gt;"", AS$5*AK$5, 0) + SUMPRODUCT(--(AS$6:AS19&lt;&gt;""), AS$6:AS19, (AK$6:AK19-AK$5:AK18)))/1000)/AR$3, ""))</f>
        <v>#N/A</v>
      </c>
    </row>
    <row r="20" spans="1:48" x14ac:dyDescent="0.25">
      <c r="A20" s="1">
        <f t="shared" si="4"/>
        <v>160</v>
      </c>
      <c r="B20" s="1">
        <f t="shared" si="5"/>
        <v>0</v>
      </c>
      <c r="I20" s="1" t="e">
        <f t="shared" si="6"/>
        <v>#N/A</v>
      </c>
      <c r="J20" s="1" t="e">
        <f t="shared" si="0"/>
        <v>#N/A</v>
      </c>
      <c r="K20" s="1" t="e">
        <f t="shared" si="7"/>
        <v>#N/A</v>
      </c>
      <c r="L20" s="8" t="e" cm="1">
        <f t="array" ref="L20">IF(I20="","", IFERROR(((IF(I$5&lt;&gt;"", I$5*A$5, 0) + SUMPRODUCT(--(I$6:I20&lt;&gt;""), I$6:I20, (A$6:A20-A$5:A19)))/1000)/H$3, ""))</f>
        <v>#N/A</v>
      </c>
      <c r="M20" s="1">
        <f t="shared" si="8"/>
        <v>160</v>
      </c>
      <c r="N20" s="1">
        <f t="shared" si="9"/>
        <v>0</v>
      </c>
      <c r="U20" s="1" t="e">
        <f t="shared" si="10"/>
        <v>#N/A</v>
      </c>
      <c r="V20" s="1" t="e">
        <f t="shared" si="1"/>
        <v>#N/A</v>
      </c>
      <c r="W20" s="1" t="e">
        <f t="shared" si="11"/>
        <v>#N/A</v>
      </c>
      <c r="X20" s="8" t="e" cm="1">
        <f t="array" ref="X20">IF(U20="","", IFERROR(((IF(U$5&lt;&gt;"", U$5*M$5, 0) + SUMPRODUCT(--(U$6:U20&lt;&gt;""), U$6:U20, (M$6:M20-M$5:M19)))/1000)/T$3, ""))</f>
        <v>#N/A</v>
      </c>
      <c r="Y20" s="1">
        <f t="shared" si="12"/>
        <v>160</v>
      </c>
      <c r="Z20" s="1">
        <f t="shared" si="13"/>
        <v>0</v>
      </c>
      <c r="AG20" s="1" t="e">
        <f t="shared" si="14"/>
        <v>#N/A</v>
      </c>
      <c r="AH20" s="1" t="e">
        <f t="shared" si="2"/>
        <v>#N/A</v>
      </c>
      <c r="AI20" s="1" t="e">
        <f t="shared" si="15"/>
        <v>#N/A</v>
      </c>
      <c r="AJ20" s="8" t="e" cm="1">
        <f t="array" ref="AJ20">IF(AG20="","", IFERROR(((IF(AG$5&lt;&gt;"", AG$5*Y$5, 0) + SUMPRODUCT(--(AG$6:AG20&lt;&gt;""), AG$6:AG20, (Y$6:Y20-Y$5:Y19)))/1000)/AF$3, ""))</f>
        <v>#N/A</v>
      </c>
      <c r="AK20" s="1">
        <f t="shared" si="16"/>
        <v>160</v>
      </c>
      <c r="AL20" s="1">
        <f t="shared" si="17"/>
        <v>0</v>
      </c>
      <c r="AS20" s="1" t="e">
        <f t="shared" si="18"/>
        <v>#N/A</v>
      </c>
      <c r="AT20" s="1" t="e">
        <f t="shared" si="3"/>
        <v>#N/A</v>
      </c>
      <c r="AU20" s="1" t="e">
        <f t="shared" si="19"/>
        <v>#N/A</v>
      </c>
      <c r="AV20" s="8" t="e" cm="1">
        <f t="array" ref="AV20">IF(AS20="","", IFERROR(((IF(AS$5&lt;&gt;"", AS$5*AK$5, 0) + SUMPRODUCT(--(AS$6:AS20&lt;&gt;""), AS$6:AS20, (AK$6:AK20-AK$5:AK19)))/1000)/AR$3, ""))</f>
        <v>#N/A</v>
      </c>
    </row>
    <row r="21" spans="1:48" x14ac:dyDescent="0.25">
      <c r="A21" s="1">
        <f t="shared" si="4"/>
        <v>170</v>
      </c>
      <c r="B21" s="1">
        <f t="shared" si="5"/>
        <v>0</v>
      </c>
      <c r="I21" s="1" t="e">
        <f t="shared" si="6"/>
        <v>#N/A</v>
      </c>
      <c r="J21" s="1" t="e">
        <f t="shared" si="0"/>
        <v>#N/A</v>
      </c>
      <c r="K21" s="1" t="e">
        <f t="shared" si="7"/>
        <v>#N/A</v>
      </c>
      <c r="L21" s="8" t="e" cm="1">
        <f t="array" ref="L21">IF(I21="","", IFERROR(((IF(I$5&lt;&gt;"", I$5*A$5, 0) + SUMPRODUCT(--(I$6:I21&lt;&gt;""), I$6:I21, (A$6:A21-A$5:A20)))/1000)/H$3, ""))</f>
        <v>#N/A</v>
      </c>
      <c r="M21" s="1">
        <f t="shared" si="8"/>
        <v>170</v>
      </c>
      <c r="N21" s="1">
        <f t="shared" si="9"/>
        <v>0</v>
      </c>
      <c r="U21" s="1" t="e">
        <f t="shared" si="10"/>
        <v>#N/A</v>
      </c>
      <c r="V21" s="1" t="e">
        <f t="shared" si="1"/>
        <v>#N/A</v>
      </c>
      <c r="W21" s="1" t="e">
        <f t="shared" si="11"/>
        <v>#N/A</v>
      </c>
      <c r="X21" s="8" t="e" cm="1">
        <f t="array" ref="X21">IF(U21="","", IFERROR(((IF(U$5&lt;&gt;"", U$5*M$5, 0) + SUMPRODUCT(--(U$6:U21&lt;&gt;""), U$6:U21, (M$6:M21-M$5:M20)))/1000)/T$3, ""))</f>
        <v>#N/A</v>
      </c>
      <c r="Y21" s="1">
        <f t="shared" si="12"/>
        <v>170</v>
      </c>
      <c r="Z21" s="1">
        <f t="shared" si="13"/>
        <v>0</v>
      </c>
      <c r="AG21" s="1" t="e">
        <f t="shared" si="14"/>
        <v>#N/A</v>
      </c>
      <c r="AH21" s="1" t="e">
        <f t="shared" si="2"/>
        <v>#N/A</v>
      </c>
      <c r="AI21" s="1" t="e">
        <f t="shared" si="15"/>
        <v>#N/A</v>
      </c>
      <c r="AJ21" s="8" t="e" cm="1">
        <f t="array" ref="AJ21">IF(AG21="","", IFERROR(((IF(AG$5&lt;&gt;"", AG$5*Y$5, 0) + SUMPRODUCT(--(AG$6:AG21&lt;&gt;""), AG$6:AG21, (Y$6:Y21-Y$5:Y20)))/1000)/AF$3, ""))</f>
        <v>#N/A</v>
      </c>
      <c r="AK21" s="1">
        <f t="shared" si="16"/>
        <v>170</v>
      </c>
      <c r="AL21" s="1">
        <f t="shared" si="17"/>
        <v>0</v>
      </c>
      <c r="AS21" s="1" t="e">
        <f t="shared" si="18"/>
        <v>#N/A</v>
      </c>
      <c r="AT21" s="1" t="e">
        <f t="shared" si="3"/>
        <v>#N/A</v>
      </c>
      <c r="AU21" s="1" t="e">
        <f t="shared" si="19"/>
        <v>#N/A</v>
      </c>
      <c r="AV21" s="8" t="e" cm="1">
        <f t="array" ref="AV21">IF(AS21="","", IFERROR(((IF(AS$5&lt;&gt;"", AS$5*AK$5, 0) + SUMPRODUCT(--(AS$6:AS21&lt;&gt;""), AS$6:AS21, (AK$6:AK21-AK$5:AK20)))/1000)/AR$3, ""))</f>
        <v>#N/A</v>
      </c>
    </row>
    <row r="22" spans="1:48" x14ac:dyDescent="0.25">
      <c r="A22" s="1">
        <f t="shared" si="4"/>
        <v>180</v>
      </c>
      <c r="B22" s="1">
        <f t="shared" si="5"/>
        <v>0</v>
      </c>
      <c r="I22" s="1" t="e">
        <f t="shared" si="6"/>
        <v>#N/A</v>
      </c>
      <c r="J22" s="1" t="e">
        <f t="shared" si="0"/>
        <v>#N/A</v>
      </c>
      <c r="K22" s="1" t="e">
        <f t="shared" si="7"/>
        <v>#N/A</v>
      </c>
      <c r="L22" s="8" t="e" cm="1">
        <f t="array" ref="L22">IF(I22="","", IFERROR(((IF(I$5&lt;&gt;"", I$5*A$5, 0) + SUMPRODUCT(--(I$6:I22&lt;&gt;""), I$6:I22, (A$6:A22-A$5:A21)))/1000)/H$3, ""))</f>
        <v>#N/A</v>
      </c>
      <c r="M22" s="1">
        <f t="shared" si="8"/>
        <v>180</v>
      </c>
      <c r="N22" s="1">
        <f t="shared" si="9"/>
        <v>0</v>
      </c>
      <c r="U22" s="1" t="e">
        <f t="shared" si="10"/>
        <v>#N/A</v>
      </c>
      <c r="V22" s="1" t="e">
        <f t="shared" si="1"/>
        <v>#N/A</v>
      </c>
      <c r="W22" s="1" t="e">
        <f t="shared" si="11"/>
        <v>#N/A</v>
      </c>
      <c r="X22" s="8" t="e" cm="1">
        <f t="array" ref="X22">IF(U22="","", IFERROR(((IF(U$5&lt;&gt;"", U$5*M$5, 0) + SUMPRODUCT(--(U$6:U22&lt;&gt;""), U$6:U22, (M$6:M22-M$5:M21)))/1000)/T$3, ""))</f>
        <v>#N/A</v>
      </c>
      <c r="Y22" s="1">
        <f t="shared" si="12"/>
        <v>180</v>
      </c>
      <c r="Z22" s="1">
        <f t="shared" si="13"/>
        <v>0</v>
      </c>
      <c r="AG22" s="1" t="e">
        <f t="shared" si="14"/>
        <v>#N/A</v>
      </c>
      <c r="AH22" s="1" t="e">
        <f t="shared" si="2"/>
        <v>#N/A</v>
      </c>
      <c r="AI22" s="1" t="e">
        <f t="shared" si="15"/>
        <v>#N/A</v>
      </c>
      <c r="AJ22" s="8" t="e" cm="1">
        <f t="array" ref="AJ22">IF(AG22="","", IFERROR(((IF(AG$5&lt;&gt;"", AG$5*Y$5, 0) + SUMPRODUCT(--(AG$6:AG22&lt;&gt;""), AG$6:AG22, (Y$6:Y22-Y$5:Y21)))/1000)/AF$3, ""))</f>
        <v>#N/A</v>
      </c>
      <c r="AK22" s="1">
        <f t="shared" si="16"/>
        <v>180</v>
      </c>
      <c r="AL22" s="1">
        <f t="shared" si="17"/>
        <v>0</v>
      </c>
      <c r="AS22" s="1" t="e">
        <f t="shared" si="18"/>
        <v>#N/A</v>
      </c>
      <c r="AT22" s="1" t="e">
        <f t="shared" si="3"/>
        <v>#N/A</v>
      </c>
      <c r="AU22" s="1" t="e">
        <f t="shared" si="19"/>
        <v>#N/A</v>
      </c>
      <c r="AV22" s="8" t="e" cm="1">
        <f t="array" ref="AV22">IF(AS22="","", IFERROR(((IF(AS$5&lt;&gt;"", AS$5*AK$5, 0) + SUMPRODUCT(--(AS$6:AS22&lt;&gt;""), AS$6:AS22, (AK$6:AK22-AK$5:AK21)))/1000)/AR$3, ""))</f>
        <v>#N/A</v>
      </c>
    </row>
    <row r="23" spans="1:48" x14ac:dyDescent="0.25">
      <c r="A23" s="1">
        <f t="shared" si="4"/>
        <v>190</v>
      </c>
      <c r="B23" s="1">
        <f t="shared" si="5"/>
        <v>0</v>
      </c>
      <c r="I23" s="1" t="e">
        <f t="shared" si="6"/>
        <v>#N/A</v>
      </c>
      <c r="J23" s="1" t="e">
        <f t="shared" si="0"/>
        <v>#N/A</v>
      </c>
      <c r="K23" s="1" t="e">
        <f t="shared" si="7"/>
        <v>#N/A</v>
      </c>
      <c r="L23" s="8" t="e" cm="1">
        <f t="array" ref="L23">IF(I23="","", IFERROR(((IF(I$5&lt;&gt;"", I$5*A$5, 0) + SUMPRODUCT(--(I$6:I23&lt;&gt;""), I$6:I23, (A$6:A23-A$5:A22)))/1000)/H$3, ""))</f>
        <v>#N/A</v>
      </c>
      <c r="M23" s="1">
        <f t="shared" si="8"/>
        <v>190</v>
      </c>
      <c r="N23" s="1">
        <f t="shared" si="9"/>
        <v>0</v>
      </c>
      <c r="U23" s="1" t="e">
        <f t="shared" si="10"/>
        <v>#N/A</v>
      </c>
      <c r="V23" s="1" t="e">
        <f t="shared" si="1"/>
        <v>#N/A</v>
      </c>
      <c r="W23" s="1" t="e">
        <f t="shared" si="11"/>
        <v>#N/A</v>
      </c>
      <c r="X23" s="8" t="e" cm="1">
        <f t="array" ref="X23">IF(U23="","", IFERROR(((IF(U$5&lt;&gt;"", U$5*M$5, 0) + SUMPRODUCT(--(U$6:U23&lt;&gt;""), U$6:U23, (M$6:M23-M$5:M22)))/1000)/T$3, ""))</f>
        <v>#N/A</v>
      </c>
      <c r="Y23" s="1">
        <f t="shared" si="12"/>
        <v>190</v>
      </c>
      <c r="Z23" s="1">
        <f t="shared" si="13"/>
        <v>0</v>
      </c>
      <c r="AG23" s="1" t="e">
        <f t="shared" si="14"/>
        <v>#N/A</v>
      </c>
      <c r="AH23" s="1" t="e">
        <f t="shared" si="2"/>
        <v>#N/A</v>
      </c>
      <c r="AI23" s="1" t="e">
        <f t="shared" si="15"/>
        <v>#N/A</v>
      </c>
      <c r="AJ23" s="8" t="e" cm="1">
        <f t="array" ref="AJ23">IF(AG23="","", IFERROR(((IF(AG$5&lt;&gt;"", AG$5*Y$5, 0) + SUMPRODUCT(--(AG$6:AG23&lt;&gt;""), AG$6:AG23, (Y$6:Y23-Y$5:Y22)))/1000)/AF$3, ""))</f>
        <v>#N/A</v>
      </c>
      <c r="AK23" s="1">
        <f t="shared" si="16"/>
        <v>190</v>
      </c>
      <c r="AL23" s="1">
        <f t="shared" si="17"/>
        <v>0</v>
      </c>
      <c r="AS23" s="1" t="e">
        <f t="shared" si="18"/>
        <v>#N/A</v>
      </c>
      <c r="AT23" s="1" t="e">
        <f t="shared" si="3"/>
        <v>#N/A</v>
      </c>
      <c r="AU23" s="1" t="e">
        <f t="shared" si="19"/>
        <v>#N/A</v>
      </c>
      <c r="AV23" s="8" t="e" cm="1">
        <f t="array" ref="AV23">IF(AS23="","", IFERROR(((IF(AS$5&lt;&gt;"", AS$5*AK$5, 0) + SUMPRODUCT(--(AS$6:AS23&lt;&gt;""), AS$6:AS23, (AK$6:AK23-AK$5:AK22)))/1000)/AR$3, ""))</f>
        <v>#N/A</v>
      </c>
    </row>
    <row r="24" spans="1:48" x14ac:dyDescent="0.25">
      <c r="A24" s="1">
        <f t="shared" si="4"/>
        <v>200</v>
      </c>
      <c r="B24" s="1">
        <f t="shared" si="5"/>
        <v>0</v>
      </c>
      <c r="I24" s="1" t="e">
        <f t="shared" si="6"/>
        <v>#N/A</v>
      </c>
      <c r="J24" s="1" t="e">
        <f t="shared" si="0"/>
        <v>#N/A</v>
      </c>
      <c r="K24" s="1" t="e">
        <f t="shared" si="7"/>
        <v>#N/A</v>
      </c>
      <c r="L24" s="8" t="e" cm="1">
        <f t="array" ref="L24">IF(I24="","", IFERROR(((IF(I$5&lt;&gt;"", I$5*A$5, 0) + SUMPRODUCT(--(I$6:I24&lt;&gt;""), I$6:I24, (A$6:A24-A$5:A23)))/1000)/H$3, ""))</f>
        <v>#N/A</v>
      </c>
      <c r="M24" s="1">
        <f t="shared" si="8"/>
        <v>200</v>
      </c>
      <c r="N24" s="1">
        <f t="shared" si="9"/>
        <v>0</v>
      </c>
      <c r="U24" s="1" t="e">
        <f t="shared" si="10"/>
        <v>#N/A</v>
      </c>
      <c r="V24" s="1" t="e">
        <f t="shared" si="1"/>
        <v>#N/A</v>
      </c>
      <c r="W24" s="1" t="e">
        <f t="shared" si="11"/>
        <v>#N/A</v>
      </c>
      <c r="X24" s="8" t="e" cm="1">
        <f t="array" ref="X24">IF(U24="","", IFERROR(((IF(U$5&lt;&gt;"", U$5*M$5, 0) + SUMPRODUCT(--(U$6:U24&lt;&gt;""), U$6:U24, (M$6:M24-M$5:M23)))/1000)/T$3, ""))</f>
        <v>#N/A</v>
      </c>
      <c r="Y24" s="1">
        <f t="shared" si="12"/>
        <v>200</v>
      </c>
      <c r="Z24" s="1">
        <f t="shared" si="13"/>
        <v>0</v>
      </c>
      <c r="AG24" s="1" t="e">
        <f t="shared" si="14"/>
        <v>#N/A</v>
      </c>
      <c r="AH24" s="1" t="e">
        <f t="shared" si="2"/>
        <v>#N/A</v>
      </c>
      <c r="AI24" s="1" t="e">
        <f t="shared" si="15"/>
        <v>#N/A</v>
      </c>
      <c r="AJ24" s="8" t="e" cm="1">
        <f t="array" ref="AJ24">IF(AG24="","", IFERROR(((IF(AG$5&lt;&gt;"", AG$5*Y$5, 0) + SUMPRODUCT(--(AG$6:AG24&lt;&gt;""), AG$6:AG24, (Y$6:Y24-Y$5:Y23)))/1000)/AF$3, ""))</f>
        <v>#N/A</v>
      </c>
      <c r="AK24" s="1">
        <f t="shared" si="16"/>
        <v>200</v>
      </c>
      <c r="AL24" s="1">
        <f t="shared" si="17"/>
        <v>0</v>
      </c>
      <c r="AS24" s="1" t="e">
        <f t="shared" si="18"/>
        <v>#N/A</v>
      </c>
      <c r="AT24" s="1" t="e">
        <f t="shared" si="3"/>
        <v>#N/A</v>
      </c>
      <c r="AU24" s="1" t="e">
        <f t="shared" si="19"/>
        <v>#N/A</v>
      </c>
      <c r="AV24" s="8" t="e" cm="1">
        <f t="array" ref="AV24">IF(AS24="","", IFERROR(((IF(AS$5&lt;&gt;"", AS$5*AK$5, 0) + SUMPRODUCT(--(AS$6:AS24&lt;&gt;""), AS$6:AS24, (AK$6:AK24-AK$5:AK23)))/1000)/AR$3, ""))</f>
        <v>#N/A</v>
      </c>
    </row>
    <row r="25" spans="1:48" x14ac:dyDescent="0.25">
      <c r="A25" s="1">
        <f t="shared" si="4"/>
        <v>210</v>
      </c>
      <c r="B25" s="1">
        <f t="shared" si="5"/>
        <v>0</v>
      </c>
      <c r="I25" s="1" t="e">
        <f t="shared" si="6"/>
        <v>#N/A</v>
      </c>
      <c r="J25" s="1" t="e">
        <f t="shared" si="0"/>
        <v>#N/A</v>
      </c>
      <c r="K25" s="1" t="e">
        <f t="shared" si="7"/>
        <v>#N/A</v>
      </c>
      <c r="L25" s="8" t="e" cm="1">
        <f t="array" ref="L25">IF(I25="","", IFERROR(((IF(I$5&lt;&gt;"", I$5*A$5, 0) + SUMPRODUCT(--(I$6:I25&lt;&gt;""), I$6:I25, (A$6:A25-A$5:A24)))/1000)/H$3, ""))</f>
        <v>#N/A</v>
      </c>
      <c r="M25" s="1">
        <f t="shared" si="8"/>
        <v>210</v>
      </c>
      <c r="N25" s="1">
        <f t="shared" si="9"/>
        <v>0</v>
      </c>
      <c r="U25" s="1" t="e">
        <f t="shared" si="10"/>
        <v>#N/A</v>
      </c>
      <c r="V25" s="1" t="e">
        <f t="shared" si="1"/>
        <v>#N/A</v>
      </c>
      <c r="W25" s="1" t="e">
        <f t="shared" si="11"/>
        <v>#N/A</v>
      </c>
      <c r="X25" s="8" t="e" cm="1">
        <f t="array" ref="X25">IF(U25="","", IFERROR(((IF(U$5&lt;&gt;"", U$5*M$5, 0) + SUMPRODUCT(--(U$6:U25&lt;&gt;""), U$6:U25, (M$6:M25-M$5:M24)))/1000)/T$3, ""))</f>
        <v>#N/A</v>
      </c>
      <c r="Y25" s="1">
        <f t="shared" si="12"/>
        <v>210</v>
      </c>
      <c r="Z25" s="1">
        <f t="shared" si="13"/>
        <v>0</v>
      </c>
      <c r="AG25" s="1" t="e">
        <f t="shared" si="14"/>
        <v>#N/A</v>
      </c>
      <c r="AH25" s="1" t="e">
        <f t="shared" si="2"/>
        <v>#N/A</v>
      </c>
      <c r="AI25" s="1" t="e">
        <f t="shared" si="15"/>
        <v>#N/A</v>
      </c>
      <c r="AJ25" s="8" t="e" cm="1">
        <f t="array" ref="AJ25">IF(AG25="","", IFERROR(((IF(AG$5&lt;&gt;"", AG$5*Y$5, 0) + SUMPRODUCT(--(AG$6:AG25&lt;&gt;""), AG$6:AG25, (Y$6:Y25-Y$5:Y24)))/1000)/AF$3, ""))</f>
        <v>#N/A</v>
      </c>
      <c r="AK25" s="1">
        <f t="shared" si="16"/>
        <v>210</v>
      </c>
      <c r="AL25" s="1">
        <f t="shared" si="17"/>
        <v>0</v>
      </c>
      <c r="AS25" s="1" t="e">
        <f t="shared" si="18"/>
        <v>#N/A</v>
      </c>
      <c r="AT25" s="1" t="e">
        <f t="shared" si="3"/>
        <v>#N/A</v>
      </c>
      <c r="AU25" s="1" t="e">
        <f t="shared" si="19"/>
        <v>#N/A</v>
      </c>
      <c r="AV25" s="8" t="e" cm="1">
        <f t="array" ref="AV25">IF(AS25="","", IFERROR(((IF(AS$5&lt;&gt;"", AS$5*AK$5, 0) + SUMPRODUCT(--(AS$6:AS25&lt;&gt;""), AS$6:AS25, (AK$6:AK25-AK$5:AK24)))/1000)/AR$3, ""))</f>
        <v>#N/A</v>
      </c>
    </row>
    <row r="26" spans="1:48" x14ac:dyDescent="0.25">
      <c r="A26" s="1">
        <f t="shared" si="4"/>
        <v>220</v>
      </c>
      <c r="B26" s="1">
        <f t="shared" si="5"/>
        <v>0</v>
      </c>
      <c r="I26" s="1" t="e">
        <f t="shared" si="6"/>
        <v>#N/A</v>
      </c>
      <c r="J26" s="1" t="e">
        <f t="shared" si="0"/>
        <v>#N/A</v>
      </c>
      <c r="K26" s="1" t="e">
        <f t="shared" si="7"/>
        <v>#N/A</v>
      </c>
      <c r="L26" s="8" t="e" cm="1">
        <f t="array" ref="L26">IF(I26="","", IFERROR(((IF(I$5&lt;&gt;"", I$5*A$5, 0) + SUMPRODUCT(--(I$6:I26&lt;&gt;""), I$6:I26, (A$6:A26-A$5:A25)))/1000)/H$3, ""))</f>
        <v>#N/A</v>
      </c>
      <c r="M26" s="1">
        <f t="shared" si="8"/>
        <v>220</v>
      </c>
      <c r="N26" s="1">
        <f t="shared" si="9"/>
        <v>0</v>
      </c>
      <c r="U26" s="1" t="e">
        <f t="shared" si="10"/>
        <v>#N/A</v>
      </c>
      <c r="V26" s="1" t="e">
        <f t="shared" si="1"/>
        <v>#N/A</v>
      </c>
      <c r="W26" s="1" t="e">
        <f t="shared" si="11"/>
        <v>#N/A</v>
      </c>
      <c r="X26" s="8" t="e" cm="1">
        <f t="array" ref="X26">IF(U26="","", IFERROR(((IF(U$5&lt;&gt;"", U$5*M$5, 0) + SUMPRODUCT(--(U$6:U26&lt;&gt;""), U$6:U26, (M$6:M26-M$5:M25)))/1000)/T$3, ""))</f>
        <v>#N/A</v>
      </c>
      <c r="Y26" s="1">
        <f t="shared" si="12"/>
        <v>220</v>
      </c>
      <c r="Z26" s="1">
        <f t="shared" si="13"/>
        <v>0</v>
      </c>
      <c r="AG26" s="1" t="e">
        <f t="shared" si="14"/>
        <v>#N/A</v>
      </c>
      <c r="AH26" s="1" t="e">
        <f t="shared" si="2"/>
        <v>#N/A</v>
      </c>
      <c r="AI26" s="1" t="e">
        <f t="shared" si="15"/>
        <v>#N/A</v>
      </c>
      <c r="AJ26" s="8" t="e" cm="1">
        <f t="array" ref="AJ26">IF(AG26="","", IFERROR(((IF(AG$5&lt;&gt;"", AG$5*Y$5, 0) + SUMPRODUCT(--(AG$6:AG26&lt;&gt;""), AG$6:AG26, (Y$6:Y26-Y$5:Y25)))/1000)/AF$3, ""))</f>
        <v>#N/A</v>
      </c>
      <c r="AK26" s="1">
        <f t="shared" si="16"/>
        <v>220</v>
      </c>
      <c r="AL26" s="1">
        <f t="shared" si="17"/>
        <v>0</v>
      </c>
      <c r="AS26" s="1" t="e">
        <f t="shared" si="18"/>
        <v>#N/A</v>
      </c>
      <c r="AT26" s="1" t="e">
        <f t="shared" si="3"/>
        <v>#N/A</v>
      </c>
      <c r="AU26" s="1" t="e">
        <f t="shared" si="19"/>
        <v>#N/A</v>
      </c>
      <c r="AV26" s="8" t="e" cm="1">
        <f t="array" ref="AV26">IF(AS26="","", IFERROR(((IF(AS$5&lt;&gt;"", AS$5*AK$5, 0) + SUMPRODUCT(--(AS$6:AS26&lt;&gt;""), AS$6:AS26, (AK$6:AK26-AK$5:AK25)))/1000)/AR$3, ""))</f>
        <v>#N/A</v>
      </c>
    </row>
    <row r="27" spans="1:48" x14ac:dyDescent="0.25">
      <c r="A27" s="1">
        <f t="shared" si="4"/>
        <v>230</v>
      </c>
      <c r="B27" s="1">
        <f t="shared" si="5"/>
        <v>0</v>
      </c>
      <c r="I27" s="1" t="e">
        <f t="shared" si="6"/>
        <v>#N/A</v>
      </c>
      <c r="J27" s="1" t="e">
        <f t="shared" si="0"/>
        <v>#N/A</v>
      </c>
      <c r="K27" s="1" t="e">
        <f t="shared" si="7"/>
        <v>#N/A</v>
      </c>
      <c r="L27" s="8" t="e" cm="1">
        <f t="array" ref="L27">IF(I27="","", IFERROR(((IF(I$5&lt;&gt;"", I$5*A$5, 0) + SUMPRODUCT(--(I$6:I27&lt;&gt;""), I$6:I27, (A$6:A27-A$5:A26)))/1000)/H$3, ""))</f>
        <v>#N/A</v>
      </c>
      <c r="M27" s="1">
        <f t="shared" si="8"/>
        <v>230</v>
      </c>
      <c r="N27" s="1">
        <f t="shared" si="9"/>
        <v>0</v>
      </c>
      <c r="U27" s="1" t="e">
        <f t="shared" si="10"/>
        <v>#N/A</v>
      </c>
      <c r="V27" s="1" t="e">
        <f t="shared" si="1"/>
        <v>#N/A</v>
      </c>
      <c r="W27" s="1" t="e">
        <f t="shared" si="11"/>
        <v>#N/A</v>
      </c>
      <c r="X27" s="8" t="e" cm="1">
        <f t="array" ref="X27">IF(U27="","", IFERROR(((IF(U$5&lt;&gt;"", U$5*M$5, 0) + SUMPRODUCT(--(U$6:U27&lt;&gt;""), U$6:U27, (M$6:M27-M$5:M26)))/1000)/T$3, ""))</f>
        <v>#N/A</v>
      </c>
      <c r="Y27" s="1">
        <f t="shared" si="12"/>
        <v>230</v>
      </c>
      <c r="Z27" s="1">
        <f t="shared" si="13"/>
        <v>0</v>
      </c>
      <c r="AG27" s="1" t="e">
        <f t="shared" si="14"/>
        <v>#N/A</v>
      </c>
      <c r="AH27" s="1" t="e">
        <f t="shared" si="2"/>
        <v>#N/A</v>
      </c>
      <c r="AI27" s="1" t="e">
        <f t="shared" si="15"/>
        <v>#N/A</v>
      </c>
      <c r="AJ27" s="8" t="e" cm="1">
        <f t="array" ref="AJ27">IF(AG27="","", IFERROR(((IF(AG$5&lt;&gt;"", AG$5*Y$5, 0) + SUMPRODUCT(--(AG$6:AG27&lt;&gt;""), AG$6:AG27, (Y$6:Y27-Y$5:Y26)))/1000)/AF$3, ""))</f>
        <v>#N/A</v>
      </c>
      <c r="AK27" s="1">
        <f t="shared" si="16"/>
        <v>230</v>
      </c>
      <c r="AL27" s="1">
        <f t="shared" si="17"/>
        <v>0</v>
      </c>
      <c r="AS27" s="1" t="e">
        <f t="shared" si="18"/>
        <v>#N/A</v>
      </c>
      <c r="AT27" s="1" t="e">
        <f t="shared" si="3"/>
        <v>#N/A</v>
      </c>
      <c r="AU27" s="1" t="e">
        <f t="shared" si="19"/>
        <v>#N/A</v>
      </c>
      <c r="AV27" s="8" t="e" cm="1">
        <f t="array" ref="AV27">IF(AS27="","", IFERROR(((IF(AS$5&lt;&gt;"", AS$5*AK$5, 0) + SUMPRODUCT(--(AS$6:AS27&lt;&gt;""), AS$6:AS27, (AK$6:AK27-AK$5:AK26)))/1000)/AR$3, ""))</f>
        <v>#N/A</v>
      </c>
    </row>
    <row r="28" spans="1:48" x14ac:dyDescent="0.25">
      <c r="A28" s="1">
        <f t="shared" si="4"/>
        <v>240</v>
      </c>
      <c r="B28" s="1">
        <f t="shared" si="5"/>
        <v>0</v>
      </c>
      <c r="I28" s="1" t="e">
        <f t="shared" si="6"/>
        <v>#N/A</v>
      </c>
      <c r="J28" s="1" t="e">
        <f t="shared" si="0"/>
        <v>#N/A</v>
      </c>
      <c r="K28" s="1" t="e">
        <f t="shared" si="7"/>
        <v>#N/A</v>
      </c>
      <c r="L28" s="8" t="e" cm="1">
        <f t="array" ref="L28">IF(I28="","", IFERROR(((IF(I$5&lt;&gt;"", I$5*A$5, 0) + SUMPRODUCT(--(I$6:I28&lt;&gt;""), I$6:I28, (A$6:A28-A$5:A27)))/1000)/H$3, ""))</f>
        <v>#N/A</v>
      </c>
      <c r="M28" s="1">
        <f t="shared" si="8"/>
        <v>240</v>
      </c>
      <c r="N28" s="1">
        <f t="shared" si="9"/>
        <v>0</v>
      </c>
      <c r="U28" s="1" t="e">
        <f t="shared" si="10"/>
        <v>#N/A</v>
      </c>
      <c r="V28" s="1" t="e">
        <f t="shared" si="1"/>
        <v>#N/A</v>
      </c>
      <c r="W28" s="1" t="e">
        <f t="shared" si="11"/>
        <v>#N/A</v>
      </c>
      <c r="X28" s="8" t="e" cm="1">
        <f t="array" ref="X28">IF(U28="","", IFERROR(((IF(U$5&lt;&gt;"", U$5*M$5, 0) + SUMPRODUCT(--(U$6:U28&lt;&gt;""), U$6:U28, (M$6:M28-M$5:M27)))/1000)/T$3, ""))</f>
        <v>#N/A</v>
      </c>
      <c r="Y28" s="1">
        <f t="shared" si="12"/>
        <v>240</v>
      </c>
      <c r="Z28" s="1">
        <f t="shared" si="13"/>
        <v>0</v>
      </c>
      <c r="AG28" s="1" t="e">
        <f t="shared" si="14"/>
        <v>#N/A</v>
      </c>
      <c r="AH28" s="1" t="e">
        <f t="shared" si="2"/>
        <v>#N/A</v>
      </c>
      <c r="AI28" s="1" t="e">
        <f t="shared" si="15"/>
        <v>#N/A</v>
      </c>
      <c r="AJ28" s="8" t="e" cm="1">
        <f t="array" ref="AJ28">IF(AG28="","", IFERROR(((IF(AG$5&lt;&gt;"", AG$5*Y$5, 0) + SUMPRODUCT(--(AG$6:AG28&lt;&gt;""), AG$6:AG28, (Y$6:Y28-Y$5:Y27)))/1000)/AF$3, ""))</f>
        <v>#N/A</v>
      </c>
      <c r="AK28" s="1">
        <f t="shared" si="16"/>
        <v>240</v>
      </c>
      <c r="AL28" s="1">
        <f t="shared" si="17"/>
        <v>0</v>
      </c>
      <c r="AS28" s="1" t="e">
        <f t="shared" si="18"/>
        <v>#N/A</v>
      </c>
      <c r="AT28" s="1" t="e">
        <f t="shared" si="3"/>
        <v>#N/A</v>
      </c>
      <c r="AU28" s="1" t="e">
        <f t="shared" si="19"/>
        <v>#N/A</v>
      </c>
      <c r="AV28" s="8" t="e" cm="1">
        <f t="array" ref="AV28">IF(AS28="","", IFERROR(((IF(AS$5&lt;&gt;"", AS$5*AK$5, 0) + SUMPRODUCT(--(AS$6:AS28&lt;&gt;""), AS$6:AS28, (AK$6:AK28-AK$5:AK27)))/1000)/AR$3, ""))</f>
        <v>#N/A</v>
      </c>
    </row>
    <row r="29" spans="1:48" x14ac:dyDescent="0.25">
      <c r="A29" s="1">
        <f t="shared" si="4"/>
        <v>250</v>
      </c>
      <c r="B29" s="1">
        <f t="shared" si="5"/>
        <v>0</v>
      </c>
      <c r="F29" s="9"/>
      <c r="G29" s="9"/>
      <c r="H29" s="9"/>
      <c r="I29" s="1" t="e">
        <f t="shared" si="6"/>
        <v>#N/A</v>
      </c>
      <c r="J29" s="1" t="e">
        <f t="shared" si="0"/>
        <v>#N/A</v>
      </c>
      <c r="K29" s="1" t="e">
        <f t="shared" si="7"/>
        <v>#N/A</v>
      </c>
      <c r="L29" s="8" t="e" cm="1">
        <f t="array" ref="L29">IF(I29="","", IFERROR(((IF(I$5&lt;&gt;"", I$5*A$5, 0) + SUMPRODUCT(--(I$6:I29&lt;&gt;""), I$6:I29, (A$6:A29-A$5:A28)))/1000)/H$3, ""))</f>
        <v>#N/A</v>
      </c>
      <c r="M29" s="1">
        <f t="shared" si="8"/>
        <v>250</v>
      </c>
      <c r="N29" s="1">
        <f t="shared" si="9"/>
        <v>0</v>
      </c>
      <c r="R29" s="9"/>
      <c r="S29" s="9"/>
      <c r="T29" s="9"/>
      <c r="U29" s="1" t="e">
        <f t="shared" si="10"/>
        <v>#N/A</v>
      </c>
      <c r="V29" s="1" t="e">
        <f t="shared" si="1"/>
        <v>#N/A</v>
      </c>
      <c r="W29" s="1" t="e">
        <f t="shared" si="11"/>
        <v>#N/A</v>
      </c>
      <c r="X29" s="8" t="e" cm="1">
        <f t="array" ref="X29">IF(U29="","", IFERROR(((IF(U$5&lt;&gt;"", U$5*M$5, 0) + SUMPRODUCT(--(U$6:U29&lt;&gt;""), U$6:U29, (M$6:M29-M$5:M28)))/1000)/T$3, ""))</f>
        <v>#N/A</v>
      </c>
      <c r="Y29" s="1">
        <f t="shared" si="12"/>
        <v>250</v>
      </c>
      <c r="Z29" s="1">
        <f t="shared" si="13"/>
        <v>0</v>
      </c>
      <c r="AD29" s="9"/>
      <c r="AE29" s="9"/>
      <c r="AF29" s="9"/>
      <c r="AG29" s="1" t="e">
        <f t="shared" si="14"/>
        <v>#N/A</v>
      </c>
      <c r="AH29" s="1" t="e">
        <f t="shared" si="2"/>
        <v>#N/A</v>
      </c>
      <c r="AI29" s="1" t="e">
        <f t="shared" si="15"/>
        <v>#N/A</v>
      </c>
      <c r="AJ29" s="8" t="e" cm="1">
        <f t="array" ref="AJ29">IF(AG29="","", IFERROR(((IF(AG$5&lt;&gt;"", AG$5*Y$5, 0) + SUMPRODUCT(--(AG$6:AG29&lt;&gt;""), AG$6:AG29, (Y$6:Y29-Y$5:Y28)))/1000)/AF$3, ""))</f>
        <v>#N/A</v>
      </c>
      <c r="AK29" s="1">
        <f t="shared" si="16"/>
        <v>250</v>
      </c>
      <c r="AL29" s="1">
        <f t="shared" si="17"/>
        <v>0</v>
      </c>
      <c r="AP29" s="9"/>
      <c r="AQ29" s="9"/>
      <c r="AR29" s="9"/>
      <c r="AS29" s="1" t="e">
        <f t="shared" si="18"/>
        <v>#N/A</v>
      </c>
      <c r="AT29" s="1" t="e">
        <f t="shared" si="3"/>
        <v>#N/A</v>
      </c>
      <c r="AU29" s="1" t="e">
        <f t="shared" si="19"/>
        <v>#N/A</v>
      </c>
      <c r="AV29" s="8" t="e" cm="1">
        <f t="array" ref="AV29">IF(AS29="","", IFERROR(((IF(AS$5&lt;&gt;"", AS$5*AK$5, 0) + SUMPRODUCT(--(AS$6:AS29&lt;&gt;""), AS$6:AS29, (AK$6:AK29-AK$5:AK28)))/1000)/AR$3, ""))</f>
        <v>#N/A</v>
      </c>
    </row>
    <row r="30" spans="1:48" x14ac:dyDescent="0.25">
      <c r="A30" s="1">
        <f t="shared" si="4"/>
        <v>260</v>
      </c>
      <c r="B30" s="1">
        <f t="shared" si="5"/>
        <v>0</v>
      </c>
      <c r="I30" s="1" t="e">
        <f t="shared" si="6"/>
        <v>#N/A</v>
      </c>
      <c r="J30" s="1" t="e">
        <f t="shared" si="0"/>
        <v>#N/A</v>
      </c>
      <c r="K30" s="1" t="e">
        <f t="shared" si="7"/>
        <v>#N/A</v>
      </c>
      <c r="L30" s="8" t="e" cm="1">
        <f t="array" ref="L30">IF(I30="","", IFERROR(((IF(I$5&lt;&gt;"", I$5*A$5, 0) + SUMPRODUCT(--(I$6:I30&lt;&gt;""), I$6:I30, (A$6:A30-A$5:A29)))/1000)/H$3, ""))</f>
        <v>#N/A</v>
      </c>
      <c r="M30" s="1">
        <f t="shared" si="8"/>
        <v>260</v>
      </c>
      <c r="N30" s="1">
        <f t="shared" si="9"/>
        <v>0</v>
      </c>
      <c r="U30" s="1" t="e">
        <f t="shared" si="10"/>
        <v>#N/A</v>
      </c>
      <c r="V30" s="1" t="e">
        <f t="shared" si="1"/>
        <v>#N/A</v>
      </c>
      <c r="W30" s="1" t="e">
        <f t="shared" si="11"/>
        <v>#N/A</v>
      </c>
      <c r="X30" s="8" t="e" cm="1">
        <f t="array" ref="X30">IF(U30="","", IFERROR(((IF(U$5&lt;&gt;"", U$5*M$5, 0) + SUMPRODUCT(--(U$6:U30&lt;&gt;""), U$6:U30, (M$6:M30-M$5:M29)))/1000)/T$3, ""))</f>
        <v>#N/A</v>
      </c>
      <c r="Y30" s="1">
        <f t="shared" si="12"/>
        <v>260</v>
      </c>
      <c r="Z30" s="1">
        <f t="shared" si="13"/>
        <v>0</v>
      </c>
      <c r="AG30" s="1" t="e">
        <f t="shared" si="14"/>
        <v>#N/A</v>
      </c>
      <c r="AH30" s="1" t="e">
        <f t="shared" si="2"/>
        <v>#N/A</v>
      </c>
      <c r="AI30" s="1" t="e">
        <f t="shared" si="15"/>
        <v>#N/A</v>
      </c>
      <c r="AJ30" s="8" t="e" cm="1">
        <f t="array" ref="AJ30">IF(AG30="","", IFERROR(((IF(AG$5&lt;&gt;"", AG$5*Y$5, 0) + SUMPRODUCT(--(AG$6:AG30&lt;&gt;""), AG$6:AG30, (Y$6:Y30-Y$5:Y29)))/1000)/AF$3, ""))</f>
        <v>#N/A</v>
      </c>
      <c r="AK30" s="1">
        <f t="shared" si="16"/>
        <v>260</v>
      </c>
      <c r="AL30" s="1">
        <f t="shared" si="17"/>
        <v>0</v>
      </c>
      <c r="AS30" s="1" t="e">
        <f t="shared" si="18"/>
        <v>#N/A</v>
      </c>
      <c r="AT30" s="1" t="e">
        <f t="shared" si="3"/>
        <v>#N/A</v>
      </c>
      <c r="AU30" s="1" t="e">
        <f t="shared" si="19"/>
        <v>#N/A</v>
      </c>
      <c r="AV30" s="8" t="e" cm="1">
        <f t="array" ref="AV30">IF(AS30="","", IFERROR(((IF(AS$5&lt;&gt;"", AS$5*AK$5, 0) + SUMPRODUCT(--(AS$6:AS30&lt;&gt;""), AS$6:AS30, (AK$6:AK30-AK$5:AK29)))/1000)/AR$3, ""))</f>
        <v>#N/A</v>
      </c>
    </row>
    <row r="31" spans="1:48" x14ac:dyDescent="0.25">
      <c r="A31" s="1">
        <f t="shared" si="4"/>
        <v>270</v>
      </c>
      <c r="B31" s="1">
        <f t="shared" si="5"/>
        <v>0</v>
      </c>
      <c r="I31" s="1" t="e">
        <f t="shared" si="6"/>
        <v>#N/A</v>
      </c>
      <c r="J31" s="1" t="e">
        <f t="shared" si="0"/>
        <v>#N/A</v>
      </c>
      <c r="K31" s="1" t="e">
        <f t="shared" si="7"/>
        <v>#N/A</v>
      </c>
      <c r="L31" s="8" t="e" cm="1">
        <f t="array" ref="L31">IF(I31="","", IFERROR(((IF(I$5&lt;&gt;"", I$5*A$5, 0) + SUMPRODUCT(--(I$6:I31&lt;&gt;""), I$6:I31, (A$6:A31-A$5:A30)))/1000)/H$3, ""))</f>
        <v>#N/A</v>
      </c>
      <c r="M31" s="1">
        <f t="shared" si="8"/>
        <v>270</v>
      </c>
      <c r="N31" s="1">
        <f t="shared" si="9"/>
        <v>0</v>
      </c>
      <c r="U31" s="1" t="e">
        <f t="shared" si="10"/>
        <v>#N/A</v>
      </c>
      <c r="V31" s="1" t="e">
        <f t="shared" si="1"/>
        <v>#N/A</v>
      </c>
      <c r="W31" s="1" t="e">
        <f t="shared" si="11"/>
        <v>#N/A</v>
      </c>
      <c r="X31" s="8" t="e" cm="1">
        <f t="array" ref="X31">IF(U31="","", IFERROR(((IF(U$5&lt;&gt;"", U$5*M$5, 0) + SUMPRODUCT(--(U$6:U31&lt;&gt;""), U$6:U31, (M$6:M31-M$5:M30)))/1000)/T$3, ""))</f>
        <v>#N/A</v>
      </c>
      <c r="Y31" s="1">
        <f t="shared" si="12"/>
        <v>270</v>
      </c>
      <c r="Z31" s="1">
        <f t="shared" si="13"/>
        <v>0</v>
      </c>
      <c r="AG31" s="1" t="e">
        <f t="shared" si="14"/>
        <v>#N/A</v>
      </c>
      <c r="AH31" s="1" t="e">
        <f t="shared" si="2"/>
        <v>#N/A</v>
      </c>
      <c r="AI31" s="1" t="e">
        <f t="shared" si="15"/>
        <v>#N/A</v>
      </c>
      <c r="AJ31" s="8" t="e" cm="1">
        <f t="array" ref="AJ31">IF(AG31="","", IFERROR(((IF(AG$5&lt;&gt;"", AG$5*Y$5, 0) + SUMPRODUCT(--(AG$6:AG31&lt;&gt;""), AG$6:AG31, (Y$6:Y31-Y$5:Y30)))/1000)/AF$3, ""))</f>
        <v>#N/A</v>
      </c>
      <c r="AK31" s="1">
        <f t="shared" si="16"/>
        <v>270</v>
      </c>
      <c r="AL31" s="1">
        <f t="shared" si="17"/>
        <v>0</v>
      </c>
      <c r="AS31" s="1" t="e">
        <f t="shared" si="18"/>
        <v>#N/A</v>
      </c>
      <c r="AT31" s="1" t="e">
        <f t="shared" si="3"/>
        <v>#N/A</v>
      </c>
      <c r="AU31" s="1" t="e">
        <f t="shared" si="19"/>
        <v>#N/A</v>
      </c>
      <c r="AV31" s="8" t="e" cm="1">
        <f t="array" ref="AV31">IF(AS31="","", IFERROR(((IF(AS$5&lt;&gt;"", AS$5*AK$5, 0) + SUMPRODUCT(--(AS$6:AS31&lt;&gt;""), AS$6:AS31, (AK$6:AK31-AK$5:AK30)))/1000)/AR$3, ""))</f>
        <v>#N/A</v>
      </c>
    </row>
    <row r="32" spans="1:48" x14ac:dyDescent="0.25">
      <c r="A32" s="1">
        <f t="shared" si="4"/>
        <v>280</v>
      </c>
      <c r="B32" s="1">
        <f t="shared" si="5"/>
        <v>0</v>
      </c>
      <c r="I32" s="1" t="e">
        <f t="shared" si="6"/>
        <v>#N/A</v>
      </c>
      <c r="J32" s="1" t="e">
        <f t="shared" si="0"/>
        <v>#N/A</v>
      </c>
      <c r="K32" s="1" t="e">
        <f t="shared" si="7"/>
        <v>#N/A</v>
      </c>
      <c r="L32" s="8" t="e" cm="1">
        <f t="array" ref="L32">IF(I32="","", IFERROR(((IF(I$5&lt;&gt;"", I$5*A$5, 0) + SUMPRODUCT(--(I$6:I32&lt;&gt;""), I$6:I32, (A$6:A32-A$5:A31)))/1000)/H$3, ""))</f>
        <v>#N/A</v>
      </c>
      <c r="M32" s="1">
        <f t="shared" si="8"/>
        <v>280</v>
      </c>
      <c r="N32" s="1">
        <f t="shared" si="9"/>
        <v>0</v>
      </c>
      <c r="U32" s="1" t="e">
        <f t="shared" si="10"/>
        <v>#N/A</v>
      </c>
      <c r="V32" s="1" t="e">
        <f t="shared" si="1"/>
        <v>#N/A</v>
      </c>
      <c r="W32" s="1" t="e">
        <f t="shared" si="11"/>
        <v>#N/A</v>
      </c>
      <c r="X32" s="8" t="e" cm="1">
        <f t="array" ref="X32">IF(U32="","", IFERROR(((IF(U$5&lt;&gt;"", U$5*M$5, 0) + SUMPRODUCT(--(U$6:U32&lt;&gt;""), U$6:U32, (M$6:M32-M$5:M31)))/1000)/T$3, ""))</f>
        <v>#N/A</v>
      </c>
      <c r="Y32" s="1">
        <f t="shared" si="12"/>
        <v>280</v>
      </c>
      <c r="Z32" s="1">
        <f t="shared" si="13"/>
        <v>0</v>
      </c>
      <c r="AG32" s="1" t="e">
        <f t="shared" si="14"/>
        <v>#N/A</v>
      </c>
      <c r="AH32" s="1" t="e">
        <f t="shared" si="2"/>
        <v>#N/A</v>
      </c>
      <c r="AI32" s="1" t="e">
        <f t="shared" si="15"/>
        <v>#N/A</v>
      </c>
      <c r="AJ32" s="8" t="e" cm="1">
        <f t="array" ref="AJ32">IF(AG32="","", IFERROR(((IF(AG$5&lt;&gt;"", AG$5*Y$5, 0) + SUMPRODUCT(--(AG$6:AG32&lt;&gt;""), AG$6:AG32, (Y$6:Y32-Y$5:Y31)))/1000)/AF$3, ""))</f>
        <v>#N/A</v>
      </c>
      <c r="AK32" s="1">
        <f t="shared" si="16"/>
        <v>280</v>
      </c>
      <c r="AL32" s="1">
        <f t="shared" si="17"/>
        <v>0</v>
      </c>
      <c r="AS32" s="1" t="e">
        <f t="shared" si="18"/>
        <v>#N/A</v>
      </c>
      <c r="AT32" s="1" t="e">
        <f t="shared" si="3"/>
        <v>#N/A</v>
      </c>
      <c r="AU32" s="1" t="e">
        <f t="shared" si="19"/>
        <v>#N/A</v>
      </c>
      <c r="AV32" s="8" t="e" cm="1">
        <f t="array" ref="AV32">IF(AS32="","", IFERROR(((IF(AS$5&lt;&gt;"", AS$5*AK$5, 0) + SUMPRODUCT(--(AS$6:AS32&lt;&gt;""), AS$6:AS32, (AK$6:AK32-AK$5:AK31)))/1000)/AR$3, ""))</f>
        <v>#N/A</v>
      </c>
    </row>
    <row r="33" spans="1:48" x14ac:dyDescent="0.25">
      <c r="A33" s="1">
        <f t="shared" si="4"/>
        <v>290</v>
      </c>
      <c r="B33" s="1">
        <f t="shared" si="5"/>
        <v>0</v>
      </c>
      <c r="I33" s="1" t="e">
        <f t="shared" si="6"/>
        <v>#N/A</v>
      </c>
      <c r="J33" s="1" t="e">
        <f t="shared" si="0"/>
        <v>#N/A</v>
      </c>
      <c r="K33" s="1" t="e">
        <f t="shared" si="7"/>
        <v>#N/A</v>
      </c>
      <c r="L33" s="8" t="e" cm="1">
        <f t="array" ref="L33">IF(I33="","", IFERROR(((IF(I$5&lt;&gt;"", I$5*A$5, 0) + SUMPRODUCT(--(I$6:I33&lt;&gt;""), I$6:I33, (A$6:A33-A$5:A32)))/1000)/H$3, ""))</f>
        <v>#N/A</v>
      </c>
      <c r="M33" s="1">
        <f t="shared" si="8"/>
        <v>290</v>
      </c>
      <c r="N33" s="1">
        <f t="shared" si="9"/>
        <v>0</v>
      </c>
      <c r="U33" s="1" t="e">
        <f t="shared" si="10"/>
        <v>#N/A</v>
      </c>
      <c r="V33" s="1" t="e">
        <f t="shared" si="1"/>
        <v>#N/A</v>
      </c>
      <c r="W33" s="1" t="e">
        <f t="shared" si="11"/>
        <v>#N/A</v>
      </c>
      <c r="X33" s="8" t="e" cm="1">
        <f t="array" ref="X33">IF(U33="","", IFERROR(((IF(U$5&lt;&gt;"", U$5*M$5, 0) + SUMPRODUCT(--(U$6:U33&lt;&gt;""), U$6:U33, (M$6:M33-M$5:M32)))/1000)/T$3, ""))</f>
        <v>#N/A</v>
      </c>
      <c r="Y33" s="1">
        <f t="shared" si="12"/>
        <v>290</v>
      </c>
      <c r="Z33" s="1">
        <f t="shared" si="13"/>
        <v>0</v>
      </c>
      <c r="AG33" s="1" t="e">
        <f t="shared" si="14"/>
        <v>#N/A</v>
      </c>
      <c r="AH33" s="1" t="e">
        <f t="shared" si="2"/>
        <v>#N/A</v>
      </c>
      <c r="AI33" s="1" t="e">
        <f t="shared" si="15"/>
        <v>#N/A</v>
      </c>
      <c r="AJ33" s="8" t="e" cm="1">
        <f t="array" ref="AJ33">IF(AG33="","", IFERROR(((IF(AG$5&lt;&gt;"", AG$5*Y$5, 0) + SUMPRODUCT(--(AG$6:AG33&lt;&gt;""), AG$6:AG33, (Y$6:Y33-Y$5:Y32)))/1000)/AF$3, ""))</f>
        <v>#N/A</v>
      </c>
      <c r="AK33" s="1">
        <f t="shared" si="16"/>
        <v>290</v>
      </c>
      <c r="AL33" s="1">
        <f t="shared" si="17"/>
        <v>0</v>
      </c>
      <c r="AS33" s="1" t="e">
        <f t="shared" si="18"/>
        <v>#N/A</v>
      </c>
      <c r="AT33" s="1" t="e">
        <f t="shared" si="3"/>
        <v>#N/A</v>
      </c>
      <c r="AU33" s="1" t="e">
        <f t="shared" si="19"/>
        <v>#N/A</v>
      </c>
      <c r="AV33" s="8" t="e" cm="1">
        <f t="array" ref="AV33">IF(AS33="","", IFERROR(((IF(AS$5&lt;&gt;"", AS$5*AK$5, 0) + SUMPRODUCT(--(AS$6:AS33&lt;&gt;""), AS$6:AS33, (AK$6:AK33-AK$5:AK32)))/1000)/AR$3, ""))</f>
        <v>#N/A</v>
      </c>
    </row>
    <row r="34" spans="1:48" x14ac:dyDescent="0.25">
      <c r="A34" s="1">
        <f t="shared" si="4"/>
        <v>300</v>
      </c>
      <c r="B34" s="1">
        <f t="shared" si="5"/>
        <v>0</v>
      </c>
      <c r="I34" s="1" t="e">
        <f t="shared" si="6"/>
        <v>#N/A</v>
      </c>
      <c r="J34" s="1" t="e">
        <f t="shared" si="0"/>
        <v>#N/A</v>
      </c>
      <c r="K34" s="1" t="e">
        <f t="shared" si="7"/>
        <v>#N/A</v>
      </c>
      <c r="L34" s="8" t="e" cm="1">
        <f t="array" ref="L34">IF(I34="","", IFERROR(((IF(I$5&lt;&gt;"", I$5*A$5, 0) + SUMPRODUCT(--(I$6:I34&lt;&gt;""), I$6:I34, (A$6:A34-A$5:A33)))/1000)/H$3, ""))</f>
        <v>#N/A</v>
      </c>
      <c r="M34" s="1">
        <f t="shared" si="8"/>
        <v>300</v>
      </c>
      <c r="N34" s="1">
        <f t="shared" si="9"/>
        <v>0</v>
      </c>
      <c r="U34" s="1" t="e">
        <f t="shared" si="10"/>
        <v>#N/A</v>
      </c>
      <c r="V34" s="1" t="e">
        <f t="shared" si="1"/>
        <v>#N/A</v>
      </c>
      <c r="W34" s="1" t="e">
        <f t="shared" si="11"/>
        <v>#N/A</v>
      </c>
      <c r="X34" s="8" t="e" cm="1">
        <f t="array" ref="X34">IF(U34="","", IFERROR(((IF(U$5&lt;&gt;"", U$5*M$5, 0) + SUMPRODUCT(--(U$6:U34&lt;&gt;""), U$6:U34, (M$6:M34-M$5:M33)))/1000)/T$3, ""))</f>
        <v>#N/A</v>
      </c>
      <c r="Y34" s="1">
        <f t="shared" si="12"/>
        <v>300</v>
      </c>
      <c r="Z34" s="1">
        <f t="shared" si="13"/>
        <v>0</v>
      </c>
      <c r="AG34" s="1" t="e">
        <f t="shared" si="14"/>
        <v>#N/A</v>
      </c>
      <c r="AH34" s="1" t="e">
        <f t="shared" si="2"/>
        <v>#N/A</v>
      </c>
      <c r="AI34" s="1" t="e">
        <f t="shared" si="15"/>
        <v>#N/A</v>
      </c>
      <c r="AJ34" s="8" t="e" cm="1">
        <f t="array" ref="AJ34">IF(AG34="","", IFERROR(((IF(AG$5&lt;&gt;"", AG$5*Y$5, 0) + SUMPRODUCT(--(AG$6:AG34&lt;&gt;""), AG$6:AG34, (Y$6:Y34-Y$5:Y33)))/1000)/AF$3, ""))</f>
        <v>#N/A</v>
      </c>
      <c r="AK34" s="1">
        <f t="shared" si="16"/>
        <v>300</v>
      </c>
      <c r="AL34" s="1">
        <f t="shared" si="17"/>
        <v>0</v>
      </c>
      <c r="AS34" s="1" t="e">
        <f t="shared" si="18"/>
        <v>#N/A</v>
      </c>
      <c r="AT34" s="1" t="e">
        <f t="shared" si="3"/>
        <v>#N/A</v>
      </c>
      <c r="AU34" s="1" t="e">
        <f t="shared" si="19"/>
        <v>#N/A</v>
      </c>
      <c r="AV34" s="8" t="e" cm="1">
        <f t="array" ref="AV34">IF(AS34="","", IFERROR(((IF(AS$5&lt;&gt;"", AS$5*AK$5, 0) + SUMPRODUCT(--(AS$6:AS34&lt;&gt;""), AS$6:AS34, (AK$6:AK34-AK$5:AK33)))/1000)/AR$3, ""))</f>
        <v>#N/A</v>
      </c>
    </row>
    <row r="35" spans="1:48" x14ac:dyDescent="0.25">
      <c r="A35" s="1">
        <f t="shared" si="4"/>
        <v>310</v>
      </c>
      <c r="B35" s="1">
        <f t="shared" si="5"/>
        <v>0</v>
      </c>
      <c r="I35" s="1" t="e">
        <f t="shared" si="6"/>
        <v>#N/A</v>
      </c>
      <c r="J35" s="1" t="e">
        <f t="shared" si="0"/>
        <v>#N/A</v>
      </c>
      <c r="K35" s="1" t="e">
        <f t="shared" si="7"/>
        <v>#N/A</v>
      </c>
      <c r="L35" s="8" t="e" cm="1">
        <f t="array" ref="L35">IF(I35="","", IFERROR(((IF(I$5&lt;&gt;"", I$5*A$5, 0) + SUMPRODUCT(--(I$6:I35&lt;&gt;""), I$6:I35, (A$6:A35-A$5:A34)))/1000)/H$3, ""))</f>
        <v>#N/A</v>
      </c>
      <c r="M35" s="1">
        <f t="shared" si="8"/>
        <v>310</v>
      </c>
      <c r="N35" s="1">
        <f t="shared" si="9"/>
        <v>0</v>
      </c>
      <c r="U35" s="1" t="e">
        <f t="shared" si="10"/>
        <v>#N/A</v>
      </c>
      <c r="V35" s="1" t="e">
        <f t="shared" si="1"/>
        <v>#N/A</v>
      </c>
      <c r="W35" s="1" t="e">
        <f t="shared" si="11"/>
        <v>#N/A</v>
      </c>
      <c r="X35" s="8" t="e" cm="1">
        <f t="array" ref="X35">IF(U35="","", IFERROR(((IF(U$5&lt;&gt;"", U$5*M$5, 0) + SUMPRODUCT(--(U$6:U35&lt;&gt;""), U$6:U35, (M$6:M35-M$5:M34)))/1000)/T$3, ""))</f>
        <v>#N/A</v>
      </c>
      <c r="Y35" s="1">
        <f t="shared" si="12"/>
        <v>310</v>
      </c>
      <c r="Z35" s="1">
        <f t="shared" si="13"/>
        <v>0</v>
      </c>
      <c r="AG35" s="1" t="e">
        <f t="shared" si="14"/>
        <v>#N/A</v>
      </c>
      <c r="AH35" s="1" t="e">
        <f t="shared" si="2"/>
        <v>#N/A</v>
      </c>
      <c r="AI35" s="1" t="e">
        <f t="shared" si="15"/>
        <v>#N/A</v>
      </c>
      <c r="AJ35" s="8" t="e" cm="1">
        <f t="array" ref="AJ35">IF(AG35="","", IFERROR(((IF(AG$5&lt;&gt;"", AG$5*Y$5, 0) + SUMPRODUCT(--(AG$6:AG35&lt;&gt;""), AG$6:AG35, (Y$6:Y35-Y$5:Y34)))/1000)/AF$3, ""))</f>
        <v>#N/A</v>
      </c>
      <c r="AK35" s="1">
        <f t="shared" si="16"/>
        <v>310</v>
      </c>
      <c r="AL35" s="1">
        <f t="shared" si="17"/>
        <v>0</v>
      </c>
      <c r="AS35" s="1" t="e">
        <f t="shared" si="18"/>
        <v>#N/A</v>
      </c>
      <c r="AT35" s="1" t="e">
        <f t="shared" si="3"/>
        <v>#N/A</v>
      </c>
      <c r="AU35" s="1" t="e">
        <f t="shared" si="19"/>
        <v>#N/A</v>
      </c>
      <c r="AV35" s="8" t="e" cm="1">
        <f t="array" ref="AV35">IF(AS35="","", IFERROR(((IF(AS$5&lt;&gt;"", AS$5*AK$5, 0) + SUMPRODUCT(--(AS$6:AS35&lt;&gt;""), AS$6:AS35, (AK$6:AK35-AK$5:AK34)))/1000)/AR$3, ""))</f>
        <v>#N/A</v>
      </c>
    </row>
    <row r="36" spans="1:48" x14ac:dyDescent="0.25">
      <c r="A36" s="1">
        <f t="shared" si="4"/>
        <v>320</v>
      </c>
      <c r="B36" s="1">
        <f t="shared" si="5"/>
        <v>0</v>
      </c>
      <c r="I36" s="1" t="e">
        <f t="shared" si="6"/>
        <v>#N/A</v>
      </c>
      <c r="J36" s="1" t="e">
        <f t="shared" si="0"/>
        <v>#N/A</v>
      </c>
      <c r="K36" s="1" t="e">
        <f t="shared" si="7"/>
        <v>#N/A</v>
      </c>
      <c r="L36" s="8" t="e" cm="1">
        <f t="array" ref="L36">IF(I36="","", IFERROR(((IF(I$5&lt;&gt;"", I$5*A$5, 0) + SUMPRODUCT(--(I$6:I36&lt;&gt;""), I$6:I36, (A$6:A36-A$5:A35)))/1000)/H$3, ""))</f>
        <v>#N/A</v>
      </c>
      <c r="M36" s="1">
        <f t="shared" si="8"/>
        <v>320</v>
      </c>
      <c r="N36" s="1">
        <f t="shared" si="9"/>
        <v>0</v>
      </c>
      <c r="U36" s="1" t="e">
        <f t="shared" si="10"/>
        <v>#N/A</v>
      </c>
      <c r="V36" s="1" t="e">
        <f t="shared" si="1"/>
        <v>#N/A</v>
      </c>
      <c r="W36" s="1" t="e">
        <f t="shared" si="11"/>
        <v>#N/A</v>
      </c>
      <c r="X36" s="8" t="e" cm="1">
        <f t="array" ref="X36">IF(U36="","", IFERROR(((IF(U$5&lt;&gt;"", U$5*M$5, 0) + SUMPRODUCT(--(U$6:U36&lt;&gt;""), U$6:U36, (M$6:M36-M$5:M35)))/1000)/T$3, ""))</f>
        <v>#N/A</v>
      </c>
      <c r="Y36" s="1">
        <f t="shared" si="12"/>
        <v>320</v>
      </c>
      <c r="Z36" s="1">
        <f t="shared" si="13"/>
        <v>0</v>
      </c>
      <c r="AG36" s="1" t="e">
        <f t="shared" si="14"/>
        <v>#N/A</v>
      </c>
      <c r="AH36" s="1" t="e">
        <f t="shared" si="2"/>
        <v>#N/A</v>
      </c>
      <c r="AI36" s="1" t="e">
        <f t="shared" si="15"/>
        <v>#N/A</v>
      </c>
      <c r="AJ36" s="8" t="e" cm="1">
        <f t="array" ref="AJ36">IF(AG36="","", IFERROR(((IF(AG$5&lt;&gt;"", AG$5*Y$5, 0) + SUMPRODUCT(--(AG$6:AG36&lt;&gt;""), AG$6:AG36, (Y$6:Y36-Y$5:Y35)))/1000)/AF$3, ""))</f>
        <v>#N/A</v>
      </c>
      <c r="AK36" s="1">
        <f t="shared" si="16"/>
        <v>320</v>
      </c>
      <c r="AL36" s="1">
        <f t="shared" si="17"/>
        <v>0</v>
      </c>
      <c r="AS36" s="1" t="e">
        <f t="shared" si="18"/>
        <v>#N/A</v>
      </c>
      <c r="AT36" s="1" t="e">
        <f t="shared" si="3"/>
        <v>#N/A</v>
      </c>
      <c r="AU36" s="1" t="e">
        <f t="shared" si="19"/>
        <v>#N/A</v>
      </c>
      <c r="AV36" s="8" t="e" cm="1">
        <f t="array" ref="AV36">IF(AS36="","", IFERROR(((IF(AS$5&lt;&gt;"", AS$5*AK$5, 0) + SUMPRODUCT(--(AS$6:AS36&lt;&gt;""), AS$6:AS36, (AK$6:AK36-AK$5:AK35)))/1000)/AR$3, ""))</f>
        <v>#N/A</v>
      </c>
    </row>
    <row r="37" spans="1:48" x14ac:dyDescent="0.25">
      <c r="A37" s="1">
        <f t="shared" si="4"/>
        <v>330</v>
      </c>
      <c r="B37" s="1">
        <f t="shared" si="5"/>
        <v>0</v>
      </c>
      <c r="I37" s="1" t="e">
        <f t="shared" si="6"/>
        <v>#N/A</v>
      </c>
      <c r="J37" s="1" t="e">
        <f t="shared" si="0"/>
        <v>#N/A</v>
      </c>
      <c r="K37" s="1" t="e">
        <f t="shared" si="7"/>
        <v>#N/A</v>
      </c>
      <c r="L37" s="8" t="e" cm="1">
        <f t="array" ref="L37">IF(I37="","", IFERROR(((IF(I$5&lt;&gt;"", I$5*A$5, 0) + SUMPRODUCT(--(I$6:I37&lt;&gt;""), I$6:I37, (A$6:A37-A$5:A36)))/1000)/H$3, ""))</f>
        <v>#N/A</v>
      </c>
      <c r="M37" s="1">
        <f t="shared" si="8"/>
        <v>330</v>
      </c>
      <c r="N37" s="1">
        <f t="shared" si="9"/>
        <v>0</v>
      </c>
      <c r="U37" s="1" t="e">
        <f t="shared" si="10"/>
        <v>#N/A</v>
      </c>
      <c r="V37" s="1" t="e">
        <f t="shared" si="1"/>
        <v>#N/A</v>
      </c>
      <c r="W37" s="1" t="e">
        <f t="shared" si="11"/>
        <v>#N/A</v>
      </c>
      <c r="X37" s="8" t="e" cm="1">
        <f t="array" ref="X37">IF(U37="","", IFERROR(((IF(U$5&lt;&gt;"", U$5*M$5, 0) + SUMPRODUCT(--(U$6:U37&lt;&gt;""), U$6:U37, (M$6:M37-M$5:M36)))/1000)/T$3, ""))</f>
        <v>#N/A</v>
      </c>
      <c r="Y37" s="1">
        <f t="shared" si="12"/>
        <v>330</v>
      </c>
      <c r="Z37" s="1">
        <f t="shared" si="13"/>
        <v>0</v>
      </c>
      <c r="AG37" s="1" t="e">
        <f t="shared" si="14"/>
        <v>#N/A</v>
      </c>
      <c r="AH37" s="1" t="e">
        <f t="shared" si="2"/>
        <v>#N/A</v>
      </c>
      <c r="AI37" s="1" t="e">
        <f t="shared" si="15"/>
        <v>#N/A</v>
      </c>
      <c r="AJ37" s="8" t="e" cm="1">
        <f t="array" ref="AJ37">IF(AG37="","", IFERROR(((IF(AG$5&lt;&gt;"", AG$5*Y$5, 0) + SUMPRODUCT(--(AG$6:AG37&lt;&gt;""), AG$6:AG37, (Y$6:Y37-Y$5:Y36)))/1000)/AF$3, ""))</f>
        <v>#N/A</v>
      </c>
      <c r="AK37" s="1">
        <f t="shared" si="16"/>
        <v>330</v>
      </c>
      <c r="AL37" s="1">
        <f t="shared" si="17"/>
        <v>0</v>
      </c>
      <c r="AS37" s="1" t="e">
        <f t="shared" si="18"/>
        <v>#N/A</v>
      </c>
      <c r="AT37" s="1" t="e">
        <f t="shared" si="3"/>
        <v>#N/A</v>
      </c>
      <c r="AU37" s="1" t="e">
        <f t="shared" si="19"/>
        <v>#N/A</v>
      </c>
      <c r="AV37" s="8" t="e" cm="1">
        <f t="array" ref="AV37">IF(AS37="","", IFERROR(((IF(AS$5&lt;&gt;"", AS$5*AK$5, 0) + SUMPRODUCT(--(AS$6:AS37&lt;&gt;""), AS$6:AS37, (AK$6:AK37-AK$5:AK36)))/1000)/AR$3, ""))</f>
        <v>#N/A</v>
      </c>
    </row>
    <row r="38" spans="1:48" x14ac:dyDescent="0.25">
      <c r="A38" s="1">
        <f t="shared" si="4"/>
        <v>340</v>
      </c>
      <c r="B38" s="1">
        <f t="shared" si="5"/>
        <v>0</v>
      </c>
      <c r="I38" s="1" t="e">
        <f t="shared" si="6"/>
        <v>#N/A</v>
      </c>
      <c r="J38" s="1" t="e">
        <f t="shared" si="0"/>
        <v>#N/A</v>
      </c>
      <c r="K38" s="1" t="e">
        <f t="shared" si="7"/>
        <v>#N/A</v>
      </c>
      <c r="L38" s="8" t="e" cm="1">
        <f t="array" ref="L38">IF(I38="","", IFERROR(((IF(I$5&lt;&gt;"", I$5*A$5, 0) + SUMPRODUCT(--(I$6:I38&lt;&gt;""), I$6:I38, (A$6:A38-A$5:A37)))/1000)/H$3, ""))</f>
        <v>#N/A</v>
      </c>
      <c r="M38" s="1">
        <f t="shared" si="8"/>
        <v>340</v>
      </c>
      <c r="N38" s="1">
        <f t="shared" si="9"/>
        <v>0</v>
      </c>
      <c r="U38" s="1" t="e">
        <f t="shared" si="10"/>
        <v>#N/A</v>
      </c>
      <c r="V38" s="1" t="e">
        <f t="shared" si="1"/>
        <v>#N/A</v>
      </c>
      <c r="W38" s="1" t="e">
        <f t="shared" si="11"/>
        <v>#N/A</v>
      </c>
      <c r="X38" s="8" t="e" cm="1">
        <f t="array" ref="X38">IF(U38="","", IFERROR(((IF(U$5&lt;&gt;"", U$5*M$5, 0) + SUMPRODUCT(--(U$6:U38&lt;&gt;""), U$6:U38, (M$6:M38-M$5:M37)))/1000)/T$3, ""))</f>
        <v>#N/A</v>
      </c>
      <c r="Y38" s="1">
        <f t="shared" si="12"/>
        <v>340</v>
      </c>
      <c r="Z38" s="1">
        <f t="shared" si="13"/>
        <v>0</v>
      </c>
      <c r="AG38" s="1" t="e">
        <f t="shared" si="14"/>
        <v>#N/A</v>
      </c>
      <c r="AH38" s="1" t="e">
        <f t="shared" si="2"/>
        <v>#N/A</v>
      </c>
      <c r="AI38" s="1" t="e">
        <f t="shared" si="15"/>
        <v>#N/A</v>
      </c>
      <c r="AJ38" s="8" t="e" cm="1">
        <f t="array" ref="AJ38">IF(AG38="","", IFERROR(((IF(AG$5&lt;&gt;"", AG$5*Y$5, 0) + SUMPRODUCT(--(AG$6:AG38&lt;&gt;""), AG$6:AG38, (Y$6:Y38-Y$5:Y37)))/1000)/AF$3, ""))</f>
        <v>#N/A</v>
      </c>
      <c r="AK38" s="1">
        <f t="shared" si="16"/>
        <v>340</v>
      </c>
      <c r="AL38" s="1">
        <f t="shared" si="17"/>
        <v>0</v>
      </c>
      <c r="AS38" s="1" t="e">
        <f t="shared" si="18"/>
        <v>#N/A</v>
      </c>
      <c r="AT38" s="1" t="e">
        <f t="shared" si="3"/>
        <v>#N/A</v>
      </c>
      <c r="AU38" s="1" t="e">
        <f t="shared" si="19"/>
        <v>#N/A</v>
      </c>
      <c r="AV38" s="8" t="e" cm="1">
        <f t="array" ref="AV38">IF(AS38="","", IFERROR(((IF(AS$5&lt;&gt;"", AS$5*AK$5, 0) + SUMPRODUCT(--(AS$6:AS38&lt;&gt;""), AS$6:AS38, (AK$6:AK38-AK$5:AK37)))/1000)/AR$3, ""))</f>
        <v>#N/A</v>
      </c>
    </row>
    <row r="39" spans="1:48" x14ac:dyDescent="0.25">
      <c r="A39" s="1">
        <f t="shared" si="4"/>
        <v>350</v>
      </c>
      <c r="B39" s="1">
        <f t="shared" si="5"/>
        <v>0</v>
      </c>
      <c r="I39" s="1" t="e">
        <f t="shared" si="6"/>
        <v>#N/A</v>
      </c>
      <c r="J39" s="1" t="e">
        <f t="shared" si="0"/>
        <v>#N/A</v>
      </c>
      <c r="K39" s="1" t="e">
        <f t="shared" si="7"/>
        <v>#N/A</v>
      </c>
      <c r="L39" s="8" t="e" cm="1">
        <f t="array" ref="L39">IF(I39="","", IFERROR(((IF(I$5&lt;&gt;"", I$5*A$5, 0) + SUMPRODUCT(--(I$6:I39&lt;&gt;""), I$6:I39, (A$6:A39-A$5:A38)))/1000)/H$3, ""))</f>
        <v>#N/A</v>
      </c>
      <c r="M39" s="1">
        <f t="shared" si="8"/>
        <v>350</v>
      </c>
      <c r="N39" s="1">
        <f t="shared" si="9"/>
        <v>0</v>
      </c>
      <c r="U39" s="1" t="e">
        <f t="shared" si="10"/>
        <v>#N/A</v>
      </c>
      <c r="V39" s="1" t="e">
        <f t="shared" si="1"/>
        <v>#N/A</v>
      </c>
      <c r="W39" s="1" t="e">
        <f t="shared" si="11"/>
        <v>#N/A</v>
      </c>
      <c r="X39" s="8" t="e" cm="1">
        <f t="array" ref="X39">IF(U39="","", IFERROR(((IF(U$5&lt;&gt;"", U$5*M$5, 0) + SUMPRODUCT(--(U$6:U39&lt;&gt;""), U$6:U39, (M$6:M39-M$5:M38)))/1000)/T$3, ""))</f>
        <v>#N/A</v>
      </c>
      <c r="Y39" s="1">
        <f t="shared" si="12"/>
        <v>350</v>
      </c>
      <c r="Z39" s="1">
        <f t="shared" si="13"/>
        <v>0</v>
      </c>
      <c r="AG39" s="1" t="e">
        <f t="shared" si="14"/>
        <v>#N/A</v>
      </c>
      <c r="AH39" s="1" t="e">
        <f t="shared" si="2"/>
        <v>#N/A</v>
      </c>
      <c r="AI39" s="1" t="e">
        <f t="shared" si="15"/>
        <v>#N/A</v>
      </c>
      <c r="AJ39" s="8" t="e" cm="1">
        <f t="array" ref="AJ39">IF(AG39="","", IFERROR(((IF(AG$5&lt;&gt;"", AG$5*Y$5, 0) + SUMPRODUCT(--(AG$6:AG39&lt;&gt;""), AG$6:AG39, (Y$6:Y39-Y$5:Y38)))/1000)/AF$3, ""))</f>
        <v>#N/A</v>
      </c>
      <c r="AK39" s="1">
        <f t="shared" si="16"/>
        <v>350</v>
      </c>
      <c r="AL39" s="1">
        <f t="shared" si="17"/>
        <v>0</v>
      </c>
      <c r="AS39" s="1" t="e">
        <f t="shared" si="18"/>
        <v>#N/A</v>
      </c>
      <c r="AT39" s="1" t="e">
        <f t="shared" si="3"/>
        <v>#N/A</v>
      </c>
      <c r="AU39" s="1" t="e">
        <f t="shared" si="19"/>
        <v>#N/A</v>
      </c>
      <c r="AV39" s="8" t="e" cm="1">
        <f t="array" ref="AV39">IF(AS39="","", IFERROR(((IF(AS$5&lt;&gt;"", AS$5*AK$5, 0) + SUMPRODUCT(--(AS$6:AS39&lt;&gt;""), AS$6:AS39, (AK$6:AK39-AK$5:AK38)))/1000)/AR$3, ""))</f>
        <v>#N/A</v>
      </c>
    </row>
    <row r="40" spans="1:48" x14ac:dyDescent="0.25">
      <c r="A40" s="1">
        <f t="shared" si="4"/>
        <v>360</v>
      </c>
      <c r="B40" s="1">
        <f t="shared" si="5"/>
        <v>0</v>
      </c>
      <c r="I40" s="1" t="e">
        <f t="shared" si="6"/>
        <v>#N/A</v>
      </c>
      <c r="J40" s="1" t="e">
        <f t="shared" si="0"/>
        <v>#N/A</v>
      </c>
      <c r="K40" s="1" t="e">
        <f t="shared" si="7"/>
        <v>#N/A</v>
      </c>
      <c r="L40" s="8" t="e" cm="1">
        <f t="array" ref="L40">IF(I40="","", IFERROR(((IF(I$5&lt;&gt;"", I$5*A$5, 0) + SUMPRODUCT(--(I$6:I40&lt;&gt;""), I$6:I40, (A$6:A40-A$5:A39)))/1000)/H$3, ""))</f>
        <v>#N/A</v>
      </c>
      <c r="M40" s="1">
        <f t="shared" si="8"/>
        <v>360</v>
      </c>
      <c r="N40" s="1">
        <f t="shared" si="9"/>
        <v>0</v>
      </c>
      <c r="U40" s="1" t="e">
        <f t="shared" si="10"/>
        <v>#N/A</v>
      </c>
      <c r="V40" s="1" t="e">
        <f t="shared" si="1"/>
        <v>#N/A</v>
      </c>
      <c r="W40" s="1" t="e">
        <f t="shared" si="11"/>
        <v>#N/A</v>
      </c>
      <c r="X40" s="8" t="e" cm="1">
        <f t="array" ref="X40">IF(U40="","", IFERROR(((IF(U$5&lt;&gt;"", U$5*M$5, 0) + SUMPRODUCT(--(U$6:U40&lt;&gt;""), U$6:U40, (M$6:M40-M$5:M39)))/1000)/T$3, ""))</f>
        <v>#N/A</v>
      </c>
      <c r="Y40" s="1">
        <f t="shared" si="12"/>
        <v>360</v>
      </c>
      <c r="Z40" s="1">
        <f t="shared" si="13"/>
        <v>0</v>
      </c>
      <c r="AG40" s="1" t="e">
        <f t="shared" si="14"/>
        <v>#N/A</v>
      </c>
      <c r="AH40" s="1" t="e">
        <f t="shared" si="2"/>
        <v>#N/A</v>
      </c>
      <c r="AI40" s="1" t="e">
        <f t="shared" si="15"/>
        <v>#N/A</v>
      </c>
      <c r="AJ40" s="8" t="e" cm="1">
        <f t="array" ref="AJ40">IF(AG40="","", IFERROR(((IF(AG$5&lt;&gt;"", AG$5*Y$5, 0) + SUMPRODUCT(--(AG$6:AG40&lt;&gt;""), AG$6:AG40, (Y$6:Y40-Y$5:Y39)))/1000)/AF$3, ""))</f>
        <v>#N/A</v>
      </c>
      <c r="AK40" s="1">
        <f t="shared" si="16"/>
        <v>360</v>
      </c>
      <c r="AL40" s="1">
        <f t="shared" si="17"/>
        <v>0</v>
      </c>
      <c r="AS40" s="1" t="e">
        <f t="shared" si="18"/>
        <v>#N/A</v>
      </c>
      <c r="AT40" s="1" t="e">
        <f t="shared" si="3"/>
        <v>#N/A</v>
      </c>
      <c r="AU40" s="1" t="e">
        <f t="shared" si="19"/>
        <v>#N/A</v>
      </c>
      <c r="AV40" s="8" t="e" cm="1">
        <f t="array" ref="AV40">IF(AS40="","", IFERROR(((IF(AS$5&lt;&gt;"", AS$5*AK$5, 0) + SUMPRODUCT(--(AS$6:AS40&lt;&gt;""), AS$6:AS40, (AK$6:AK40-AK$5:AK39)))/1000)/AR$3, ""))</f>
        <v>#N/A</v>
      </c>
    </row>
    <row r="41" spans="1:48" x14ac:dyDescent="0.25">
      <c r="A41" s="1">
        <f t="shared" si="4"/>
        <v>370</v>
      </c>
      <c r="B41" s="1">
        <f t="shared" si="5"/>
        <v>0</v>
      </c>
      <c r="I41" s="1" t="e">
        <f t="shared" si="6"/>
        <v>#N/A</v>
      </c>
      <c r="J41" s="1" t="e">
        <f t="shared" si="0"/>
        <v>#N/A</v>
      </c>
      <c r="K41" s="1" t="e">
        <f t="shared" si="7"/>
        <v>#N/A</v>
      </c>
      <c r="L41" s="8" t="e" cm="1">
        <f t="array" ref="L41">IF(I41="","", IFERROR(((IF(I$5&lt;&gt;"", I$5*A$5, 0) + SUMPRODUCT(--(I$6:I41&lt;&gt;""), I$6:I41, (A$6:A41-A$5:A40)))/1000)/H$3, ""))</f>
        <v>#N/A</v>
      </c>
      <c r="M41" s="1">
        <f t="shared" si="8"/>
        <v>370</v>
      </c>
      <c r="N41" s="1">
        <f t="shared" si="9"/>
        <v>0</v>
      </c>
      <c r="U41" s="1" t="e">
        <f t="shared" si="10"/>
        <v>#N/A</v>
      </c>
      <c r="V41" s="1" t="e">
        <f t="shared" si="1"/>
        <v>#N/A</v>
      </c>
      <c r="W41" s="1" t="e">
        <f t="shared" si="11"/>
        <v>#N/A</v>
      </c>
      <c r="X41" s="8" t="e" cm="1">
        <f t="array" ref="X41">IF(U41="","", IFERROR(((IF(U$5&lt;&gt;"", U$5*M$5, 0) + SUMPRODUCT(--(U$6:U41&lt;&gt;""), U$6:U41, (M$6:M41-M$5:M40)))/1000)/T$3, ""))</f>
        <v>#N/A</v>
      </c>
      <c r="Y41" s="1">
        <f t="shared" si="12"/>
        <v>370</v>
      </c>
      <c r="Z41" s="1">
        <f t="shared" si="13"/>
        <v>0</v>
      </c>
      <c r="AG41" s="1" t="e">
        <f t="shared" si="14"/>
        <v>#N/A</v>
      </c>
      <c r="AH41" s="1" t="e">
        <f t="shared" si="2"/>
        <v>#N/A</v>
      </c>
      <c r="AI41" s="1" t="e">
        <f t="shared" si="15"/>
        <v>#N/A</v>
      </c>
      <c r="AJ41" s="8" t="e" cm="1">
        <f t="array" ref="AJ41">IF(AG41="","", IFERROR(((IF(AG$5&lt;&gt;"", AG$5*Y$5, 0) + SUMPRODUCT(--(AG$6:AG41&lt;&gt;""), AG$6:AG41, (Y$6:Y41-Y$5:Y40)))/1000)/AF$3, ""))</f>
        <v>#N/A</v>
      </c>
      <c r="AK41" s="1">
        <f t="shared" si="16"/>
        <v>370</v>
      </c>
      <c r="AL41" s="1">
        <f t="shared" si="17"/>
        <v>0</v>
      </c>
      <c r="AS41" s="1" t="e">
        <f t="shared" si="18"/>
        <v>#N/A</v>
      </c>
      <c r="AT41" s="1" t="e">
        <f t="shared" si="3"/>
        <v>#N/A</v>
      </c>
      <c r="AU41" s="1" t="e">
        <f t="shared" si="19"/>
        <v>#N/A</v>
      </c>
      <c r="AV41" s="8" t="e" cm="1">
        <f t="array" ref="AV41">IF(AS41="","", IFERROR(((IF(AS$5&lt;&gt;"", AS$5*AK$5, 0) + SUMPRODUCT(--(AS$6:AS41&lt;&gt;""), AS$6:AS41, (AK$6:AK41-AK$5:AK40)))/1000)/AR$3, ""))</f>
        <v>#N/A</v>
      </c>
    </row>
    <row r="42" spans="1:48" x14ac:dyDescent="0.25">
      <c r="A42" s="1">
        <f t="shared" si="4"/>
        <v>380</v>
      </c>
      <c r="B42" s="1">
        <f t="shared" si="5"/>
        <v>0</v>
      </c>
      <c r="I42" s="1" t="e">
        <f t="shared" si="6"/>
        <v>#N/A</v>
      </c>
      <c r="J42" s="1" t="e">
        <f t="shared" si="0"/>
        <v>#N/A</v>
      </c>
      <c r="K42" s="1" t="e">
        <f t="shared" si="7"/>
        <v>#N/A</v>
      </c>
      <c r="L42" s="8" t="e" cm="1">
        <f t="array" ref="L42">IF(I42="","", IFERROR(((IF(I$5&lt;&gt;"", I$5*A$5, 0) + SUMPRODUCT(--(I$6:I42&lt;&gt;""), I$6:I42, (A$6:A42-A$5:A41)))/1000)/H$3, ""))</f>
        <v>#N/A</v>
      </c>
      <c r="M42" s="1">
        <f t="shared" si="8"/>
        <v>380</v>
      </c>
      <c r="N42" s="1">
        <f t="shared" si="9"/>
        <v>0</v>
      </c>
      <c r="U42" s="1" t="e">
        <f t="shared" si="10"/>
        <v>#N/A</v>
      </c>
      <c r="V42" s="1" t="e">
        <f t="shared" si="1"/>
        <v>#N/A</v>
      </c>
      <c r="W42" s="1" t="e">
        <f t="shared" si="11"/>
        <v>#N/A</v>
      </c>
      <c r="X42" s="8" t="e" cm="1">
        <f t="array" ref="X42">IF(U42="","", IFERROR(((IF(U$5&lt;&gt;"", U$5*M$5, 0) + SUMPRODUCT(--(U$6:U42&lt;&gt;""), U$6:U42, (M$6:M42-M$5:M41)))/1000)/T$3, ""))</f>
        <v>#N/A</v>
      </c>
      <c r="Y42" s="1">
        <f t="shared" si="12"/>
        <v>380</v>
      </c>
      <c r="Z42" s="1">
        <f t="shared" si="13"/>
        <v>0</v>
      </c>
      <c r="AG42" s="1" t="e">
        <f t="shared" si="14"/>
        <v>#N/A</v>
      </c>
      <c r="AH42" s="1" t="e">
        <f t="shared" si="2"/>
        <v>#N/A</v>
      </c>
      <c r="AI42" s="1" t="e">
        <f t="shared" si="15"/>
        <v>#N/A</v>
      </c>
      <c r="AJ42" s="8" t="e" cm="1">
        <f t="array" ref="AJ42">IF(AG42="","", IFERROR(((IF(AG$5&lt;&gt;"", AG$5*Y$5, 0) + SUMPRODUCT(--(AG$6:AG42&lt;&gt;""), AG$6:AG42, (Y$6:Y42-Y$5:Y41)))/1000)/AF$3, ""))</f>
        <v>#N/A</v>
      </c>
      <c r="AK42" s="1">
        <f t="shared" si="16"/>
        <v>380</v>
      </c>
      <c r="AL42" s="1">
        <f t="shared" si="17"/>
        <v>0</v>
      </c>
      <c r="AS42" s="1" t="e">
        <f t="shared" si="18"/>
        <v>#N/A</v>
      </c>
      <c r="AT42" s="1" t="e">
        <f t="shared" si="3"/>
        <v>#N/A</v>
      </c>
      <c r="AU42" s="1" t="e">
        <f t="shared" si="19"/>
        <v>#N/A</v>
      </c>
      <c r="AV42" s="8" t="e" cm="1">
        <f t="array" ref="AV42">IF(AS42="","", IFERROR(((IF(AS$5&lt;&gt;"", AS$5*AK$5, 0) + SUMPRODUCT(--(AS$6:AS42&lt;&gt;""), AS$6:AS42, (AK$6:AK42-AK$5:AK41)))/1000)/AR$3, ""))</f>
        <v>#N/A</v>
      </c>
    </row>
    <row r="43" spans="1:48" x14ac:dyDescent="0.25">
      <c r="A43" s="1">
        <f t="shared" si="4"/>
        <v>390</v>
      </c>
      <c r="B43" s="1">
        <f t="shared" si="5"/>
        <v>0</v>
      </c>
      <c r="I43" s="1" t="e">
        <f t="shared" si="6"/>
        <v>#N/A</v>
      </c>
      <c r="J43" s="1" t="e">
        <f t="shared" si="0"/>
        <v>#N/A</v>
      </c>
      <c r="K43" s="1" t="e">
        <f t="shared" si="7"/>
        <v>#N/A</v>
      </c>
      <c r="L43" s="8" t="e" cm="1">
        <f t="array" ref="L43">IF(I43="","", IFERROR(((IF(I$5&lt;&gt;"", I$5*A$5, 0) + SUMPRODUCT(--(I$6:I43&lt;&gt;""), I$6:I43, (A$6:A43-A$5:A42)))/1000)/H$3, ""))</f>
        <v>#N/A</v>
      </c>
      <c r="M43" s="1">
        <f t="shared" si="8"/>
        <v>390</v>
      </c>
      <c r="N43" s="1">
        <f t="shared" si="9"/>
        <v>0</v>
      </c>
      <c r="U43" s="1" t="e">
        <f t="shared" si="10"/>
        <v>#N/A</v>
      </c>
      <c r="V43" s="1" t="e">
        <f t="shared" si="1"/>
        <v>#N/A</v>
      </c>
      <c r="W43" s="1" t="e">
        <f t="shared" si="11"/>
        <v>#N/A</v>
      </c>
      <c r="X43" s="8" t="e" cm="1">
        <f t="array" ref="X43">IF(U43="","", IFERROR(((IF(U$5&lt;&gt;"", U$5*M$5, 0) + SUMPRODUCT(--(U$6:U43&lt;&gt;""), U$6:U43, (M$6:M43-M$5:M42)))/1000)/T$3, ""))</f>
        <v>#N/A</v>
      </c>
      <c r="Y43" s="1">
        <f t="shared" si="12"/>
        <v>390</v>
      </c>
      <c r="Z43" s="1">
        <f t="shared" si="13"/>
        <v>0</v>
      </c>
      <c r="AG43" s="1" t="e">
        <f t="shared" si="14"/>
        <v>#N/A</v>
      </c>
      <c r="AH43" s="1" t="e">
        <f t="shared" si="2"/>
        <v>#N/A</v>
      </c>
      <c r="AI43" s="1" t="e">
        <f t="shared" si="15"/>
        <v>#N/A</v>
      </c>
      <c r="AJ43" s="8" t="e" cm="1">
        <f t="array" ref="AJ43">IF(AG43="","", IFERROR(((IF(AG$5&lt;&gt;"", AG$5*Y$5, 0) + SUMPRODUCT(--(AG$6:AG43&lt;&gt;""), AG$6:AG43, (Y$6:Y43-Y$5:Y42)))/1000)/AF$3, ""))</f>
        <v>#N/A</v>
      </c>
      <c r="AK43" s="1">
        <f t="shared" si="16"/>
        <v>390</v>
      </c>
      <c r="AL43" s="1">
        <f t="shared" si="17"/>
        <v>0</v>
      </c>
      <c r="AS43" s="1" t="e">
        <f t="shared" si="18"/>
        <v>#N/A</v>
      </c>
      <c r="AT43" s="1" t="e">
        <f t="shared" si="3"/>
        <v>#N/A</v>
      </c>
      <c r="AU43" s="1" t="e">
        <f t="shared" si="19"/>
        <v>#N/A</v>
      </c>
      <c r="AV43" s="8" t="e" cm="1">
        <f t="array" ref="AV43">IF(AS43="","", IFERROR(((IF(AS$5&lt;&gt;"", AS$5*AK$5, 0) + SUMPRODUCT(--(AS$6:AS43&lt;&gt;""), AS$6:AS43, (AK$6:AK43-AK$5:AK42)))/1000)/AR$3, ""))</f>
        <v>#N/A</v>
      </c>
    </row>
    <row r="44" spans="1:48" x14ac:dyDescent="0.25">
      <c r="A44" s="1">
        <f t="shared" si="4"/>
        <v>400</v>
      </c>
      <c r="B44" s="1">
        <f t="shared" si="5"/>
        <v>0</v>
      </c>
      <c r="I44" s="1" t="e">
        <f t="shared" si="6"/>
        <v>#N/A</v>
      </c>
      <c r="J44" s="1" t="e">
        <f t="shared" si="0"/>
        <v>#N/A</v>
      </c>
      <c r="K44" s="1" t="e">
        <f t="shared" si="7"/>
        <v>#N/A</v>
      </c>
      <c r="L44" s="8" t="e" cm="1">
        <f t="array" ref="L44">IF(I44="","", IFERROR(((IF(I$5&lt;&gt;"", I$5*A$5, 0) + SUMPRODUCT(--(I$6:I44&lt;&gt;""), I$6:I44, (A$6:A44-A$5:A43)))/1000)/H$3, ""))</f>
        <v>#N/A</v>
      </c>
      <c r="M44" s="1">
        <f t="shared" si="8"/>
        <v>400</v>
      </c>
      <c r="N44" s="1">
        <f t="shared" si="9"/>
        <v>0</v>
      </c>
      <c r="U44" s="1" t="e">
        <f t="shared" si="10"/>
        <v>#N/A</v>
      </c>
      <c r="V44" s="1" t="e">
        <f t="shared" si="1"/>
        <v>#N/A</v>
      </c>
      <c r="W44" s="1" t="e">
        <f t="shared" si="11"/>
        <v>#N/A</v>
      </c>
      <c r="X44" s="8" t="e" cm="1">
        <f t="array" ref="X44">IF(U44="","", IFERROR(((IF(U$5&lt;&gt;"", U$5*M$5, 0) + SUMPRODUCT(--(U$6:U44&lt;&gt;""), U$6:U44, (M$6:M44-M$5:M43)))/1000)/T$3, ""))</f>
        <v>#N/A</v>
      </c>
      <c r="Y44" s="1">
        <f t="shared" si="12"/>
        <v>400</v>
      </c>
      <c r="Z44" s="1">
        <f t="shared" si="13"/>
        <v>0</v>
      </c>
      <c r="AG44" s="1" t="e">
        <f t="shared" si="14"/>
        <v>#N/A</v>
      </c>
      <c r="AH44" s="1" t="e">
        <f t="shared" si="2"/>
        <v>#N/A</v>
      </c>
      <c r="AI44" s="1" t="e">
        <f t="shared" si="15"/>
        <v>#N/A</v>
      </c>
      <c r="AJ44" s="8" t="e" cm="1">
        <f t="array" ref="AJ44">IF(AG44="","", IFERROR(((IF(AG$5&lt;&gt;"", AG$5*Y$5, 0) + SUMPRODUCT(--(AG$6:AG44&lt;&gt;""), AG$6:AG44, (Y$6:Y44-Y$5:Y43)))/1000)/AF$3, ""))</f>
        <v>#N/A</v>
      </c>
      <c r="AK44" s="1">
        <f t="shared" si="16"/>
        <v>400</v>
      </c>
      <c r="AL44" s="1">
        <f t="shared" si="17"/>
        <v>0</v>
      </c>
      <c r="AS44" s="1" t="e">
        <f t="shared" si="18"/>
        <v>#N/A</v>
      </c>
      <c r="AT44" s="1" t="e">
        <f t="shared" si="3"/>
        <v>#N/A</v>
      </c>
      <c r="AU44" s="1" t="e">
        <f t="shared" si="19"/>
        <v>#N/A</v>
      </c>
      <c r="AV44" s="8" t="e" cm="1">
        <f t="array" ref="AV44">IF(AS44="","", IFERROR(((IF(AS$5&lt;&gt;"", AS$5*AK$5, 0) + SUMPRODUCT(--(AS$6:AS44&lt;&gt;""), AS$6:AS44, (AK$6:AK44-AK$5:AK43)))/1000)/AR$3, ""))</f>
        <v>#N/A</v>
      </c>
    </row>
    <row r="45" spans="1:48" x14ac:dyDescent="0.25">
      <c r="A45" s="1">
        <f t="shared" si="4"/>
        <v>410</v>
      </c>
      <c r="B45" s="1">
        <f t="shared" si="5"/>
        <v>0</v>
      </c>
      <c r="I45" s="1" t="e">
        <f t="shared" si="6"/>
        <v>#N/A</v>
      </c>
      <c r="J45" s="1" t="e">
        <f t="shared" si="0"/>
        <v>#N/A</v>
      </c>
      <c r="K45" s="1" t="e">
        <f t="shared" si="7"/>
        <v>#N/A</v>
      </c>
      <c r="L45" s="8" t="e" cm="1">
        <f t="array" ref="L45">IF(I45="","", IFERROR(((IF(I$5&lt;&gt;"", I$5*A$5, 0) + SUMPRODUCT(--(I$6:I45&lt;&gt;""), I$6:I45, (A$6:A45-A$5:A44)))/1000)/H$3, ""))</f>
        <v>#N/A</v>
      </c>
      <c r="M45" s="1">
        <f t="shared" si="8"/>
        <v>410</v>
      </c>
      <c r="N45" s="1">
        <f t="shared" si="9"/>
        <v>0</v>
      </c>
      <c r="U45" s="1" t="e">
        <f t="shared" si="10"/>
        <v>#N/A</v>
      </c>
      <c r="V45" s="1" t="e">
        <f t="shared" si="1"/>
        <v>#N/A</v>
      </c>
      <c r="W45" s="1" t="e">
        <f t="shared" si="11"/>
        <v>#N/A</v>
      </c>
      <c r="X45" s="8" t="e" cm="1">
        <f t="array" ref="X45">IF(U45="","", IFERROR(((IF(U$5&lt;&gt;"", U$5*M$5, 0) + SUMPRODUCT(--(U$6:U45&lt;&gt;""), U$6:U45, (M$6:M45-M$5:M44)))/1000)/T$3, ""))</f>
        <v>#N/A</v>
      </c>
      <c r="Y45" s="1">
        <f t="shared" si="12"/>
        <v>410</v>
      </c>
      <c r="Z45" s="1">
        <f t="shared" si="13"/>
        <v>0</v>
      </c>
      <c r="AG45" s="1" t="e">
        <f t="shared" si="14"/>
        <v>#N/A</v>
      </c>
      <c r="AH45" s="1" t="e">
        <f t="shared" si="2"/>
        <v>#N/A</v>
      </c>
      <c r="AI45" s="1" t="e">
        <f t="shared" si="15"/>
        <v>#N/A</v>
      </c>
      <c r="AJ45" s="8" t="e" cm="1">
        <f t="array" ref="AJ45">IF(AG45="","", IFERROR(((IF(AG$5&lt;&gt;"", AG$5*Y$5, 0) + SUMPRODUCT(--(AG$6:AG45&lt;&gt;""), AG$6:AG45, (Y$6:Y45-Y$5:Y44)))/1000)/AF$3, ""))</f>
        <v>#N/A</v>
      </c>
      <c r="AK45" s="1">
        <f t="shared" si="16"/>
        <v>410</v>
      </c>
      <c r="AL45" s="1">
        <f t="shared" si="17"/>
        <v>0</v>
      </c>
      <c r="AS45" s="1" t="e">
        <f t="shared" si="18"/>
        <v>#N/A</v>
      </c>
      <c r="AT45" s="1" t="e">
        <f t="shared" si="3"/>
        <v>#N/A</v>
      </c>
      <c r="AU45" s="1" t="e">
        <f t="shared" si="19"/>
        <v>#N/A</v>
      </c>
      <c r="AV45" s="8" t="e" cm="1">
        <f t="array" ref="AV45">IF(AS45="","", IFERROR(((IF(AS$5&lt;&gt;"", AS$5*AK$5, 0) + SUMPRODUCT(--(AS$6:AS45&lt;&gt;""), AS$6:AS45, (AK$6:AK45-AK$5:AK44)))/1000)/AR$3, ""))</f>
        <v>#N/A</v>
      </c>
    </row>
    <row r="46" spans="1:48" x14ac:dyDescent="0.25">
      <c r="A46" s="1">
        <f t="shared" si="4"/>
        <v>420</v>
      </c>
      <c r="B46" s="1">
        <f t="shared" si="5"/>
        <v>0</v>
      </c>
      <c r="I46" s="1" t="e">
        <f t="shared" si="6"/>
        <v>#N/A</v>
      </c>
      <c r="J46" s="1" t="e">
        <f t="shared" si="0"/>
        <v>#N/A</v>
      </c>
      <c r="K46" s="1" t="e">
        <f t="shared" si="7"/>
        <v>#N/A</v>
      </c>
      <c r="L46" s="8" t="e" cm="1">
        <f t="array" ref="L46">IF(I46="","", IFERROR(((IF(I$5&lt;&gt;"", I$5*A$5, 0) + SUMPRODUCT(--(I$6:I46&lt;&gt;""), I$6:I46, (A$6:A46-A$5:A45)))/1000)/H$3, ""))</f>
        <v>#N/A</v>
      </c>
      <c r="M46" s="1">
        <f t="shared" si="8"/>
        <v>420</v>
      </c>
      <c r="N46" s="1">
        <f t="shared" si="9"/>
        <v>0</v>
      </c>
      <c r="U46" s="1" t="e">
        <f t="shared" si="10"/>
        <v>#N/A</v>
      </c>
      <c r="V46" s="1" t="e">
        <f t="shared" si="1"/>
        <v>#N/A</v>
      </c>
      <c r="W46" s="1" t="e">
        <f t="shared" si="11"/>
        <v>#N/A</v>
      </c>
      <c r="X46" s="8" t="e" cm="1">
        <f t="array" ref="X46">IF(U46="","", IFERROR(((IF(U$5&lt;&gt;"", U$5*M$5, 0) + SUMPRODUCT(--(U$6:U46&lt;&gt;""), U$6:U46, (M$6:M46-M$5:M45)))/1000)/T$3, ""))</f>
        <v>#N/A</v>
      </c>
      <c r="Y46" s="1">
        <f t="shared" si="12"/>
        <v>420</v>
      </c>
      <c r="Z46" s="1">
        <f t="shared" si="13"/>
        <v>0</v>
      </c>
      <c r="AG46" s="1" t="e">
        <f t="shared" si="14"/>
        <v>#N/A</v>
      </c>
      <c r="AH46" s="1" t="e">
        <f t="shared" si="2"/>
        <v>#N/A</v>
      </c>
      <c r="AI46" s="1" t="e">
        <f t="shared" si="15"/>
        <v>#N/A</v>
      </c>
      <c r="AJ46" s="8" t="e" cm="1">
        <f t="array" ref="AJ46">IF(AG46="","", IFERROR(((IF(AG$5&lt;&gt;"", AG$5*Y$5, 0) + SUMPRODUCT(--(AG$6:AG46&lt;&gt;""), AG$6:AG46, (Y$6:Y46-Y$5:Y45)))/1000)/AF$3, ""))</f>
        <v>#N/A</v>
      </c>
      <c r="AK46" s="1">
        <f t="shared" si="16"/>
        <v>420</v>
      </c>
      <c r="AL46" s="1">
        <f t="shared" si="17"/>
        <v>0</v>
      </c>
      <c r="AS46" s="1" t="e">
        <f t="shared" si="18"/>
        <v>#N/A</v>
      </c>
      <c r="AT46" s="1" t="e">
        <f t="shared" si="3"/>
        <v>#N/A</v>
      </c>
      <c r="AU46" s="1" t="e">
        <f t="shared" si="19"/>
        <v>#N/A</v>
      </c>
      <c r="AV46" s="8" t="e" cm="1">
        <f t="array" ref="AV46">IF(AS46="","", IFERROR(((IF(AS$5&lt;&gt;"", AS$5*AK$5, 0) + SUMPRODUCT(--(AS$6:AS46&lt;&gt;""), AS$6:AS46, (AK$6:AK46-AK$5:AK45)))/1000)/AR$3, ""))</f>
        <v>#N/A</v>
      </c>
    </row>
    <row r="47" spans="1:48" x14ac:dyDescent="0.25">
      <c r="A47" s="1">
        <f t="shared" si="4"/>
        <v>430</v>
      </c>
      <c r="B47" s="1">
        <f t="shared" si="5"/>
        <v>0</v>
      </c>
      <c r="I47" s="1" t="e">
        <f t="shared" si="6"/>
        <v>#N/A</v>
      </c>
      <c r="J47" s="1" t="e">
        <f t="shared" si="0"/>
        <v>#N/A</v>
      </c>
      <c r="K47" s="1" t="e">
        <f t="shared" si="7"/>
        <v>#N/A</v>
      </c>
      <c r="L47" s="8" t="e" cm="1">
        <f t="array" ref="L47">IF(I47="","", IFERROR(((IF(I$5&lt;&gt;"", I$5*A$5, 0) + SUMPRODUCT(--(I$6:I47&lt;&gt;""), I$6:I47, (A$6:A47-A$5:A46)))/1000)/H$3, ""))</f>
        <v>#N/A</v>
      </c>
      <c r="M47" s="1">
        <f t="shared" si="8"/>
        <v>430</v>
      </c>
      <c r="N47" s="1">
        <f t="shared" si="9"/>
        <v>0</v>
      </c>
      <c r="U47" s="1" t="e">
        <f t="shared" si="10"/>
        <v>#N/A</v>
      </c>
      <c r="V47" s="1" t="e">
        <f t="shared" si="1"/>
        <v>#N/A</v>
      </c>
      <c r="W47" s="1" t="e">
        <f t="shared" si="11"/>
        <v>#N/A</v>
      </c>
      <c r="X47" s="8" t="e" cm="1">
        <f t="array" ref="X47">IF(U47="","", IFERROR(((IF(U$5&lt;&gt;"", U$5*M$5, 0) + SUMPRODUCT(--(U$6:U47&lt;&gt;""), U$6:U47, (M$6:M47-M$5:M46)))/1000)/T$3, ""))</f>
        <v>#N/A</v>
      </c>
      <c r="Y47" s="1">
        <f t="shared" si="12"/>
        <v>430</v>
      </c>
      <c r="Z47" s="1">
        <f t="shared" si="13"/>
        <v>0</v>
      </c>
      <c r="AG47" s="1" t="e">
        <f t="shared" si="14"/>
        <v>#N/A</v>
      </c>
      <c r="AH47" s="1" t="e">
        <f t="shared" si="2"/>
        <v>#N/A</v>
      </c>
      <c r="AI47" s="1" t="e">
        <f t="shared" si="15"/>
        <v>#N/A</v>
      </c>
      <c r="AJ47" s="8" t="e" cm="1">
        <f t="array" ref="AJ47">IF(AG47="","", IFERROR(((IF(AG$5&lt;&gt;"", AG$5*Y$5, 0) + SUMPRODUCT(--(AG$6:AG47&lt;&gt;""), AG$6:AG47, (Y$6:Y47-Y$5:Y46)))/1000)/AF$3, ""))</f>
        <v>#N/A</v>
      </c>
      <c r="AK47" s="1">
        <f t="shared" si="16"/>
        <v>430</v>
      </c>
      <c r="AL47" s="1">
        <f t="shared" si="17"/>
        <v>0</v>
      </c>
      <c r="AS47" s="1" t="e">
        <f t="shared" si="18"/>
        <v>#N/A</v>
      </c>
      <c r="AT47" s="1" t="e">
        <f t="shared" si="3"/>
        <v>#N/A</v>
      </c>
      <c r="AU47" s="1" t="e">
        <f t="shared" si="19"/>
        <v>#N/A</v>
      </c>
      <c r="AV47" s="8" t="e" cm="1">
        <f t="array" ref="AV47">IF(AS47="","", IFERROR(((IF(AS$5&lt;&gt;"", AS$5*AK$5, 0) + SUMPRODUCT(--(AS$6:AS47&lt;&gt;""), AS$6:AS47, (AK$6:AK47-AK$5:AK46)))/1000)/AR$3, ""))</f>
        <v>#N/A</v>
      </c>
    </row>
    <row r="48" spans="1:48" x14ac:dyDescent="0.25">
      <c r="A48" s="1">
        <f t="shared" si="4"/>
        <v>440</v>
      </c>
      <c r="B48" s="1">
        <f t="shared" si="5"/>
        <v>0</v>
      </c>
      <c r="I48" s="1" t="e">
        <f t="shared" si="6"/>
        <v>#N/A</v>
      </c>
      <c r="J48" s="1" t="e">
        <f t="shared" si="0"/>
        <v>#N/A</v>
      </c>
      <c r="K48" s="1" t="e">
        <f t="shared" si="7"/>
        <v>#N/A</v>
      </c>
      <c r="L48" s="8" t="e" cm="1">
        <f t="array" ref="L48">IF(I48="","", IFERROR(((IF(I$5&lt;&gt;"", I$5*A$5, 0) + SUMPRODUCT(--(I$6:I48&lt;&gt;""), I$6:I48, (A$6:A48-A$5:A47)))/1000)/H$3, ""))</f>
        <v>#N/A</v>
      </c>
      <c r="M48" s="1">
        <f t="shared" si="8"/>
        <v>440</v>
      </c>
      <c r="N48" s="1">
        <f t="shared" si="9"/>
        <v>0</v>
      </c>
      <c r="U48" s="1" t="e">
        <f t="shared" si="10"/>
        <v>#N/A</v>
      </c>
      <c r="V48" s="1" t="e">
        <f t="shared" si="1"/>
        <v>#N/A</v>
      </c>
      <c r="W48" s="1" t="e">
        <f t="shared" si="11"/>
        <v>#N/A</v>
      </c>
      <c r="X48" s="8" t="e" cm="1">
        <f t="array" ref="X48">IF(U48="","", IFERROR(((IF(U$5&lt;&gt;"", U$5*M$5, 0) + SUMPRODUCT(--(U$6:U48&lt;&gt;""), U$6:U48, (M$6:M48-M$5:M47)))/1000)/T$3, ""))</f>
        <v>#N/A</v>
      </c>
      <c r="Y48" s="1">
        <f t="shared" si="12"/>
        <v>440</v>
      </c>
      <c r="Z48" s="1">
        <f t="shared" si="13"/>
        <v>0</v>
      </c>
      <c r="AG48" s="1" t="e">
        <f t="shared" si="14"/>
        <v>#N/A</v>
      </c>
      <c r="AH48" s="1" t="e">
        <f t="shared" si="2"/>
        <v>#N/A</v>
      </c>
      <c r="AI48" s="1" t="e">
        <f t="shared" si="15"/>
        <v>#N/A</v>
      </c>
      <c r="AJ48" s="8" t="e" cm="1">
        <f t="array" ref="AJ48">IF(AG48="","", IFERROR(((IF(AG$5&lt;&gt;"", AG$5*Y$5, 0) + SUMPRODUCT(--(AG$6:AG48&lt;&gt;""), AG$6:AG48, (Y$6:Y48-Y$5:Y47)))/1000)/AF$3, ""))</f>
        <v>#N/A</v>
      </c>
      <c r="AK48" s="1">
        <f t="shared" si="16"/>
        <v>440</v>
      </c>
      <c r="AL48" s="1">
        <f t="shared" si="17"/>
        <v>0</v>
      </c>
      <c r="AS48" s="1" t="e">
        <f t="shared" si="18"/>
        <v>#N/A</v>
      </c>
      <c r="AT48" s="1" t="e">
        <f t="shared" si="3"/>
        <v>#N/A</v>
      </c>
      <c r="AU48" s="1" t="e">
        <f t="shared" si="19"/>
        <v>#N/A</v>
      </c>
      <c r="AV48" s="8" t="e" cm="1">
        <f t="array" ref="AV48">IF(AS48="","", IFERROR(((IF(AS$5&lt;&gt;"", AS$5*AK$5, 0) + SUMPRODUCT(--(AS$6:AS48&lt;&gt;""), AS$6:AS48, (AK$6:AK48-AK$5:AK47)))/1000)/AR$3, ""))</f>
        <v>#N/A</v>
      </c>
    </row>
    <row r="49" spans="1:48" x14ac:dyDescent="0.25">
      <c r="A49" s="1">
        <f t="shared" si="4"/>
        <v>450</v>
      </c>
      <c r="B49" s="1">
        <f t="shared" si="5"/>
        <v>0</v>
      </c>
      <c r="I49" s="1" t="e">
        <f t="shared" si="6"/>
        <v>#N/A</v>
      </c>
      <c r="J49" s="1" t="e">
        <f t="shared" si="0"/>
        <v>#N/A</v>
      </c>
      <c r="K49" s="1" t="e">
        <f t="shared" si="7"/>
        <v>#N/A</v>
      </c>
      <c r="L49" s="8" t="e" cm="1">
        <f t="array" ref="L49">IF(I49="","", IFERROR(((IF(I$5&lt;&gt;"", I$5*A$5, 0) + SUMPRODUCT(--(I$6:I49&lt;&gt;""), I$6:I49, (A$6:A49-A$5:A48)))/1000)/H$3, ""))</f>
        <v>#N/A</v>
      </c>
      <c r="M49" s="1">
        <f t="shared" si="8"/>
        <v>450</v>
      </c>
      <c r="N49" s="1">
        <f t="shared" si="9"/>
        <v>0</v>
      </c>
      <c r="U49" s="1" t="e">
        <f t="shared" si="10"/>
        <v>#N/A</v>
      </c>
      <c r="V49" s="1" t="e">
        <f t="shared" si="1"/>
        <v>#N/A</v>
      </c>
      <c r="W49" s="1" t="e">
        <f t="shared" si="11"/>
        <v>#N/A</v>
      </c>
      <c r="X49" s="8" t="e" cm="1">
        <f t="array" ref="X49">IF(U49="","", IFERROR(((IF(U$5&lt;&gt;"", U$5*M$5, 0) + SUMPRODUCT(--(U$6:U49&lt;&gt;""), U$6:U49, (M$6:M49-M$5:M48)))/1000)/T$3, ""))</f>
        <v>#N/A</v>
      </c>
      <c r="Y49" s="1">
        <f t="shared" si="12"/>
        <v>450</v>
      </c>
      <c r="Z49" s="1">
        <f t="shared" si="13"/>
        <v>0</v>
      </c>
      <c r="AG49" s="1" t="e">
        <f t="shared" si="14"/>
        <v>#N/A</v>
      </c>
      <c r="AH49" s="1" t="e">
        <f t="shared" si="2"/>
        <v>#N/A</v>
      </c>
      <c r="AI49" s="1" t="e">
        <f t="shared" si="15"/>
        <v>#N/A</v>
      </c>
      <c r="AJ49" s="8" t="e" cm="1">
        <f t="array" ref="AJ49">IF(AG49="","", IFERROR(((IF(AG$5&lt;&gt;"", AG$5*Y$5, 0) + SUMPRODUCT(--(AG$6:AG49&lt;&gt;""), AG$6:AG49, (Y$6:Y49-Y$5:Y48)))/1000)/AF$3, ""))</f>
        <v>#N/A</v>
      </c>
      <c r="AK49" s="1">
        <f t="shared" si="16"/>
        <v>450</v>
      </c>
      <c r="AL49" s="1">
        <f t="shared" si="17"/>
        <v>0</v>
      </c>
      <c r="AS49" s="1" t="e">
        <f t="shared" si="18"/>
        <v>#N/A</v>
      </c>
      <c r="AT49" s="1" t="e">
        <f t="shared" si="3"/>
        <v>#N/A</v>
      </c>
      <c r="AU49" s="1" t="e">
        <f t="shared" si="19"/>
        <v>#N/A</v>
      </c>
      <c r="AV49" s="8" t="e" cm="1">
        <f t="array" ref="AV49">IF(AS49="","", IFERROR(((IF(AS$5&lt;&gt;"", AS$5*AK$5, 0) + SUMPRODUCT(--(AS$6:AS49&lt;&gt;""), AS$6:AS49, (AK$6:AK49-AK$5:AK48)))/1000)/AR$3, ""))</f>
        <v>#N/A</v>
      </c>
    </row>
    <row r="50" spans="1:48" x14ac:dyDescent="0.25">
      <c r="A50" s="1">
        <f t="shared" si="4"/>
        <v>460</v>
      </c>
      <c r="B50" s="1">
        <f t="shared" si="5"/>
        <v>0</v>
      </c>
      <c r="I50" s="1" t="e">
        <f t="shared" si="6"/>
        <v>#N/A</v>
      </c>
      <c r="J50" s="1" t="e">
        <f t="shared" si="0"/>
        <v>#N/A</v>
      </c>
      <c r="K50" s="1" t="e">
        <f t="shared" si="7"/>
        <v>#N/A</v>
      </c>
      <c r="L50" s="8" t="e" cm="1">
        <f t="array" ref="L50">IF(I50="","", IFERROR(((IF(I$5&lt;&gt;"", I$5*A$5, 0) + SUMPRODUCT(--(I$6:I50&lt;&gt;""), I$6:I50, (A$6:A50-A$5:A49)))/1000)/H$3, ""))</f>
        <v>#N/A</v>
      </c>
      <c r="M50" s="1">
        <f t="shared" si="8"/>
        <v>460</v>
      </c>
      <c r="N50" s="1">
        <f t="shared" si="9"/>
        <v>0</v>
      </c>
      <c r="U50" s="1" t="e">
        <f t="shared" si="10"/>
        <v>#N/A</v>
      </c>
      <c r="V50" s="1" t="e">
        <f t="shared" si="1"/>
        <v>#N/A</v>
      </c>
      <c r="W50" s="1" t="e">
        <f t="shared" si="11"/>
        <v>#N/A</v>
      </c>
      <c r="X50" s="8" t="e" cm="1">
        <f t="array" ref="X50">IF(U50="","", IFERROR(((IF(U$5&lt;&gt;"", U$5*M$5, 0) + SUMPRODUCT(--(U$6:U50&lt;&gt;""), U$6:U50, (M$6:M50-M$5:M49)))/1000)/T$3, ""))</f>
        <v>#N/A</v>
      </c>
      <c r="Y50" s="1">
        <f t="shared" si="12"/>
        <v>460</v>
      </c>
      <c r="Z50" s="1">
        <f t="shared" si="13"/>
        <v>0</v>
      </c>
      <c r="AG50" s="1" t="e">
        <f t="shared" si="14"/>
        <v>#N/A</v>
      </c>
      <c r="AH50" s="1" t="e">
        <f t="shared" si="2"/>
        <v>#N/A</v>
      </c>
      <c r="AI50" s="1" t="e">
        <f t="shared" si="15"/>
        <v>#N/A</v>
      </c>
      <c r="AJ50" s="8" t="e" cm="1">
        <f t="array" ref="AJ50">IF(AG50="","", IFERROR(((IF(AG$5&lt;&gt;"", AG$5*Y$5, 0) + SUMPRODUCT(--(AG$6:AG50&lt;&gt;""), AG$6:AG50, (Y$6:Y50-Y$5:Y49)))/1000)/AF$3, ""))</f>
        <v>#N/A</v>
      </c>
      <c r="AK50" s="1">
        <f t="shared" si="16"/>
        <v>460</v>
      </c>
      <c r="AL50" s="1">
        <f t="shared" si="17"/>
        <v>0</v>
      </c>
      <c r="AS50" s="1" t="e">
        <f t="shared" si="18"/>
        <v>#N/A</v>
      </c>
      <c r="AT50" s="1" t="e">
        <f t="shared" si="3"/>
        <v>#N/A</v>
      </c>
      <c r="AU50" s="1" t="e">
        <f t="shared" si="19"/>
        <v>#N/A</v>
      </c>
      <c r="AV50" s="8" t="e" cm="1">
        <f t="array" ref="AV50">IF(AS50="","", IFERROR(((IF(AS$5&lt;&gt;"", AS$5*AK$5, 0) + SUMPRODUCT(--(AS$6:AS50&lt;&gt;""), AS$6:AS50, (AK$6:AK50-AK$5:AK49)))/1000)/AR$3, ""))</f>
        <v>#N/A</v>
      </c>
    </row>
    <row r="51" spans="1:48" x14ac:dyDescent="0.25">
      <c r="A51" s="1">
        <f t="shared" si="4"/>
        <v>470</v>
      </c>
      <c r="B51" s="1">
        <f t="shared" si="5"/>
        <v>0</v>
      </c>
      <c r="I51" s="1" t="e">
        <f t="shared" si="6"/>
        <v>#N/A</v>
      </c>
      <c r="J51" s="1" t="e">
        <f t="shared" si="0"/>
        <v>#N/A</v>
      </c>
      <c r="K51" s="1" t="e">
        <f t="shared" si="7"/>
        <v>#N/A</v>
      </c>
      <c r="L51" s="8" t="e" cm="1">
        <f t="array" ref="L51">IF(I51="","", IFERROR(((IF(I$5&lt;&gt;"", I$5*A$5, 0) + SUMPRODUCT(--(I$6:I51&lt;&gt;""), I$6:I51, (A$6:A51-A$5:A50)))/1000)/H$3, ""))</f>
        <v>#N/A</v>
      </c>
      <c r="M51" s="1">
        <f t="shared" si="8"/>
        <v>470</v>
      </c>
      <c r="N51" s="1">
        <f t="shared" si="9"/>
        <v>0</v>
      </c>
      <c r="U51" s="1" t="e">
        <f t="shared" si="10"/>
        <v>#N/A</v>
      </c>
      <c r="V51" s="1" t="e">
        <f t="shared" si="1"/>
        <v>#N/A</v>
      </c>
      <c r="W51" s="1" t="e">
        <f t="shared" si="11"/>
        <v>#N/A</v>
      </c>
      <c r="X51" s="8" t="e" cm="1">
        <f t="array" ref="X51">IF(U51="","", IFERROR(((IF(U$5&lt;&gt;"", U$5*M$5, 0) + SUMPRODUCT(--(U$6:U51&lt;&gt;""), U$6:U51, (M$6:M51-M$5:M50)))/1000)/T$3, ""))</f>
        <v>#N/A</v>
      </c>
      <c r="Y51" s="1">
        <f t="shared" si="12"/>
        <v>470</v>
      </c>
      <c r="Z51" s="1">
        <f t="shared" si="13"/>
        <v>0</v>
      </c>
      <c r="AG51" s="1" t="e">
        <f t="shared" si="14"/>
        <v>#N/A</v>
      </c>
      <c r="AH51" s="1" t="e">
        <f t="shared" si="2"/>
        <v>#N/A</v>
      </c>
      <c r="AI51" s="1" t="e">
        <f t="shared" si="15"/>
        <v>#N/A</v>
      </c>
      <c r="AJ51" s="8" t="e" cm="1">
        <f t="array" ref="AJ51">IF(AG51="","", IFERROR(((IF(AG$5&lt;&gt;"", AG$5*Y$5, 0) + SUMPRODUCT(--(AG$6:AG51&lt;&gt;""), AG$6:AG51, (Y$6:Y51-Y$5:Y50)))/1000)/AF$3, ""))</f>
        <v>#N/A</v>
      </c>
      <c r="AK51" s="1">
        <f t="shared" si="16"/>
        <v>470</v>
      </c>
      <c r="AL51" s="1">
        <f t="shared" si="17"/>
        <v>0</v>
      </c>
      <c r="AS51" s="1" t="e">
        <f t="shared" si="18"/>
        <v>#N/A</v>
      </c>
      <c r="AT51" s="1" t="e">
        <f t="shared" si="3"/>
        <v>#N/A</v>
      </c>
      <c r="AU51" s="1" t="e">
        <f t="shared" si="19"/>
        <v>#N/A</v>
      </c>
      <c r="AV51" s="8" t="e" cm="1">
        <f t="array" ref="AV51">IF(AS51="","", IFERROR(((IF(AS$5&lt;&gt;"", AS$5*AK$5, 0) + SUMPRODUCT(--(AS$6:AS51&lt;&gt;""), AS$6:AS51, (AK$6:AK51-AK$5:AK50)))/1000)/AR$3, ""))</f>
        <v>#N/A</v>
      </c>
    </row>
    <row r="52" spans="1:48" x14ac:dyDescent="0.25">
      <c r="A52" s="1">
        <f t="shared" si="4"/>
        <v>480</v>
      </c>
      <c r="B52" s="1">
        <f t="shared" si="5"/>
        <v>0</v>
      </c>
      <c r="I52" s="1" t="e">
        <f t="shared" si="6"/>
        <v>#N/A</v>
      </c>
      <c r="J52" s="1" t="e">
        <f t="shared" si="0"/>
        <v>#N/A</v>
      </c>
      <c r="K52" s="1" t="e">
        <f t="shared" si="7"/>
        <v>#N/A</v>
      </c>
      <c r="L52" s="8" t="e" cm="1">
        <f t="array" ref="L52">IF(I52="","", IFERROR(((IF(I$5&lt;&gt;"", I$5*A$5, 0) + SUMPRODUCT(--(I$6:I52&lt;&gt;""), I$6:I52, (A$6:A52-A$5:A51)))/1000)/H$3, ""))</f>
        <v>#N/A</v>
      </c>
      <c r="M52" s="1">
        <f t="shared" si="8"/>
        <v>480</v>
      </c>
      <c r="N52" s="1">
        <f t="shared" si="9"/>
        <v>0</v>
      </c>
      <c r="U52" s="1" t="e">
        <f t="shared" si="10"/>
        <v>#N/A</v>
      </c>
      <c r="V52" s="1" t="e">
        <f t="shared" si="1"/>
        <v>#N/A</v>
      </c>
      <c r="W52" s="1" t="e">
        <f t="shared" si="11"/>
        <v>#N/A</v>
      </c>
      <c r="X52" s="8" t="e" cm="1">
        <f t="array" ref="X52">IF(U52="","", IFERROR(((IF(U$5&lt;&gt;"", U$5*M$5, 0) + SUMPRODUCT(--(U$6:U52&lt;&gt;""), U$6:U52, (M$6:M52-M$5:M51)))/1000)/T$3, ""))</f>
        <v>#N/A</v>
      </c>
      <c r="Y52" s="1">
        <f t="shared" si="12"/>
        <v>480</v>
      </c>
      <c r="Z52" s="1">
        <f t="shared" si="13"/>
        <v>0</v>
      </c>
      <c r="AG52" s="1" t="e">
        <f t="shared" si="14"/>
        <v>#N/A</v>
      </c>
      <c r="AH52" s="1" t="e">
        <f t="shared" si="2"/>
        <v>#N/A</v>
      </c>
      <c r="AI52" s="1" t="e">
        <f t="shared" si="15"/>
        <v>#N/A</v>
      </c>
      <c r="AJ52" s="8" t="e" cm="1">
        <f t="array" ref="AJ52">IF(AG52="","", IFERROR(((IF(AG$5&lt;&gt;"", AG$5*Y$5, 0) + SUMPRODUCT(--(AG$6:AG52&lt;&gt;""), AG$6:AG52, (Y$6:Y52-Y$5:Y51)))/1000)/AF$3, ""))</f>
        <v>#N/A</v>
      </c>
      <c r="AK52" s="1">
        <f t="shared" si="16"/>
        <v>480</v>
      </c>
      <c r="AL52" s="1">
        <f t="shared" si="17"/>
        <v>0</v>
      </c>
      <c r="AS52" s="1" t="e">
        <f t="shared" si="18"/>
        <v>#N/A</v>
      </c>
      <c r="AT52" s="1" t="e">
        <f t="shared" si="3"/>
        <v>#N/A</v>
      </c>
      <c r="AU52" s="1" t="e">
        <f t="shared" si="19"/>
        <v>#N/A</v>
      </c>
      <c r="AV52" s="8" t="e" cm="1">
        <f t="array" ref="AV52">IF(AS52="","", IFERROR(((IF(AS$5&lt;&gt;"", AS$5*AK$5, 0) + SUMPRODUCT(--(AS$6:AS52&lt;&gt;""), AS$6:AS52, (AK$6:AK52-AK$5:AK51)))/1000)/AR$3, ""))</f>
        <v>#N/A</v>
      </c>
    </row>
    <row r="53" spans="1:48" x14ac:dyDescent="0.25">
      <c r="A53" s="1">
        <f t="shared" si="4"/>
        <v>490</v>
      </c>
      <c r="B53" s="1">
        <f t="shared" si="5"/>
        <v>0</v>
      </c>
      <c r="I53" s="1" t="e">
        <f t="shared" si="6"/>
        <v>#N/A</v>
      </c>
      <c r="J53" s="1" t="e">
        <f t="shared" si="0"/>
        <v>#N/A</v>
      </c>
      <c r="K53" s="1" t="e">
        <f t="shared" si="7"/>
        <v>#N/A</v>
      </c>
      <c r="L53" s="8" t="e" cm="1">
        <f t="array" ref="L53">IF(I53="","", IFERROR(((IF(I$5&lt;&gt;"", I$5*A$5, 0) + SUMPRODUCT(--(I$6:I53&lt;&gt;""), I$6:I53, (A$6:A53-A$5:A52)))/1000)/H$3, ""))</f>
        <v>#N/A</v>
      </c>
      <c r="M53" s="1">
        <f t="shared" si="8"/>
        <v>490</v>
      </c>
      <c r="N53" s="1">
        <f t="shared" si="9"/>
        <v>0</v>
      </c>
      <c r="U53" s="1" t="e">
        <f t="shared" si="10"/>
        <v>#N/A</v>
      </c>
      <c r="V53" s="1" t="e">
        <f t="shared" si="1"/>
        <v>#N/A</v>
      </c>
      <c r="W53" s="1" t="e">
        <f t="shared" si="11"/>
        <v>#N/A</v>
      </c>
      <c r="X53" s="8" t="e" cm="1">
        <f t="array" ref="X53">IF(U53="","", IFERROR(((IF(U$5&lt;&gt;"", U$5*M$5, 0) + SUMPRODUCT(--(U$6:U53&lt;&gt;""), U$6:U53, (M$6:M53-M$5:M52)))/1000)/T$3, ""))</f>
        <v>#N/A</v>
      </c>
      <c r="Y53" s="1">
        <f t="shared" si="12"/>
        <v>490</v>
      </c>
      <c r="Z53" s="1">
        <f t="shared" si="13"/>
        <v>0</v>
      </c>
      <c r="AG53" s="1" t="e">
        <f t="shared" si="14"/>
        <v>#N/A</v>
      </c>
      <c r="AH53" s="1" t="e">
        <f t="shared" si="2"/>
        <v>#N/A</v>
      </c>
      <c r="AI53" s="1" t="e">
        <f t="shared" si="15"/>
        <v>#N/A</v>
      </c>
      <c r="AJ53" s="8" t="e" cm="1">
        <f t="array" ref="AJ53">IF(AG53="","", IFERROR(((IF(AG$5&lt;&gt;"", AG$5*Y$5, 0) + SUMPRODUCT(--(AG$6:AG53&lt;&gt;""), AG$6:AG53, (Y$6:Y53-Y$5:Y52)))/1000)/AF$3, ""))</f>
        <v>#N/A</v>
      </c>
      <c r="AK53" s="1">
        <f t="shared" si="16"/>
        <v>490</v>
      </c>
      <c r="AL53" s="1">
        <f t="shared" si="17"/>
        <v>0</v>
      </c>
      <c r="AS53" s="1" t="e">
        <f t="shared" si="18"/>
        <v>#N/A</v>
      </c>
      <c r="AT53" s="1" t="e">
        <f t="shared" si="3"/>
        <v>#N/A</v>
      </c>
      <c r="AU53" s="1" t="e">
        <f t="shared" si="19"/>
        <v>#N/A</v>
      </c>
      <c r="AV53" s="8" t="e" cm="1">
        <f t="array" ref="AV53">IF(AS53="","", IFERROR(((IF(AS$5&lt;&gt;"", AS$5*AK$5, 0) + SUMPRODUCT(--(AS$6:AS53&lt;&gt;""), AS$6:AS53, (AK$6:AK53-AK$5:AK52)))/1000)/AR$3, ""))</f>
        <v>#N/A</v>
      </c>
    </row>
    <row r="54" spans="1:48" x14ac:dyDescent="0.25">
      <c r="A54" s="1">
        <f t="shared" si="4"/>
        <v>500</v>
      </c>
      <c r="B54" s="1">
        <f t="shared" si="5"/>
        <v>0</v>
      </c>
      <c r="I54" s="1" t="e">
        <f t="shared" si="6"/>
        <v>#N/A</v>
      </c>
      <c r="J54" s="1" t="e">
        <f t="shared" si="0"/>
        <v>#N/A</v>
      </c>
      <c r="K54" s="1" t="e">
        <f t="shared" si="7"/>
        <v>#N/A</v>
      </c>
      <c r="L54" s="8" t="e" cm="1">
        <f t="array" ref="L54">IF(I54="","", IFERROR(((IF(I$5&lt;&gt;"", I$5*A$5, 0) + SUMPRODUCT(--(I$6:I54&lt;&gt;""), I$6:I54, (A$6:A54-A$5:A53)))/1000)/H$3, ""))</f>
        <v>#N/A</v>
      </c>
      <c r="M54" s="1">
        <f t="shared" si="8"/>
        <v>500</v>
      </c>
      <c r="N54" s="1">
        <f t="shared" si="9"/>
        <v>0</v>
      </c>
      <c r="U54" s="1" t="e">
        <f t="shared" si="10"/>
        <v>#N/A</v>
      </c>
      <c r="V54" s="1" t="e">
        <f t="shared" si="1"/>
        <v>#N/A</v>
      </c>
      <c r="W54" s="1" t="e">
        <f t="shared" si="11"/>
        <v>#N/A</v>
      </c>
      <c r="X54" s="8" t="e" cm="1">
        <f t="array" ref="X54">IF(U54="","", IFERROR(((IF(U$5&lt;&gt;"", U$5*M$5, 0) + SUMPRODUCT(--(U$6:U54&lt;&gt;""), U$6:U54, (M$6:M54-M$5:M53)))/1000)/T$3, ""))</f>
        <v>#N/A</v>
      </c>
      <c r="Y54" s="1">
        <f t="shared" si="12"/>
        <v>500</v>
      </c>
      <c r="Z54" s="1">
        <f t="shared" si="13"/>
        <v>0</v>
      </c>
      <c r="AG54" s="1" t="e">
        <f t="shared" si="14"/>
        <v>#N/A</v>
      </c>
      <c r="AH54" s="1" t="e">
        <f t="shared" si="2"/>
        <v>#N/A</v>
      </c>
      <c r="AI54" s="1" t="e">
        <f t="shared" si="15"/>
        <v>#N/A</v>
      </c>
      <c r="AJ54" s="8" t="e" cm="1">
        <f t="array" ref="AJ54">IF(AG54="","", IFERROR(((IF(AG$5&lt;&gt;"", AG$5*Y$5, 0) + SUMPRODUCT(--(AG$6:AG54&lt;&gt;""), AG$6:AG54, (Y$6:Y54-Y$5:Y53)))/1000)/AF$3, ""))</f>
        <v>#N/A</v>
      </c>
      <c r="AK54" s="1">
        <f t="shared" si="16"/>
        <v>500</v>
      </c>
      <c r="AL54" s="1">
        <f t="shared" si="17"/>
        <v>0</v>
      </c>
      <c r="AS54" s="1" t="e">
        <f t="shared" si="18"/>
        <v>#N/A</v>
      </c>
      <c r="AT54" s="1" t="e">
        <f t="shared" si="3"/>
        <v>#N/A</v>
      </c>
      <c r="AU54" s="1" t="e">
        <f t="shared" si="19"/>
        <v>#N/A</v>
      </c>
      <c r="AV54" s="8" t="e" cm="1">
        <f t="array" ref="AV54">IF(AS54="","", IFERROR(((IF(AS$5&lt;&gt;"", AS$5*AK$5, 0) + SUMPRODUCT(--(AS$6:AS54&lt;&gt;""), AS$6:AS54, (AK$6:AK54-AK$5:AK53)))/1000)/AR$3, ""))</f>
        <v>#N/A</v>
      </c>
    </row>
    <row r="55" spans="1:48" x14ac:dyDescent="0.25">
      <c r="A55" s="1">
        <f t="shared" si="4"/>
        <v>510</v>
      </c>
      <c r="B55" s="1">
        <f t="shared" si="5"/>
        <v>0</v>
      </c>
      <c r="I55" s="1" t="e">
        <f t="shared" si="6"/>
        <v>#N/A</v>
      </c>
      <c r="J55" s="1" t="e">
        <f t="shared" si="0"/>
        <v>#N/A</v>
      </c>
      <c r="K55" s="1" t="e">
        <f t="shared" si="7"/>
        <v>#N/A</v>
      </c>
      <c r="L55" s="8" t="e" cm="1">
        <f t="array" ref="L55">IF(I55="","", IFERROR(((IF(I$5&lt;&gt;"", I$5*A$5, 0) + SUMPRODUCT(--(I$6:I55&lt;&gt;""), I$6:I55, (A$6:A55-A$5:A54)))/1000)/H$3, ""))</f>
        <v>#N/A</v>
      </c>
      <c r="M55" s="1">
        <f t="shared" si="8"/>
        <v>510</v>
      </c>
      <c r="N55" s="1">
        <f t="shared" si="9"/>
        <v>0</v>
      </c>
      <c r="U55" s="1" t="e">
        <f t="shared" si="10"/>
        <v>#N/A</v>
      </c>
      <c r="V55" s="1" t="e">
        <f t="shared" si="1"/>
        <v>#N/A</v>
      </c>
      <c r="W55" s="1" t="e">
        <f t="shared" si="11"/>
        <v>#N/A</v>
      </c>
      <c r="X55" s="8" t="e" cm="1">
        <f t="array" ref="X55">IF(U55="","", IFERROR(((IF(U$5&lt;&gt;"", U$5*M$5, 0) + SUMPRODUCT(--(U$6:U55&lt;&gt;""), U$6:U55, (M$6:M55-M$5:M54)))/1000)/T$3, ""))</f>
        <v>#N/A</v>
      </c>
      <c r="Y55" s="1">
        <f t="shared" si="12"/>
        <v>510</v>
      </c>
      <c r="Z55" s="1">
        <f t="shared" si="13"/>
        <v>0</v>
      </c>
      <c r="AG55" s="1" t="e">
        <f t="shared" si="14"/>
        <v>#N/A</v>
      </c>
      <c r="AH55" s="1" t="e">
        <f t="shared" si="2"/>
        <v>#N/A</v>
      </c>
      <c r="AI55" s="1" t="e">
        <f t="shared" si="15"/>
        <v>#N/A</v>
      </c>
      <c r="AJ55" s="8" t="e" cm="1">
        <f t="array" ref="AJ55">IF(AG55="","", IFERROR(((IF(AG$5&lt;&gt;"", AG$5*Y$5, 0) + SUMPRODUCT(--(AG$6:AG55&lt;&gt;""), AG$6:AG55, (Y$6:Y55-Y$5:Y54)))/1000)/AF$3, ""))</f>
        <v>#N/A</v>
      </c>
      <c r="AK55" s="1">
        <f t="shared" si="16"/>
        <v>510</v>
      </c>
      <c r="AL55" s="1">
        <f t="shared" si="17"/>
        <v>0</v>
      </c>
      <c r="AS55" s="1" t="e">
        <f t="shared" si="18"/>
        <v>#N/A</v>
      </c>
      <c r="AT55" s="1" t="e">
        <f t="shared" si="3"/>
        <v>#N/A</v>
      </c>
      <c r="AU55" s="1" t="e">
        <f t="shared" si="19"/>
        <v>#N/A</v>
      </c>
      <c r="AV55" s="8" t="e" cm="1">
        <f t="array" ref="AV55">IF(AS55="","", IFERROR(((IF(AS$5&lt;&gt;"", AS$5*AK$5, 0) + SUMPRODUCT(--(AS$6:AS55&lt;&gt;""), AS$6:AS55, (AK$6:AK55-AK$5:AK54)))/1000)/AR$3, ""))</f>
        <v>#N/A</v>
      </c>
    </row>
    <row r="56" spans="1:48" x14ac:dyDescent="0.25">
      <c r="A56" s="1">
        <f t="shared" si="4"/>
        <v>520</v>
      </c>
      <c r="B56" s="1">
        <f t="shared" si="5"/>
        <v>0</v>
      </c>
      <c r="I56" s="1" t="e">
        <f t="shared" si="6"/>
        <v>#N/A</v>
      </c>
      <c r="J56" s="1" t="e">
        <f t="shared" si="0"/>
        <v>#N/A</v>
      </c>
      <c r="K56" s="1" t="e">
        <f t="shared" si="7"/>
        <v>#N/A</v>
      </c>
      <c r="L56" s="8" t="e" cm="1">
        <f t="array" ref="L56">IF(I56="","", IFERROR(((IF(I$5&lt;&gt;"", I$5*A$5, 0) + SUMPRODUCT(--(I$6:I56&lt;&gt;""), I$6:I56, (A$6:A56-A$5:A55)))/1000)/H$3, ""))</f>
        <v>#N/A</v>
      </c>
      <c r="M56" s="1">
        <f t="shared" si="8"/>
        <v>520</v>
      </c>
      <c r="N56" s="1">
        <f t="shared" si="9"/>
        <v>0</v>
      </c>
      <c r="U56" s="1" t="e">
        <f t="shared" si="10"/>
        <v>#N/A</v>
      </c>
      <c r="V56" s="1" t="e">
        <f t="shared" si="1"/>
        <v>#N/A</v>
      </c>
      <c r="W56" s="1" t="e">
        <f t="shared" si="11"/>
        <v>#N/A</v>
      </c>
      <c r="X56" s="8" t="e" cm="1">
        <f t="array" ref="X56">IF(U56="","", IFERROR(((IF(U$5&lt;&gt;"", U$5*M$5, 0) + SUMPRODUCT(--(U$6:U56&lt;&gt;""), U$6:U56, (M$6:M56-M$5:M55)))/1000)/T$3, ""))</f>
        <v>#N/A</v>
      </c>
      <c r="Y56" s="1">
        <f t="shared" si="12"/>
        <v>520</v>
      </c>
      <c r="Z56" s="1">
        <f t="shared" si="13"/>
        <v>0</v>
      </c>
      <c r="AG56" s="1" t="e">
        <f t="shared" si="14"/>
        <v>#N/A</v>
      </c>
      <c r="AH56" s="1" t="e">
        <f t="shared" si="2"/>
        <v>#N/A</v>
      </c>
      <c r="AI56" s="1" t="e">
        <f t="shared" si="15"/>
        <v>#N/A</v>
      </c>
      <c r="AJ56" s="8" t="e" cm="1">
        <f t="array" ref="AJ56">IF(AG56="","", IFERROR(((IF(AG$5&lt;&gt;"", AG$5*Y$5, 0) + SUMPRODUCT(--(AG$6:AG56&lt;&gt;""), AG$6:AG56, (Y$6:Y56-Y$5:Y55)))/1000)/AF$3, ""))</f>
        <v>#N/A</v>
      </c>
      <c r="AK56" s="1">
        <f t="shared" si="16"/>
        <v>520</v>
      </c>
      <c r="AL56" s="1">
        <f t="shared" si="17"/>
        <v>0</v>
      </c>
      <c r="AS56" s="1" t="e">
        <f t="shared" si="18"/>
        <v>#N/A</v>
      </c>
      <c r="AT56" s="1" t="e">
        <f t="shared" si="3"/>
        <v>#N/A</v>
      </c>
      <c r="AU56" s="1" t="e">
        <f t="shared" si="19"/>
        <v>#N/A</v>
      </c>
      <c r="AV56" s="8" t="e" cm="1">
        <f t="array" ref="AV56">IF(AS56="","", IFERROR(((IF(AS$5&lt;&gt;"", AS$5*AK$5, 0) + SUMPRODUCT(--(AS$6:AS56&lt;&gt;""), AS$6:AS56, (AK$6:AK56-AK$5:AK55)))/1000)/AR$3, ""))</f>
        <v>#N/A</v>
      </c>
    </row>
    <row r="57" spans="1:48" x14ac:dyDescent="0.25">
      <c r="A57" s="1">
        <f t="shared" si="4"/>
        <v>530</v>
      </c>
      <c r="B57" s="1">
        <f t="shared" si="5"/>
        <v>0</v>
      </c>
      <c r="I57" s="1" t="e">
        <f t="shared" si="6"/>
        <v>#N/A</v>
      </c>
      <c r="J57" s="1" t="e">
        <f t="shared" si="0"/>
        <v>#N/A</v>
      </c>
      <c r="K57" s="1" t="e">
        <f t="shared" si="7"/>
        <v>#N/A</v>
      </c>
      <c r="L57" s="8" t="e" cm="1">
        <f t="array" ref="L57">IF(I57="","", IFERROR(((IF(I$5&lt;&gt;"", I$5*A$5, 0) + SUMPRODUCT(--(I$6:I57&lt;&gt;""), I$6:I57, (A$6:A57-A$5:A56)))/1000)/H$3, ""))</f>
        <v>#N/A</v>
      </c>
      <c r="M57" s="1">
        <f t="shared" si="8"/>
        <v>530</v>
      </c>
      <c r="N57" s="1">
        <f t="shared" si="9"/>
        <v>0</v>
      </c>
      <c r="U57" s="1" t="e">
        <f t="shared" si="10"/>
        <v>#N/A</v>
      </c>
      <c r="V57" s="1" t="e">
        <f t="shared" si="1"/>
        <v>#N/A</v>
      </c>
      <c r="W57" s="1" t="e">
        <f t="shared" si="11"/>
        <v>#N/A</v>
      </c>
      <c r="X57" s="8" t="e" cm="1">
        <f t="array" ref="X57">IF(U57="","", IFERROR(((IF(U$5&lt;&gt;"", U$5*M$5, 0) + SUMPRODUCT(--(U$6:U57&lt;&gt;""), U$6:U57, (M$6:M57-M$5:M56)))/1000)/T$3, ""))</f>
        <v>#N/A</v>
      </c>
      <c r="Y57" s="1">
        <f t="shared" si="12"/>
        <v>530</v>
      </c>
      <c r="Z57" s="1">
        <f t="shared" si="13"/>
        <v>0</v>
      </c>
      <c r="AG57" s="1" t="e">
        <f t="shared" si="14"/>
        <v>#N/A</v>
      </c>
      <c r="AH57" s="1" t="e">
        <f t="shared" si="2"/>
        <v>#N/A</v>
      </c>
      <c r="AI57" s="1" t="e">
        <f t="shared" si="15"/>
        <v>#N/A</v>
      </c>
      <c r="AJ57" s="8" t="e" cm="1">
        <f t="array" ref="AJ57">IF(AG57="","", IFERROR(((IF(AG$5&lt;&gt;"", AG$5*Y$5, 0) + SUMPRODUCT(--(AG$6:AG57&lt;&gt;""), AG$6:AG57, (Y$6:Y57-Y$5:Y56)))/1000)/AF$3, ""))</f>
        <v>#N/A</v>
      </c>
      <c r="AK57" s="1">
        <f t="shared" si="16"/>
        <v>530</v>
      </c>
      <c r="AL57" s="1">
        <f t="shared" si="17"/>
        <v>0</v>
      </c>
      <c r="AS57" s="1" t="e">
        <f t="shared" si="18"/>
        <v>#N/A</v>
      </c>
      <c r="AT57" s="1" t="e">
        <f t="shared" si="3"/>
        <v>#N/A</v>
      </c>
      <c r="AU57" s="1" t="e">
        <f t="shared" si="19"/>
        <v>#N/A</v>
      </c>
      <c r="AV57" s="8" t="e" cm="1">
        <f t="array" ref="AV57">IF(AS57="","", IFERROR(((IF(AS$5&lt;&gt;"", AS$5*AK$5, 0) + SUMPRODUCT(--(AS$6:AS57&lt;&gt;""), AS$6:AS57, (AK$6:AK57-AK$5:AK56)))/1000)/AR$3, ""))</f>
        <v>#N/A</v>
      </c>
    </row>
    <row r="58" spans="1:48" x14ac:dyDescent="0.25">
      <c r="A58" s="1">
        <f t="shared" si="4"/>
        <v>540</v>
      </c>
      <c r="B58" s="1">
        <f t="shared" si="5"/>
        <v>0</v>
      </c>
      <c r="I58" s="1" t="e">
        <f t="shared" si="6"/>
        <v>#N/A</v>
      </c>
      <c r="J58" s="1" t="e">
        <f t="shared" si="0"/>
        <v>#N/A</v>
      </c>
      <c r="K58" s="1" t="e">
        <f t="shared" si="7"/>
        <v>#N/A</v>
      </c>
      <c r="L58" s="8" t="e" cm="1">
        <f t="array" ref="L58">IF(I58="","", IFERROR(((IF(I$5&lt;&gt;"", I$5*A$5, 0) + SUMPRODUCT(--(I$6:I58&lt;&gt;""), I$6:I58, (A$6:A58-A$5:A57)))/1000)/H$3, ""))</f>
        <v>#N/A</v>
      </c>
      <c r="M58" s="1">
        <f t="shared" si="8"/>
        <v>540</v>
      </c>
      <c r="N58" s="1">
        <f t="shared" si="9"/>
        <v>0</v>
      </c>
      <c r="U58" s="1" t="e">
        <f t="shared" si="10"/>
        <v>#N/A</v>
      </c>
      <c r="V58" s="1" t="e">
        <f t="shared" si="1"/>
        <v>#N/A</v>
      </c>
      <c r="W58" s="1" t="e">
        <f t="shared" si="11"/>
        <v>#N/A</v>
      </c>
      <c r="X58" s="8" t="e" cm="1">
        <f t="array" ref="X58">IF(U58="","", IFERROR(((IF(U$5&lt;&gt;"", U$5*M$5, 0) + SUMPRODUCT(--(U$6:U58&lt;&gt;""), U$6:U58, (M$6:M58-M$5:M57)))/1000)/T$3, ""))</f>
        <v>#N/A</v>
      </c>
      <c r="Y58" s="1">
        <f t="shared" si="12"/>
        <v>540</v>
      </c>
      <c r="Z58" s="1">
        <f t="shared" si="13"/>
        <v>0</v>
      </c>
      <c r="AG58" s="1" t="e">
        <f t="shared" si="14"/>
        <v>#N/A</v>
      </c>
      <c r="AH58" s="1" t="e">
        <f t="shared" si="2"/>
        <v>#N/A</v>
      </c>
      <c r="AI58" s="1" t="e">
        <f t="shared" si="15"/>
        <v>#N/A</v>
      </c>
      <c r="AJ58" s="8" t="e" cm="1">
        <f t="array" ref="AJ58">IF(AG58="","", IFERROR(((IF(AG$5&lt;&gt;"", AG$5*Y$5, 0) + SUMPRODUCT(--(AG$6:AG58&lt;&gt;""), AG$6:AG58, (Y$6:Y58-Y$5:Y57)))/1000)/AF$3, ""))</f>
        <v>#N/A</v>
      </c>
      <c r="AK58" s="1">
        <f t="shared" si="16"/>
        <v>540</v>
      </c>
      <c r="AL58" s="1">
        <f t="shared" si="17"/>
        <v>0</v>
      </c>
      <c r="AS58" s="1" t="e">
        <f t="shared" si="18"/>
        <v>#N/A</v>
      </c>
      <c r="AT58" s="1" t="e">
        <f t="shared" si="3"/>
        <v>#N/A</v>
      </c>
      <c r="AU58" s="1" t="e">
        <f t="shared" si="19"/>
        <v>#N/A</v>
      </c>
      <c r="AV58" s="8" t="e" cm="1">
        <f t="array" ref="AV58">IF(AS58="","", IFERROR(((IF(AS$5&lt;&gt;"", AS$5*AK$5, 0) + SUMPRODUCT(--(AS$6:AS58&lt;&gt;""), AS$6:AS58, (AK$6:AK58-AK$5:AK57)))/1000)/AR$3, ""))</f>
        <v>#N/A</v>
      </c>
    </row>
    <row r="59" spans="1:48" x14ac:dyDescent="0.25">
      <c r="A59" s="1">
        <f t="shared" si="4"/>
        <v>550</v>
      </c>
      <c r="B59" s="1">
        <f t="shared" si="5"/>
        <v>0</v>
      </c>
      <c r="I59" s="1" t="e">
        <f t="shared" si="6"/>
        <v>#N/A</v>
      </c>
      <c r="J59" s="1" t="e">
        <f t="shared" si="0"/>
        <v>#N/A</v>
      </c>
      <c r="K59" s="1" t="e">
        <f t="shared" si="7"/>
        <v>#N/A</v>
      </c>
      <c r="L59" s="8" t="e" cm="1">
        <f t="array" ref="L59">IF(I59="","", IFERROR(((IF(I$5&lt;&gt;"", I$5*A$5, 0) + SUMPRODUCT(--(I$6:I59&lt;&gt;""), I$6:I59, (A$6:A59-A$5:A58)))/1000)/H$3, ""))</f>
        <v>#N/A</v>
      </c>
      <c r="M59" s="1">
        <f t="shared" si="8"/>
        <v>550</v>
      </c>
      <c r="N59" s="1">
        <f t="shared" si="9"/>
        <v>0</v>
      </c>
      <c r="U59" s="1" t="e">
        <f t="shared" si="10"/>
        <v>#N/A</v>
      </c>
      <c r="V59" s="1" t="e">
        <f t="shared" si="1"/>
        <v>#N/A</v>
      </c>
      <c r="W59" s="1" t="e">
        <f t="shared" si="11"/>
        <v>#N/A</v>
      </c>
      <c r="X59" s="8" t="e" cm="1">
        <f t="array" ref="X59">IF(U59="","", IFERROR(((IF(U$5&lt;&gt;"", U$5*M$5, 0) + SUMPRODUCT(--(U$6:U59&lt;&gt;""), U$6:U59, (M$6:M59-M$5:M58)))/1000)/T$3, ""))</f>
        <v>#N/A</v>
      </c>
      <c r="Y59" s="1">
        <f t="shared" si="12"/>
        <v>550</v>
      </c>
      <c r="Z59" s="1">
        <f t="shared" si="13"/>
        <v>0</v>
      </c>
      <c r="AG59" s="1" t="e">
        <f t="shared" si="14"/>
        <v>#N/A</v>
      </c>
      <c r="AH59" s="1" t="e">
        <f t="shared" si="2"/>
        <v>#N/A</v>
      </c>
      <c r="AI59" s="1" t="e">
        <f t="shared" si="15"/>
        <v>#N/A</v>
      </c>
      <c r="AJ59" s="8" t="e" cm="1">
        <f t="array" ref="AJ59">IF(AG59="","", IFERROR(((IF(AG$5&lt;&gt;"", AG$5*Y$5, 0) + SUMPRODUCT(--(AG$6:AG59&lt;&gt;""), AG$6:AG59, (Y$6:Y59-Y$5:Y58)))/1000)/AF$3, ""))</f>
        <v>#N/A</v>
      </c>
      <c r="AK59" s="1">
        <f t="shared" si="16"/>
        <v>550</v>
      </c>
      <c r="AL59" s="1">
        <f t="shared" si="17"/>
        <v>0</v>
      </c>
      <c r="AS59" s="1" t="e">
        <f t="shared" si="18"/>
        <v>#N/A</v>
      </c>
      <c r="AT59" s="1" t="e">
        <f t="shared" si="3"/>
        <v>#N/A</v>
      </c>
      <c r="AU59" s="1" t="e">
        <f t="shared" si="19"/>
        <v>#N/A</v>
      </c>
      <c r="AV59" s="8" t="e" cm="1">
        <f t="array" ref="AV59">IF(AS59="","", IFERROR(((IF(AS$5&lt;&gt;"", AS$5*AK$5, 0) + SUMPRODUCT(--(AS$6:AS59&lt;&gt;""), AS$6:AS59, (AK$6:AK59-AK$5:AK58)))/1000)/AR$3, ""))</f>
        <v>#N/A</v>
      </c>
    </row>
    <row r="60" spans="1:48" x14ac:dyDescent="0.25">
      <c r="A60" s="1">
        <f t="shared" si="4"/>
        <v>560</v>
      </c>
      <c r="B60" s="1">
        <f t="shared" si="5"/>
        <v>0</v>
      </c>
      <c r="I60" s="1" t="e">
        <f t="shared" si="6"/>
        <v>#N/A</v>
      </c>
      <c r="J60" s="1" t="e">
        <f t="shared" si="0"/>
        <v>#N/A</v>
      </c>
      <c r="K60" s="1" t="e">
        <f t="shared" si="7"/>
        <v>#N/A</v>
      </c>
      <c r="L60" s="8" t="e" cm="1">
        <f t="array" ref="L60">IF(I60="","", IFERROR(((IF(I$5&lt;&gt;"", I$5*A$5, 0) + SUMPRODUCT(--(I$6:I60&lt;&gt;""), I$6:I60, (A$6:A60-A$5:A59)))/1000)/H$3, ""))</f>
        <v>#N/A</v>
      </c>
      <c r="M60" s="1">
        <f t="shared" si="8"/>
        <v>560</v>
      </c>
      <c r="N60" s="1">
        <f t="shared" si="9"/>
        <v>0</v>
      </c>
      <c r="U60" s="1" t="e">
        <f t="shared" si="10"/>
        <v>#N/A</v>
      </c>
      <c r="V60" s="1" t="e">
        <f t="shared" si="1"/>
        <v>#N/A</v>
      </c>
      <c r="W60" s="1" t="e">
        <f t="shared" si="11"/>
        <v>#N/A</v>
      </c>
      <c r="X60" s="8" t="e" cm="1">
        <f t="array" ref="X60">IF(U60="","", IFERROR(((IF(U$5&lt;&gt;"", U$5*M$5, 0) + SUMPRODUCT(--(U$6:U60&lt;&gt;""), U$6:U60, (M$6:M60-M$5:M59)))/1000)/T$3, ""))</f>
        <v>#N/A</v>
      </c>
      <c r="Y60" s="1">
        <f t="shared" si="12"/>
        <v>560</v>
      </c>
      <c r="Z60" s="1">
        <f t="shared" si="13"/>
        <v>0</v>
      </c>
      <c r="AG60" s="1" t="e">
        <f t="shared" si="14"/>
        <v>#N/A</v>
      </c>
      <c r="AH60" s="1" t="e">
        <f t="shared" si="2"/>
        <v>#N/A</v>
      </c>
      <c r="AI60" s="1" t="e">
        <f t="shared" si="15"/>
        <v>#N/A</v>
      </c>
      <c r="AJ60" s="8" t="e" cm="1">
        <f t="array" ref="AJ60">IF(AG60="","", IFERROR(((IF(AG$5&lt;&gt;"", AG$5*Y$5, 0) + SUMPRODUCT(--(AG$6:AG60&lt;&gt;""), AG$6:AG60, (Y$6:Y60-Y$5:Y59)))/1000)/AF$3, ""))</f>
        <v>#N/A</v>
      </c>
      <c r="AK60" s="1">
        <f t="shared" si="16"/>
        <v>560</v>
      </c>
      <c r="AL60" s="1">
        <f t="shared" si="17"/>
        <v>0</v>
      </c>
      <c r="AS60" s="1" t="e">
        <f t="shared" si="18"/>
        <v>#N/A</v>
      </c>
      <c r="AT60" s="1" t="e">
        <f t="shared" si="3"/>
        <v>#N/A</v>
      </c>
      <c r="AU60" s="1" t="e">
        <f t="shared" si="19"/>
        <v>#N/A</v>
      </c>
      <c r="AV60" s="8" t="e" cm="1">
        <f t="array" ref="AV60">IF(AS60="","", IFERROR(((IF(AS$5&lt;&gt;"", AS$5*AK$5, 0) + SUMPRODUCT(--(AS$6:AS60&lt;&gt;""), AS$6:AS60, (AK$6:AK60-AK$5:AK59)))/1000)/AR$3, ""))</f>
        <v>#N/A</v>
      </c>
    </row>
    <row r="61" spans="1:48" x14ac:dyDescent="0.25">
      <c r="A61" s="1">
        <f t="shared" si="4"/>
        <v>570</v>
      </c>
      <c r="B61" s="1">
        <f t="shared" si="5"/>
        <v>0</v>
      </c>
      <c r="I61" s="1" t="e">
        <f t="shared" si="6"/>
        <v>#N/A</v>
      </c>
      <c r="J61" s="1" t="e">
        <f t="shared" si="0"/>
        <v>#N/A</v>
      </c>
      <c r="K61" s="1" t="e">
        <f t="shared" si="7"/>
        <v>#N/A</v>
      </c>
      <c r="L61" s="8" t="e" cm="1">
        <f t="array" ref="L61">IF(I61="","", IFERROR(((IF(I$5&lt;&gt;"", I$5*A$5, 0) + SUMPRODUCT(--(I$6:I61&lt;&gt;""), I$6:I61, (A$6:A61-A$5:A60)))/1000)/H$3, ""))</f>
        <v>#N/A</v>
      </c>
      <c r="M61" s="1">
        <f t="shared" si="8"/>
        <v>570</v>
      </c>
      <c r="N61" s="1">
        <f t="shared" si="9"/>
        <v>0</v>
      </c>
      <c r="U61" s="1" t="e">
        <f t="shared" si="10"/>
        <v>#N/A</v>
      </c>
      <c r="V61" s="1" t="e">
        <f t="shared" si="1"/>
        <v>#N/A</v>
      </c>
      <c r="W61" s="1" t="e">
        <f t="shared" si="11"/>
        <v>#N/A</v>
      </c>
      <c r="X61" s="8" t="e" cm="1">
        <f t="array" ref="X61">IF(U61="","", IFERROR(((IF(U$5&lt;&gt;"", U$5*M$5, 0) + SUMPRODUCT(--(U$6:U61&lt;&gt;""), U$6:U61, (M$6:M61-M$5:M60)))/1000)/T$3, ""))</f>
        <v>#N/A</v>
      </c>
      <c r="Y61" s="1">
        <f t="shared" si="12"/>
        <v>570</v>
      </c>
      <c r="Z61" s="1">
        <f t="shared" si="13"/>
        <v>0</v>
      </c>
      <c r="AG61" s="1" t="e">
        <f t="shared" si="14"/>
        <v>#N/A</v>
      </c>
      <c r="AH61" s="1" t="e">
        <f t="shared" si="2"/>
        <v>#N/A</v>
      </c>
      <c r="AI61" s="1" t="e">
        <f t="shared" si="15"/>
        <v>#N/A</v>
      </c>
      <c r="AJ61" s="8" t="e" cm="1">
        <f t="array" ref="AJ61">IF(AG61="","", IFERROR(((IF(AG$5&lt;&gt;"", AG$5*Y$5, 0) + SUMPRODUCT(--(AG$6:AG61&lt;&gt;""), AG$6:AG61, (Y$6:Y61-Y$5:Y60)))/1000)/AF$3, ""))</f>
        <v>#N/A</v>
      </c>
      <c r="AK61" s="1">
        <f t="shared" si="16"/>
        <v>570</v>
      </c>
      <c r="AL61" s="1">
        <f t="shared" si="17"/>
        <v>0</v>
      </c>
      <c r="AS61" s="1" t="e">
        <f t="shared" si="18"/>
        <v>#N/A</v>
      </c>
      <c r="AT61" s="1" t="e">
        <f t="shared" si="3"/>
        <v>#N/A</v>
      </c>
      <c r="AU61" s="1" t="e">
        <f t="shared" si="19"/>
        <v>#N/A</v>
      </c>
      <c r="AV61" s="8" t="e" cm="1">
        <f t="array" ref="AV61">IF(AS61="","", IFERROR(((IF(AS$5&lt;&gt;"", AS$5*AK$5, 0) + SUMPRODUCT(--(AS$6:AS61&lt;&gt;""), AS$6:AS61, (AK$6:AK61-AK$5:AK60)))/1000)/AR$3, ""))</f>
        <v>#N/A</v>
      </c>
    </row>
    <row r="62" spans="1:48" x14ac:dyDescent="0.25">
      <c r="A62" s="1">
        <f t="shared" si="4"/>
        <v>580</v>
      </c>
      <c r="B62" s="1">
        <f t="shared" si="5"/>
        <v>0</v>
      </c>
      <c r="I62" s="1" t="e">
        <f t="shared" si="6"/>
        <v>#N/A</v>
      </c>
      <c r="J62" s="1" t="e">
        <f t="shared" si="0"/>
        <v>#N/A</v>
      </c>
      <c r="K62" s="1" t="e">
        <f t="shared" si="7"/>
        <v>#N/A</v>
      </c>
      <c r="L62" s="8" t="e" cm="1">
        <f t="array" ref="L62">IF(I62="","", IFERROR(((IF(I$5&lt;&gt;"", I$5*A$5, 0) + SUMPRODUCT(--(I$6:I62&lt;&gt;""), I$6:I62, (A$6:A62-A$5:A61)))/1000)/H$3, ""))</f>
        <v>#N/A</v>
      </c>
      <c r="M62" s="1">
        <f t="shared" si="8"/>
        <v>580</v>
      </c>
      <c r="N62" s="1">
        <f t="shared" si="9"/>
        <v>0</v>
      </c>
      <c r="U62" s="1" t="e">
        <f t="shared" si="10"/>
        <v>#N/A</v>
      </c>
      <c r="V62" s="1" t="e">
        <f t="shared" si="1"/>
        <v>#N/A</v>
      </c>
      <c r="W62" s="1" t="e">
        <f t="shared" si="11"/>
        <v>#N/A</v>
      </c>
      <c r="X62" s="8" t="e" cm="1">
        <f t="array" ref="X62">IF(U62="","", IFERROR(((IF(U$5&lt;&gt;"", U$5*M$5, 0) + SUMPRODUCT(--(U$6:U62&lt;&gt;""), U$6:U62, (M$6:M62-M$5:M61)))/1000)/T$3, ""))</f>
        <v>#N/A</v>
      </c>
      <c r="Y62" s="1">
        <f t="shared" si="12"/>
        <v>580</v>
      </c>
      <c r="Z62" s="1">
        <f t="shared" si="13"/>
        <v>0</v>
      </c>
      <c r="AG62" s="1" t="e">
        <f t="shared" si="14"/>
        <v>#N/A</v>
      </c>
      <c r="AH62" s="1" t="e">
        <f t="shared" si="2"/>
        <v>#N/A</v>
      </c>
      <c r="AI62" s="1" t="e">
        <f t="shared" si="15"/>
        <v>#N/A</v>
      </c>
      <c r="AJ62" s="8" t="e" cm="1">
        <f t="array" ref="AJ62">IF(AG62="","", IFERROR(((IF(AG$5&lt;&gt;"", AG$5*Y$5, 0) + SUMPRODUCT(--(AG$6:AG62&lt;&gt;""), AG$6:AG62, (Y$6:Y62-Y$5:Y61)))/1000)/AF$3, ""))</f>
        <v>#N/A</v>
      </c>
      <c r="AK62" s="1">
        <f t="shared" si="16"/>
        <v>580</v>
      </c>
      <c r="AL62" s="1">
        <f t="shared" si="17"/>
        <v>0</v>
      </c>
      <c r="AS62" s="1" t="e">
        <f t="shared" si="18"/>
        <v>#N/A</v>
      </c>
      <c r="AT62" s="1" t="e">
        <f t="shared" si="3"/>
        <v>#N/A</v>
      </c>
      <c r="AU62" s="1" t="e">
        <f t="shared" si="19"/>
        <v>#N/A</v>
      </c>
      <c r="AV62" s="8" t="e" cm="1">
        <f t="array" ref="AV62">IF(AS62="","", IFERROR(((IF(AS$5&lt;&gt;"", AS$5*AK$5, 0) + SUMPRODUCT(--(AS$6:AS62&lt;&gt;""), AS$6:AS62, (AK$6:AK62-AK$5:AK61)))/1000)/AR$3, ""))</f>
        <v>#N/A</v>
      </c>
    </row>
    <row r="63" spans="1:48" x14ac:dyDescent="0.25">
      <c r="A63" s="1">
        <f t="shared" si="4"/>
        <v>590</v>
      </c>
      <c r="B63" s="1">
        <f t="shared" si="5"/>
        <v>0</v>
      </c>
      <c r="I63" s="1" t="e">
        <f t="shared" si="6"/>
        <v>#N/A</v>
      </c>
      <c r="J63" s="1" t="e">
        <f t="shared" si="0"/>
        <v>#N/A</v>
      </c>
      <c r="K63" s="1" t="e">
        <f t="shared" si="7"/>
        <v>#N/A</v>
      </c>
      <c r="L63" s="8" t="e" cm="1">
        <f t="array" ref="L63">IF(I63="","", IFERROR(((IF(I$5&lt;&gt;"", I$5*A$5, 0) + SUMPRODUCT(--(I$6:I63&lt;&gt;""), I$6:I63, (A$6:A63-A$5:A62)))/1000)/H$3, ""))</f>
        <v>#N/A</v>
      </c>
      <c r="M63" s="1">
        <f t="shared" si="8"/>
        <v>590</v>
      </c>
      <c r="N63" s="1">
        <f t="shared" si="9"/>
        <v>0</v>
      </c>
      <c r="U63" s="1" t="e">
        <f t="shared" si="10"/>
        <v>#N/A</v>
      </c>
      <c r="V63" s="1" t="e">
        <f t="shared" si="1"/>
        <v>#N/A</v>
      </c>
      <c r="W63" s="1" t="e">
        <f t="shared" si="11"/>
        <v>#N/A</v>
      </c>
      <c r="X63" s="8" t="e" cm="1">
        <f t="array" ref="X63">IF(U63="","", IFERROR(((IF(U$5&lt;&gt;"", U$5*M$5, 0) + SUMPRODUCT(--(U$6:U63&lt;&gt;""), U$6:U63, (M$6:M63-M$5:M62)))/1000)/T$3, ""))</f>
        <v>#N/A</v>
      </c>
      <c r="Y63" s="1">
        <f t="shared" si="12"/>
        <v>590</v>
      </c>
      <c r="Z63" s="1">
        <f t="shared" si="13"/>
        <v>0</v>
      </c>
      <c r="AG63" s="1" t="e">
        <f t="shared" si="14"/>
        <v>#N/A</v>
      </c>
      <c r="AH63" s="1" t="e">
        <f t="shared" si="2"/>
        <v>#N/A</v>
      </c>
      <c r="AI63" s="1" t="e">
        <f t="shared" si="15"/>
        <v>#N/A</v>
      </c>
      <c r="AJ63" s="8" t="e" cm="1">
        <f t="array" ref="AJ63">IF(AG63="","", IFERROR(((IF(AG$5&lt;&gt;"", AG$5*Y$5, 0) + SUMPRODUCT(--(AG$6:AG63&lt;&gt;""), AG$6:AG63, (Y$6:Y63-Y$5:Y62)))/1000)/AF$3, ""))</f>
        <v>#N/A</v>
      </c>
      <c r="AK63" s="1">
        <f t="shared" si="16"/>
        <v>590</v>
      </c>
      <c r="AL63" s="1">
        <f t="shared" si="17"/>
        <v>0</v>
      </c>
      <c r="AS63" s="1" t="e">
        <f t="shared" si="18"/>
        <v>#N/A</v>
      </c>
      <c r="AT63" s="1" t="e">
        <f t="shared" si="3"/>
        <v>#N/A</v>
      </c>
      <c r="AU63" s="1" t="e">
        <f t="shared" si="19"/>
        <v>#N/A</v>
      </c>
      <c r="AV63" s="8" t="e" cm="1">
        <f t="array" ref="AV63">IF(AS63="","", IFERROR(((IF(AS$5&lt;&gt;"", AS$5*AK$5, 0) + SUMPRODUCT(--(AS$6:AS63&lt;&gt;""), AS$6:AS63, (AK$6:AK63-AK$5:AK62)))/1000)/AR$3, ""))</f>
        <v>#N/A</v>
      </c>
    </row>
    <row r="64" spans="1:48" x14ac:dyDescent="0.25">
      <c r="A64" s="1">
        <f t="shared" si="4"/>
        <v>600</v>
      </c>
      <c r="B64" s="1">
        <f t="shared" si="5"/>
        <v>0</v>
      </c>
      <c r="I64" s="1" t="e">
        <f t="shared" si="6"/>
        <v>#N/A</v>
      </c>
      <c r="J64" s="1" t="e">
        <f t="shared" si="0"/>
        <v>#N/A</v>
      </c>
      <c r="K64" s="1" t="e">
        <f t="shared" si="7"/>
        <v>#N/A</v>
      </c>
      <c r="L64" s="8" t="e" cm="1">
        <f t="array" ref="L64">IF(I64="","", IFERROR(((IF(I$5&lt;&gt;"", I$5*A$5, 0) + SUMPRODUCT(--(I$6:I64&lt;&gt;""), I$6:I64, (A$6:A64-A$5:A63)))/1000)/H$3, ""))</f>
        <v>#N/A</v>
      </c>
      <c r="M64" s="1">
        <f t="shared" si="8"/>
        <v>600</v>
      </c>
      <c r="N64" s="1">
        <f t="shared" si="9"/>
        <v>0</v>
      </c>
      <c r="U64" s="1" t="e">
        <f t="shared" si="10"/>
        <v>#N/A</v>
      </c>
      <c r="V64" s="1" t="e">
        <f t="shared" si="1"/>
        <v>#N/A</v>
      </c>
      <c r="W64" s="1" t="e">
        <f t="shared" si="11"/>
        <v>#N/A</v>
      </c>
      <c r="X64" s="8" t="e" cm="1">
        <f t="array" ref="X64">IF(U64="","", IFERROR(((IF(U$5&lt;&gt;"", U$5*M$5, 0) + SUMPRODUCT(--(U$6:U64&lt;&gt;""), U$6:U64, (M$6:M64-M$5:M63)))/1000)/T$3, ""))</f>
        <v>#N/A</v>
      </c>
      <c r="Y64" s="1">
        <f t="shared" si="12"/>
        <v>600</v>
      </c>
      <c r="Z64" s="1">
        <f t="shared" si="13"/>
        <v>0</v>
      </c>
      <c r="AG64" s="1" t="e">
        <f t="shared" si="14"/>
        <v>#N/A</v>
      </c>
      <c r="AH64" s="1" t="e">
        <f t="shared" si="2"/>
        <v>#N/A</v>
      </c>
      <c r="AI64" s="1" t="e">
        <f t="shared" si="15"/>
        <v>#N/A</v>
      </c>
      <c r="AJ64" s="8" t="e" cm="1">
        <f t="array" ref="AJ64">IF(AG64="","", IFERROR(((IF(AG$5&lt;&gt;"", AG$5*Y$5, 0) + SUMPRODUCT(--(AG$6:AG64&lt;&gt;""), AG$6:AG64, (Y$6:Y64-Y$5:Y63)))/1000)/AF$3, ""))</f>
        <v>#N/A</v>
      </c>
      <c r="AK64" s="1">
        <f t="shared" si="16"/>
        <v>600</v>
      </c>
      <c r="AL64" s="1">
        <f t="shared" si="17"/>
        <v>0</v>
      </c>
      <c r="AS64" s="1" t="e">
        <f t="shared" si="18"/>
        <v>#N/A</v>
      </c>
      <c r="AT64" s="1" t="e">
        <f t="shared" si="3"/>
        <v>#N/A</v>
      </c>
      <c r="AU64" s="1" t="e">
        <f t="shared" si="19"/>
        <v>#N/A</v>
      </c>
      <c r="AV64" s="8" t="e" cm="1">
        <f t="array" ref="AV64">IF(AS64="","", IFERROR(((IF(AS$5&lt;&gt;"", AS$5*AK$5, 0) + SUMPRODUCT(--(AS$6:AS64&lt;&gt;""), AS$6:AS64, (AK$6:AK64-AK$5:AK63)))/1000)/AR$3, ""))</f>
        <v>#N/A</v>
      </c>
    </row>
    <row r="65" spans="1:48" x14ac:dyDescent="0.25">
      <c r="A65" s="1">
        <f t="shared" si="4"/>
        <v>610</v>
      </c>
      <c r="B65" s="1">
        <f t="shared" si="5"/>
        <v>0</v>
      </c>
      <c r="I65" s="1" t="e">
        <f t="shared" si="6"/>
        <v>#N/A</v>
      </c>
      <c r="J65" s="1" t="e">
        <f t="shared" si="0"/>
        <v>#N/A</v>
      </c>
      <c r="K65" s="1" t="e">
        <f t="shared" si="7"/>
        <v>#N/A</v>
      </c>
      <c r="L65" s="8" t="e" cm="1">
        <f t="array" ref="L65">IF(I65="","", IFERROR(((IF(I$5&lt;&gt;"", I$5*A$5, 0) + SUMPRODUCT(--(I$6:I65&lt;&gt;""), I$6:I65, (A$6:A65-A$5:A64)))/1000)/H$3, ""))</f>
        <v>#N/A</v>
      </c>
      <c r="M65" s="1">
        <f t="shared" si="8"/>
        <v>610</v>
      </c>
      <c r="N65" s="1">
        <f t="shared" si="9"/>
        <v>0</v>
      </c>
      <c r="U65" s="1" t="e">
        <f t="shared" si="10"/>
        <v>#N/A</v>
      </c>
      <c r="V65" s="1" t="e">
        <f t="shared" si="1"/>
        <v>#N/A</v>
      </c>
      <c r="W65" s="1" t="e">
        <f t="shared" si="11"/>
        <v>#N/A</v>
      </c>
      <c r="X65" s="8" t="e" cm="1">
        <f t="array" ref="X65">IF(U65="","", IFERROR(((IF(U$5&lt;&gt;"", U$5*M$5, 0) + SUMPRODUCT(--(U$6:U65&lt;&gt;""), U$6:U65, (M$6:M65-M$5:M64)))/1000)/T$3, ""))</f>
        <v>#N/A</v>
      </c>
      <c r="Y65" s="1">
        <f t="shared" si="12"/>
        <v>610</v>
      </c>
      <c r="Z65" s="1">
        <f t="shared" si="13"/>
        <v>0</v>
      </c>
      <c r="AG65" s="1" t="e">
        <f t="shared" si="14"/>
        <v>#N/A</v>
      </c>
      <c r="AH65" s="1" t="e">
        <f t="shared" si="2"/>
        <v>#N/A</v>
      </c>
      <c r="AI65" s="1" t="e">
        <f t="shared" si="15"/>
        <v>#N/A</v>
      </c>
      <c r="AJ65" s="8" t="e" cm="1">
        <f t="array" ref="AJ65">IF(AG65="","", IFERROR(((IF(AG$5&lt;&gt;"", AG$5*Y$5, 0) + SUMPRODUCT(--(AG$6:AG65&lt;&gt;""), AG$6:AG65, (Y$6:Y65-Y$5:Y64)))/1000)/AF$3, ""))</f>
        <v>#N/A</v>
      </c>
      <c r="AK65" s="1">
        <f t="shared" si="16"/>
        <v>610</v>
      </c>
      <c r="AL65" s="1">
        <f t="shared" si="17"/>
        <v>0</v>
      </c>
      <c r="AS65" s="1" t="e">
        <f t="shared" si="18"/>
        <v>#N/A</v>
      </c>
      <c r="AT65" s="1" t="e">
        <f t="shared" si="3"/>
        <v>#N/A</v>
      </c>
      <c r="AU65" s="1" t="e">
        <f t="shared" si="19"/>
        <v>#N/A</v>
      </c>
      <c r="AV65" s="8" t="e" cm="1">
        <f t="array" ref="AV65">IF(AS65="","", IFERROR(((IF(AS$5&lt;&gt;"", AS$5*AK$5, 0) + SUMPRODUCT(--(AS$6:AS65&lt;&gt;""), AS$6:AS65, (AK$6:AK65-AK$5:AK64)))/1000)/AR$3, ""))</f>
        <v>#N/A</v>
      </c>
    </row>
    <row r="66" spans="1:48" x14ac:dyDescent="0.25">
      <c r="A66" s="1">
        <f t="shared" si="4"/>
        <v>620</v>
      </c>
      <c r="B66" s="1">
        <f t="shared" si="5"/>
        <v>0</v>
      </c>
      <c r="I66" s="1" t="e">
        <f t="shared" si="6"/>
        <v>#N/A</v>
      </c>
      <c r="J66" s="1" t="e">
        <f t="shared" si="0"/>
        <v>#N/A</v>
      </c>
      <c r="K66" s="1" t="e">
        <f t="shared" si="7"/>
        <v>#N/A</v>
      </c>
      <c r="L66" s="8" t="e" cm="1">
        <f t="array" ref="L66">IF(I66="","", IFERROR(((IF(I$5&lt;&gt;"", I$5*A$5, 0) + SUMPRODUCT(--(I$6:I66&lt;&gt;""), I$6:I66, (A$6:A66-A$5:A65)))/1000)/H$3, ""))</f>
        <v>#N/A</v>
      </c>
      <c r="M66" s="1">
        <f t="shared" si="8"/>
        <v>620</v>
      </c>
      <c r="N66" s="1">
        <f t="shared" si="9"/>
        <v>0</v>
      </c>
      <c r="U66" s="1" t="e">
        <f t="shared" si="10"/>
        <v>#N/A</v>
      </c>
      <c r="V66" s="1" t="e">
        <f t="shared" si="1"/>
        <v>#N/A</v>
      </c>
      <c r="W66" s="1" t="e">
        <f t="shared" si="11"/>
        <v>#N/A</v>
      </c>
      <c r="X66" s="8" t="e" cm="1">
        <f t="array" ref="X66">IF(U66="","", IFERROR(((IF(U$5&lt;&gt;"", U$5*M$5, 0) + SUMPRODUCT(--(U$6:U66&lt;&gt;""), U$6:U66, (M$6:M66-M$5:M65)))/1000)/T$3, ""))</f>
        <v>#N/A</v>
      </c>
      <c r="Y66" s="1">
        <f t="shared" si="12"/>
        <v>620</v>
      </c>
      <c r="Z66" s="1">
        <f t="shared" si="13"/>
        <v>0</v>
      </c>
      <c r="AG66" s="1" t="e">
        <f t="shared" si="14"/>
        <v>#N/A</v>
      </c>
      <c r="AH66" s="1" t="e">
        <f t="shared" si="2"/>
        <v>#N/A</v>
      </c>
      <c r="AI66" s="1" t="e">
        <f t="shared" si="15"/>
        <v>#N/A</v>
      </c>
      <c r="AJ66" s="8" t="e" cm="1">
        <f t="array" ref="AJ66">IF(AG66="","", IFERROR(((IF(AG$5&lt;&gt;"", AG$5*Y$5, 0) + SUMPRODUCT(--(AG$6:AG66&lt;&gt;""), AG$6:AG66, (Y$6:Y66-Y$5:Y65)))/1000)/AF$3, ""))</f>
        <v>#N/A</v>
      </c>
      <c r="AK66" s="1">
        <f t="shared" si="16"/>
        <v>620</v>
      </c>
      <c r="AL66" s="1">
        <f t="shared" si="17"/>
        <v>0</v>
      </c>
      <c r="AS66" s="1" t="e">
        <f t="shared" si="18"/>
        <v>#N/A</v>
      </c>
      <c r="AT66" s="1" t="e">
        <f t="shared" si="3"/>
        <v>#N/A</v>
      </c>
      <c r="AU66" s="1" t="e">
        <f t="shared" si="19"/>
        <v>#N/A</v>
      </c>
      <c r="AV66" s="8" t="e" cm="1">
        <f t="array" ref="AV66">IF(AS66="","", IFERROR(((IF(AS$5&lt;&gt;"", AS$5*AK$5, 0) + SUMPRODUCT(--(AS$6:AS66&lt;&gt;""), AS$6:AS66, (AK$6:AK66-AK$5:AK65)))/1000)/AR$3, ""))</f>
        <v>#N/A</v>
      </c>
    </row>
    <row r="67" spans="1:48" x14ac:dyDescent="0.25">
      <c r="A67" s="1">
        <f t="shared" si="4"/>
        <v>630</v>
      </c>
      <c r="B67" s="1">
        <f t="shared" si="5"/>
        <v>0</v>
      </c>
      <c r="I67" s="1" t="e">
        <f t="shared" si="6"/>
        <v>#N/A</v>
      </c>
      <c r="J67" s="1" t="e">
        <f t="shared" si="0"/>
        <v>#N/A</v>
      </c>
      <c r="K67" s="1" t="e">
        <f t="shared" si="7"/>
        <v>#N/A</v>
      </c>
      <c r="L67" s="8" t="e" cm="1">
        <f t="array" ref="L67">IF(I67="","", IFERROR(((IF(I$5&lt;&gt;"", I$5*A$5, 0) + SUMPRODUCT(--(I$6:I67&lt;&gt;""), I$6:I67, (A$6:A67-A$5:A66)))/1000)/H$3, ""))</f>
        <v>#N/A</v>
      </c>
      <c r="M67" s="1">
        <f t="shared" si="8"/>
        <v>630</v>
      </c>
      <c r="N67" s="1">
        <f t="shared" si="9"/>
        <v>0</v>
      </c>
      <c r="U67" s="1" t="e">
        <f t="shared" si="10"/>
        <v>#N/A</v>
      </c>
      <c r="V67" s="1" t="e">
        <f t="shared" si="1"/>
        <v>#N/A</v>
      </c>
      <c r="W67" s="1" t="e">
        <f t="shared" si="11"/>
        <v>#N/A</v>
      </c>
      <c r="X67" s="8" t="e" cm="1">
        <f t="array" ref="X67">IF(U67="","", IFERROR(((IF(U$5&lt;&gt;"", U$5*M$5, 0) + SUMPRODUCT(--(U$6:U67&lt;&gt;""), U$6:U67, (M$6:M67-M$5:M66)))/1000)/T$3, ""))</f>
        <v>#N/A</v>
      </c>
      <c r="Y67" s="1">
        <f t="shared" si="12"/>
        <v>630</v>
      </c>
      <c r="Z67" s="1">
        <f t="shared" si="13"/>
        <v>0</v>
      </c>
      <c r="AG67" s="1" t="e">
        <f t="shared" si="14"/>
        <v>#N/A</v>
      </c>
      <c r="AH67" s="1" t="e">
        <f t="shared" si="2"/>
        <v>#N/A</v>
      </c>
      <c r="AI67" s="1" t="e">
        <f t="shared" si="15"/>
        <v>#N/A</v>
      </c>
      <c r="AJ67" s="8" t="e" cm="1">
        <f t="array" ref="AJ67">IF(AG67="","", IFERROR(((IF(AG$5&lt;&gt;"", AG$5*Y$5, 0) + SUMPRODUCT(--(AG$6:AG67&lt;&gt;""), AG$6:AG67, (Y$6:Y67-Y$5:Y66)))/1000)/AF$3, ""))</f>
        <v>#N/A</v>
      </c>
      <c r="AK67" s="1">
        <f t="shared" si="16"/>
        <v>630</v>
      </c>
      <c r="AL67" s="1">
        <f t="shared" si="17"/>
        <v>0</v>
      </c>
      <c r="AS67" s="1" t="e">
        <f t="shared" si="18"/>
        <v>#N/A</v>
      </c>
      <c r="AT67" s="1" t="e">
        <f t="shared" si="3"/>
        <v>#N/A</v>
      </c>
      <c r="AU67" s="1" t="e">
        <f t="shared" si="19"/>
        <v>#N/A</v>
      </c>
      <c r="AV67" s="8" t="e" cm="1">
        <f t="array" ref="AV67">IF(AS67="","", IFERROR(((IF(AS$5&lt;&gt;"", AS$5*AK$5, 0) + SUMPRODUCT(--(AS$6:AS67&lt;&gt;""), AS$6:AS67, (AK$6:AK67-AK$5:AK66)))/1000)/AR$3, ""))</f>
        <v>#N/A</v>
      </c>
    </row>
    <row r="68" spans="1:48" x14ac:dyDescent="0.25">
      <c r="A68" s="1">
        <f t="shared" si="4"/>
        <v>640</v>
      </c>
      <c r="B68" s="1">
        <f t="shared" si="5"/>
        <v>0</v>
      </c>
      <c r="I68" s="1" t="e">
        <f t="shared" si="6"/>
        <v>#N/A</v>
      </c>
      <c r="J68" s="1" t="e">
        <f t="shared" si="0"/>
        <v>#N/A</v>
      </c>
      <c r="K68" s="1" t="e">
        <f t="shared" si="7"/>
        <v>#N/A</v>
      </c>
      <c r="L68" s="8" t="e" cm="1">
        <f t="array" ref="L68">IF(I68="","", IFERROR(((IF(I$5&lt;&gt;"", I$5*A$5, 0) + SUMPRODUCT(--(I$6:I68&lt;&gt;""), I$6:I68, (A$6:A68-A$5:A67)))/1000)/H$3, ""))</f>
        <v>#N/A</v>
      </c>
      <c r="M68" s="1">
        <f t="shared" si="8"/>
        <v>640</v>
      </c>
      <c r="N68" s="1">
        <f t="shared" si="9"/>
        <v>0</v>
      </c>
      <c r="U68" s="1" t="e">
        <f t="shared" si="10"/>
        <v>#N/A</v>
      </c>
      <c r="V68" s="1" t="e">
        <f t="shared" si="1"/>
        <v>#N/A</v>
      </c>
      <c r="W68" s="1" t="e">
        <f t="shared" si="11"/>
        <v>#N/A</v>
      </c>
      <c r="X68" s="8" t="e" cm="1">
        <f t="array" ref="X68">IF(U68="","", IFERROR(((IF(U$5&lt;&gt;"", U$5*M$5, 0) + SUMPRODUCT(--(U$6:U68&lt;&gt;""), U$6:U68, (M$6:M68-M$5:M67)))/1000)/T$3, ""))</f>
        <v>#N/A</v>
      </c>
      <c r="Y68" s="1">
        <f t="shared" si="12"/>
        <v>640</v>
      </c>
      <c r="Z68" s="1">
        <f t="shared" si="13"/>
        <v>0</v>
      </c>
      <c r="AG68" s="1" t="e">
        <f t="shared" si="14"/>
        <v>#N/A</v>
      </c>
      <c r="AH68" s="1" t="e">
        <f t="shared" si="2"/>
        <v>#N/A</v>
      </c>
      <c r="AI68" s="1" t="e">
        <f t="shared" si="15"/>
        <v>#N/A</v>
      </c>
      <c r="AJ68" s="8" t="e" cm="1">
        <f t="array" ref="AJ68">IF(AG68="","", IFERROR(((IF(AG$5&lt;&gt;"", AG$5*Y$5, 0) + SUMPRODUCT(--(AG$6:AG68&lt;&gt;""), AG$6:AG68, (Y$6:Y68-Y$5:Y67)))/1000)/AF$3, ""))</f>
        <v>#N/A</v>
      </c>
      <c r="AK68" s="1">
        <f t="shared" si="16"/>
        <v>640</v>
      </c>
      <c r="AL68" s="1">
        <f t="shared" si="17"/>
        <v>0</v>
      </c>
      <c r="AS68" s="1" t="e">
        <f t="shared" si="18"/>
        <v>#N/A</v>
      </c>
      <c r="AT68" s="1" t="e">
        <f t="shared" si="3"/>
        <v>#N/A</v>
      </c>
      <c r="AU68" s="1" t="e">
        <f t="shared" si="19"/>
        <v>#N/A</v>
      </c>
      <c r="AV68" s="8" t="e" cm="1">
        <f t="array" ref="AV68">IF(AS68="","", IFERROR(((IF(AS$5&lt;&gt;"", AS$5*AK$5, 0) + SUMPRODUCT(--(AS$6:AS68&lt;&gt;""), AS$6:AS68, (AK$6:AK68-AK$5:AK67)))/1000)/AR$3, ""))</f>
        <v>#N/A</v>
      </c>
    </row>
    <row r="69" spans="1:48" x14ac:dyDescent="0.25">
      <c r="A69" s="1">
        <f t="shared" si="4"/>
        <v>650</v>
      </c>
      <c r="B69" s="1">
        <f t="shared" si="5"/>
        <v>0</v>
      </c>
      <c r="I69" s="1" t="e">
        <f t="shared" si="6"/>
        <v>#N/A</v>
      </c>
      <c r="J69" s="1" t="e">
        <f t="shared" si="0"/>
        <v>#N/A</v>
      </c>
      <c r="K69" s="1" t="e">
        <f t="shared" si="7"/>
        <v>#N/A</v>
      </c>
      <c r="L69" s="8" t="e" cm="1">
        <f t="array" ref="L69">IF(I69="","", IFERROR(((IF(I$5&lt;&gt;"", I$5*A$5, 0) + SUMPRODUCT(--(I$6:I69&lt;&gt;""), I$6:I69, (A$6:A69-A$5:A68)))/1000)/H$3, ""))</f>
        <v>#N/A</v>
      </c>
      <c r="M69" s="1">
        <f t="shared" si="8"/>
        <v>650</v>
      </c>
      <c r="N69" s="1">
        <f t="shared" si="9"/>
        <v>0</v>
      </c>
      <c r="U69" s="1" t="e">
        <f t="shared" si="10"/>
        <v>#N/A</v>
      </c>
      <c r="V69" s="1" t="e">
        <f t="shared" si="1"/>
        <v>#N/A</v>
      </c>
      <c r="W69" s="1" t="e">
        <f t="shared" si="11"/>
        <v>#N/A</v>
      </c>
      <c r="X69" s="8" t="e" cm="1">
        <f t="array" ref="X69">IF(U69="","", IFERROR(((IF(U$5&lt;&gt;"", U$5*M$5, 0) + SUMPRODUCT(--(U$6:U69&lt;&gt;""), U$6:U69, (M$6:M69-M$5:M68)))/1000)/T$3, ""))</f>
        <v>#N/A</v>
      </c>
      <c r="Y69" s="1">
        <f t="shared" si="12"/>
        <v>650</v>
      </c>
      <c r="Z69" s="1">
        <f t="shared" si="13"/>
        <v>0</v>
      </c>
      <c r="AG69" s="1" t="e">
        <f t="shared" si="14"/>
        <v>#N/A</v>
      </c>
      <c r="AH69" s="1" t="e">
        <f t="shared" si="2"/>
        <v>#N/A</v>
      </c>
      <c r="AI69" s="1" t="e">
        <f t="shared" si="15"/>
        <v>#N/A</v>
      </c>
      <c r="AJ69" s="8" t="e" cm="1">
        <f t="array" ref="AJ69">IF(AG69="","", IFERROR(((IF(AG$5&lt;&gt;"", AG$5*Y$5, 0) + SUMPRODUCT(--(AG$6:AG69&lt;&gt;""), AG$6:AG69, (Y$6:Y69-Y$5:Y68)))/1000)/AF$3, ""))</f>
        <v>#N/A</v>
      </c>
      <c r="AK69" s="1">
        <f t="shared" si="16"/>
        <v>650</v>
      </c>
      <c r="AL69" s="1">
        <f t="shared" si="17"/>
        <v>0</v>
      </c>
      <c r="AS69" s="1" t="e">
        <f t="shared" si="18"/>
        <v>#N/A</v>
      </c>
      <c r="AT69" s="1" t="e">
        <f t="shared" si="3"/>
        <v>#N/A</v>
      </c>
      <c r="AU69" s="1" t="e">
        <f t="shared" si="19"/>
        <v>#N/A</v>
      </c>
      <c r="AV69" s="8" t="e" cm="1">
        <f t="array" ref="AV69">IF(AS69="","", IFERROR(((IF(AS$5&lt;&gt;"", AS$5*AK$5, 0) + SUMPRODUCT(--(AS$6:AS69&lt;&gt;""), AS$6:AS69, (AK$6:AK69-AK$5:AK68)))/1000)/AR$3, ""))</f>
        <v>#N/A</v>
      </c>
    </row>
    <row r="70" spans="1:48" x14ac:dyDescent="0.25">
      <c r="A70" s="1">
        <f t="shared" si="4"/>
        <v>660</v>
      </c>
      <c r="B70" s="1">
        <f t="shared" si="5"/>
        <v>0</v>
      </c>
      <c r="I70" s="1" t="e">
        <f t="shared" si="6"/>
        <v>#N/A</v>
      </c>
      <c r="J70" s="1" t="e">
        <f t="shared" ref="J70:J115" si="20">IF(I70="","",I70/F$2/2.5)</f>
        <v>#N/A</v>
      </c>
      <c r="K70" s="1" t="e">
        <f t="shared" si="7"/>
        <v>#N/A</v>
      </c>
      <c r="L70" s="8" t="e" cm="1">
        <f t="array" ref="L70">IF(I70="","", IFERROR(((IF(I$5&lt;&gt;"", I$5*A$5, 0) + SUMPRODUCT(--(I$6:I70&lt;&gt;""), I$6:I70, (A$6:A70-A$5:A69)))/1000)/H$3, ""))</f>
        <v>#N/A</v>
      </c>
      <c r="M70" s="1">
        <f t="shared" si="8"/>
        <v>660</v>
      </c>
      <c r="N70" s="1">
        <f t="shared" si="9"/>
        <v>0</v>
      </c>
      <c r="U70" s="1" t="e">
        <f t="shared" si="10"/>
        <v>#N/A</v>
      </c>
      <c r="V70" s="1" t="e">
        <f t="shared" ref="V70:V115" si="21">IF(U70="","",U70/R$2/2.5)</f>
        <v>#N/A</v>
      </c>
      <c r="W70" s="1" t="e">
        <f t="shared" si="11"/>
        <v>#N/A</v>
      </c>
      <c r="X70" s="8" t="e" cm="1">
        <f t="array" ref="X70">IF(U70="","", IFERROR(((IF(U$5&lt;&gt;"", U$5*M$5, 0) + SUMPRODUCT(--(U$6:U70&lt;&gt;""), U$6:U70, (M$6:M70-M$5:M69)))/1000)/T$3, ""))</f>
        <v>#N/A</v>
      </c>
      <c r="Y70" s="1">
        <f t="shared" si="12"/>
        <v>660</v>
      </c>
      <c r="Z70" s="1">
        <f t="shared" si="13"/>
        <v>0</v>
      </c>
      <c r="AG70" s="1" t="e">
        <f t="shared" si="14"/>
        <v>#N/A</v>
      </c>
      <c r="AH70" s="1" t="e">
        <f t="shared" ref="AH70:AH115" si="22">IF(AG70="","",AG70/AD$2/2.5)</f>
        <v>#N/A</v>
      </c>
      <c r="AI70" s="1" t="e">
        <f t="shared" si="15"/>
        <v>#N/A</v>
      </c>
      <c r="AJ70" s="8" t="e" cm="1">
        <f t="array" ref="AJ70">IF(AG70="","", IFERROR(((IF(AG$5&lt;&gt;"", AG$5*Y$5, 0) + SUMPRODUCT(--(AG$6:AG70&lt;&gt;""), AG$6:AG70, (Y$6:Y70-Y$5:Y69)))/1000)/AF$3, ""))</f>
        <v>#N/A</v>
      </c>
      <c r="AK70" s="1">
        <f t="shared" si="16"/>
        <v>660</v>
      </c>
      <c r="AL70" s="1">
        <f t="shared" si="17"/>
        <v>0</v>
      </c>
      <c r="AS70" s="1" t="e">
        <f t="shared" si="18"/>
        <v>#N/A</v>
      </c>
      <c r="AT70" s="1" t="e">
        <f t="shared" ref="AT70:AT115" si="23">IF(AS70="","",AS70/AP$2/2.5)</f>
        <v>#N/A</v>
      </c>
      <c r="AU70" s="1" t="e">
        <f t="shared" si="19"/>
        <v>#N/A</v>
      </c>
      <c r="AV70" s="8" t="e" cm="1">
        <f t="array" ref="AV70">IF(AS70="","", IFERROR(((IF(AS$5&lt;&gt;"", AS$5*AK$5, 0) + SUMPRODUCT(--(AS$6:AS70&lt;&gt;""), AS$6:AS70, (AK$6:AK70-AK$5:AK69)))/1000)/AR$3, ""))</f>
        <v>#N/A</v>
      </c>
    </row>
    <row r="71" spans="1:48" x14ac:dyDescent="0.25">
      <c r="A71" s="1">
        <f t="shared" ref="A71:A115" si="24">A70+10</f>
        <v>670</v>
      </c>
      <c r="B71" s="1">
        <f t="shared" ref="B71:B115" si="25">C70</f>
        <v>0</v>
      </c>
      <c r="I71" s="1" t="e">
        <f t="shared" ref="I71:I115" si="26">IF(C71="", NA(), (B71-C71)*1000/(A71-A70))</f>
        <v>#N/A</v>
      </c>
      <c r="J71" s="1" t="e">
        <f t="shared" si="20"/>
        <v>#N/A</v>
      </c>
      <c r="K71" s="1" t="e">
        <f t="shared" ref="K71:K115" si="27">IF(I71="","", 100*_xlfn.STDEV.P(I70:I71)/AVERAGE(I70:I71))</f>
        <v>#N/A</v>
      </c>
      <c r="L71" s="8" t="e" cm="1">
        <f t="array" ref="L71">IF(I71="","", IFERROR(((IF(I$5&lt;&gt;"", I$5*A$5, 0) + SUMPRODUCT(--(I$6:I71&lt;&gt;""), I$6:I71, (A$6:A71-A$5:A70)))/1000)/H$3, ""))</f>
        <v>#N/A</v>
      </c>
      <c r="M71" s="1">
        <f t="shared" ref="M71:M115" si="28">M70+10</f>
        <v>670</v>
      </c>
      <c r="N71" s="1">
        <f t="shared" ref="N71:N115" si="29">O70</f>
        <v>0</v>
      </c>
      <c r="U71" s="1" t="e">
        <f t="shared" ref="U71:U115" si="30">IF(O71="", NA(), (N71-O71)*1000/(M71-M70))</f>
        <v>#N/A</v>
      </c>
      <c r="V71" s="1" t="e">
        <f t="shared" si="21"/>
        <v>#N/A</v>
      </c>
      <c r="W71" s="1" t="e">
        <f t="shared" ref="W71:W115" si="31">IF(U71="","", 100*_xlfn.STDEV.P(U70:U71)/AVERAGE(U70:U71))</f>
        <v>#N/A</v>
      </c>
      <c r="X71" s="8" t="e" cm="1">
        <f t="array" ref="X71">IF(U71="","", IFERROR(((IF(U$5&lt;&gt;"", U$5*M$5, 0) + SUMPRODUCT(--(U$6:U71&lt;&gt;""), U$6:U71, (M$6:M71-M$5:M70)))/1000)/T$3, ""))</f>
        <v>#N/A</v>
      </c>
      <c r="Y71" s="1">
        <f t="shared" ref="Y71:Y115" si="32">Y70+10</f>
        <v>670</v>
      </c>
      <c r="Z71" s="1">
        <f t="shared" ref="Z71:Z115" si="33">AA70</f>
        <v>0</v>
      </c>
      <c r="AG71" s="1" t="e">
        <f t="shared" ref="AG71:AG115" si="34">IF(AA71="", NA(), (Z71-AA71)*1000/(Y71-Y70))</f>
        <v>#N/A</v>
      </c>
      <c r="AH71" s="1" t="e">
        <f t="shared" si="22"/>
        <v>#N/A</v>
      </c>
      <c r="AI71" s="1" t="e">
        <f t="shared" ref="AI71:AI115" si="35">IF(AG71="","", 100*_xlfn.STDEV.P(AG70:AG71)/AVERAGE(AG70:AG71))</f>
        <v>#N/A</v>
      </c>
      <c r="AJ71" s="8" t="e" cm="1">
        <f t="array" ref="AJ71">IF(AG71="","", IFERROR(((IF(AG$5&lt;&gt;"", AG$5*Y$5, 0) + SUMPRODUCT(--(AG$6:AG71&lt;&gt;""), AG$6:AG71, (Y$6:Y71-Y$5:Y70)))/1000)/AF$3, ""))</f>
        <v>#N/A</v>
      </c>
      <c r="AK71" s="1">
        <f t="shared" ref="AK71:AK115" si="36">AK70+10</f>
        <v>670</v>
      </c>
      <c r="AL71" s="1">
        <f t="shared" ref="AL71:AL115" si="37">AM70</f>
        <v>0</v>
      </c>
      <c r="AS71" s="1" t="e">
        <f t="shared" ref="AS71:AS115" si="38">IF(AM71="", NA(), (AL71-AM71)*1000/(AK71-AK70))</f>
        <v>#N/A</v>
      </c>
      <c r="AT71" s="1" t="e">
        <f t="shared" si="23"/>
        <v>#N/A</v>
      </c>
      <c r="AU71" s="1" t="e">
        <f t="shared" ref="AU71:AU115" si="39">IF(AS71="","", 100*_xlfn.STDEV.P(AS70:AS71)/AVERAGE(AS70:AS71))</f>
        <v>#N/A</v>
      </c>
      <c r="AV71" s="8" t="e" cm="1">
        <f t="array" ref="AV71">IF(AS71="","", IFERROR(((IF(AS$5&lt;&gt;"", AS$5*AK$5, 0) + SUMPRODUCT(--(AS$6:AS71&lt;&gt;""), AS$6:AS71, (AK$6:AK71-AK$5:AK70)))/1000)/AR$3, ""))</f>
        <v>#N/A</v>
      </c>
    </row>
    <row r="72" spans="1:48" x14ac:dyDescent="0.25">
      <c r="A72" s="1">
        <f t="shared" si="24"/>
        <v>680</v>
      </c>
      <c r="B72" s="1">
        <f t="shared" si="25"/>
        <v>0</v>
      </c>
      <c r="I72" s="1" t="e">
        <f t="shared" si="26"/>
        <v>#N/A</v>
      </c>
      <c r="J72" s="1" t="e">
        <f t="shared" si="20"/>
        <v>#N/A</v>
      </c>
      <c r="K72" s="1" t="e">
        <f t="shared" si="27"/>
        <v>#N/A</v>
      </c>
      <c r="L72" s="8" t="e" cm="1">
        <f t="array" ref="L72">IF(I72="","", IFERROR(((IF(I$5&lt;&gt;"", I$5*A$5, 0) + SUMPRODUCT(--(I$6:I72&lt;&gt;""), I$6:I72, (A$6:A72-A$5:A71)))/1000)/H$3, ""))</f>
        <v>#N/A</v>
      </c>
      <c r="M72" s="1">
        <f t="shared" si="28"/>
        <v>680</v>
      </c>
      <c r="N72" s="1">
        <f t="shared" si="29"/>
        <v>0</v>
      </c>
      <c r="U72" s="1" t="e">
        <f t="shared" si="30"/>
        <v>#N/A</v>
      </c>
      <c r="V72" s="1" t="e">
        <f t="shared" si="21"/>
        <v>#N/A</v>
      </c>
      <c r="W72" s="1" t="e">
        <f t="shared" si="31"/>
        <v>#N/A</v>
      </c>
      <c r="X72" s="8" t="e" cm="1">
        <f t="array" ref="X72">IF(U72="","", IFERROR(((IF(U$5&lt;&gt;"", U$5*M$5, 0) + SUMPRODUCT(--(U$6:U72&lt;&gt;""), U$6:U72, (M$6:M72-M$5:M71)))/1000)/T$3, ""))</f>
        <v>#N/A</v>
      </c>
      <c r="Y72" s="1">
        <f t="shared" si="32"/>
        <v>680</v>
      </c>
      <c r="Z72" s="1">
        <f t="shared" si="33"/>
        <v>0</v>
      </c>
      <c r="AG72" s="1" t="e">
        <f t="shared" si="34"/>
        <v>#N/A</v>
      </c>
      <c r="AH72" s="1" t="e">
        <f t="shared" si="22"/>
        <v>#N/A</v>
      </c>
      <c r="AI72" s="1" t="e">
        <f t="shared" si="35"/>
        <v>#N/A</v>
      </c>
      <c r="AJ72" s="8" t="e" cm="1">
        <f t="array" ref="AJ72">IF(AG72="","", IFERROR(((IF(AG$5&lt;&gt;"", AG$5*Y$5, 0) + SUMPRODUCT(--(AG$6:AG72&lt;&gt;""), AG$6:AG72, (Y$6:Y72-Y$5:Y71)))/1000)/AF$3, ""))</f>
        <v>#N/A</v>
      </c>
      <c r="AK72" s="1">
        <f t="shared" si="36"/>
        <v>680</v>
      </c>
      <c r="AL72" s="1">
        <f t="shared" si="37"/>
        <v>0</v>
      </c>
      <c r="AS72" s="1" t="e">
        <f t="shared" si="38"/>
        <v>#N/A</v>
      </c>
      <c r="AT72" s="1" t="e">
        <f t="shared" si="23"/>
        <v>#N/A</v>
      </c>
      <c r="AU72" s="1" t="e">
        <f t="shared" si="39"/>
        <v>#N/A</v>
      </c>
      <c r="AV72" s="8" t="e" cm="1">
        <f t="array" ref="AV72">IF(AS72="","", IFERROR(((IF(AS$5&lt;&gt;"", AS$5*AK$5, 0) + SUMPRODUCT(--(AS$6:AS72&lt;&gt;""), AS$6:AS72, (AK$6:AK72-AK$5:AK71)))/1000)/AR$3, ""))</f>
        <v>#N/A</v>
      </c>
    </row>
    <row r="73" spans="1:48" x14ac:dyDescent="0.25">
      <c r="A73" s="1">
        <f t="shared" si="24"/>
        <v>690</v>
      </c>
      <c r="B73" s="1">
        <f t="shared" si="25"/>
        <v>0</v>
      </c>
      <c r="I73" s="1" t="e">
        <f t="shared" si="26"/>
        <v>#N/A</v>
      </c>
      <c r="J73" s="1" t="e">
        <f t="shared" si="20"/>
        <v>#N/A</v>
      </c>
      <c r="K73" s="1" t="e">
        <f t="shared" si="27"/>
        <v>#N/A</v>
      </c>
      <c r="L73" s="8" t="e" cm="1">
        <f t="array" ref="L73">IF(I73="","", IFERROR(((IF(I$5&lt;&gt;"", I$5*A$5, 0) + SUMPRODUCT(--(I$6:I73&lt;&gt;""), I$6:I73, (A$6:A73-A$5:A72)))/1000)/H$3, ""))</f>
        <v>#N/A</v>
      </c>
      <c r="M73" s="1">
        <f t="shared" si="28"/>
        <v>690</v>
      </c>
      <c r="N73" s="1">
        <f t="shared" si="29"/>
        <v>0</v>
      </c>
      <c r="U73" s="1" t="e">
        <f t="shared" si="30"/>
        <v>#N/A</v>
      </c>
      <c r="V73" s="1" t="e">
        <f t="shared" si="21"/>
        <v>#N/A</v>
      </c>
      <c r="W73" s="1" t="e">
        <f t="shared" si="31"/>
        <v>#N/A</v>
      </c>
      <c r="X73" s="8" t="e" cm="1">
        <f t="array" ref="X73">IF(U73="","", IFERROR(((IF(U$5&lt;&gt;"", U$5*M$5, 0) + SUMPRODUCT(--(U$6:U73&lt;&gt;""), U$6:U73, (M$6:M73-M$5:M72)))/1000)/T$3, ""))</f>
        <v>#N/A</v>
      </c>
      <c r="Y73" s="1">
        <f t="shared" si="32"/>
        <v>690</v>
      </c>
      <c r="Z73" s="1">
        <f t="shared" si="33"/>
        <v>0</v>
      </c>
      <c r="AG73" s="1" t="e">
        <f t="shared" si="34"/>
        <v>#N/A</v>
      </c>
      <c r="AH73" s="1" t="e">
        <f t="shared" si="22"/>
        <v>#N/A</v>
      </c>
      <c r="AI73" s="1" t="e">
        <f t="shared" si="35"/>
        <v>#N/A</v>
      </c>
      <c r="AJ73" s="8" t="e" cm="1">
        <f t="array" ref="AJ73">IF(AG73="","", IFERROR(((IF(AG$5&lt;&gt;"", AG$5*Y$5, 0) + SUMPRODUCT(--(AG$6:AG73&lt;&gt;""), AG$6:AG73, (Y$6:Y73-Y$5:Y72)))/1000)/AF$3, ""))</f>
        <v>#N/A</v>
      </c>
      <c r="AK73" s="1">
        <f t="shared" si="36"/>
        <v>690</v>
      </c>
      <c r="AL73" s="1">
        <f t="shared" si="37"/>
        <v>0</v>
      </c>
      <c r="AS73" s="1" t="e">
        <f t="shared" si="38"/>
        <v>#N/A</v>
      </c>
      <c r="AT73" s="1" t="e">
        <f t="shared" si="23"/>
        <v>#N/A</v>
      </c>
      <c r="AU73" s="1" t="e">
        <f t="shared" si="39"/>
        <v>#N/A</v>
      </c>
      <c r="AV73" s="8" t="e" cm="1">
        <f t="array" ref="AV73">IF(AS73="","", IFERROR(((IF(AS$5&lt;&gt;"", AS$5*AK$5, 0) + SUMPRODUCT(--(AS$6:AS73&lt;&gt;""), AS$6:AS73, (AK$6:AK73-AK$5:AK72)))/1000)/AR$3, ""))</f>
        <v>#N/A</v>
      </c>
    </row>
    <row r="74" spans="1:48" x14ac:dyDescent="0.25">
      <c r="A74" s="1">
        <f t="shared" si="24"/>
        <v>700</v>
      </c>
      <c r="B74" s="1">
        <f t="shared" si="25"/>
        <v>0</v>
      </c>
      <c r="I74" s="1" t="e">
        <f t="shared" si="26"/>
        <v>#N/A</v>
      </c>
      <c r="J74" s="1" t="e">
        <f t="shared" si="20"/>
        <v>#N/A</v>
      </c>
      <c r="K74" s="1" t="e">
        <f t="shared" si="27"/>
        <v>#N/A</v>
      </c>
      <c r="L74" s="8" t="e" cm="1">
        <f t="array" ref="L74">IF(I74="","", IFERROR(((IF(I$5&lt;&gt;"", I$5*A$5, 0) + SUMPRODUCT(--(I$6:I74&lt;&gt;""), I$6:I74, (A$6:A74-A$5:A73)))/1000)/H$3, ""))</f>
        <v>#N/A</v>
      </c>
      <c r="M74" s="1">
        <f t="shared" si="28"/>
        <v>700</v>
      </c>
      <c r="N74" s="1">
        <f t="shared" si="29"/>
        <v>0</v>
      </c>
      <c r="U74" s="1" t="e">
        <f t="shared" si="30"/>
        <v>#N/A</v>
      </c>
      <c r="V74" s="1" t="e">
        <f t="shared" si="21"/>
        <v>#N/A</v>
      </c>
      <c r="W74" s="1" t="e">
        <f t="shared" si="31"/>
        <v>#N/A</v>
      </c>
      <c r="X74" s="8" t="e" cm="1">
        <f t="array" ref="X74">IF(U74="","", IFERROR(((IF(U$5&lt;&gt;"", U$5*M$5, 0) + SUMPRODUCT(--(U$6:U74&lt;&gt;""), U$6:U74, (M$6:M74-M$5:M73)))/1000)/T$3, ""))</f>
        <v>#N/A</v>
      </c>
      <c r="Y74" s="1">
        <f t="shared" si="32"/>
        <v>700</v>
      </c>
      <c r="Z74" s="1">
        <f t="shared" si="33"/>
        <v>0</v>
      </c>
      <c r="AG74" s="1" t="e">
        <f t="shared" si="34"/>
        <v>#N/A</v>
      </c>
      <c r="AH74" s="1" t="e">
        <f t="shared" si="22"/>
        <v>#N/A</v>
      </c>
      <c r="AI74" s="1" t="e">
        <f t="shared" si="35"/>
        <v>#N/A</v>
      </c>
      <c r="AJ74" s="8" t="e" cm="1">
        <f t="array" ref="AJ74">IF(AG74="","", IFERROR(((IF(AG$5&lt;&gt;"", AG$5*Y$5, 0) + SUMPRODUCT(--(AG$6:AG74&lt;&gt;""), AG$6:AG74, (Y$6:Y74-Y$5:Y73)))/1000)/AF$3, ""))</f>
        <v>#N/A</v>
      </c>
      <c r="AK74" s="1">
        <f t="shared" si="36"/>
        <v>700</v>
      </c>
      <c r="AL74" s="1">
        <f t="shared" si="37"/>
        <v>0</v>
      </c>
      <c r="AS74" s="1" t="e">
        <f t="shared" si="38"/>
        <v>#N/A</v>
      </c>
      <c r="AT74" s="1" t="e">
        <f t="shared" si="23"/>
        <v>#N/A</v>
      </c>
      <c r="AU74" s="1" t="e">
        <f t="shared" si="39"/>
        <v>#N/A</v>
      </c>
      <c r="AV74" s="8" t="e" cm="1">
        <f t="array" ref="AV74">IF(AS74="","", IFERROR(((IF(AS$5&lt;&gt;"", AS$5*AK$5, 0) + SUMPRODUCT(--(AS$6:AS74&lt;&gt;""), AS$6:AS74, (AK$6:AK74-AK$5:AK73)))/1000)/AR$3, ""))</f>
        <v>#N/A</v>
      </c>
    </row>
    <row r="75" spans="1:48" x14ac:dyDescent="0.25">
      <c r="A75" s="1">
        <f t="shared" si="24"/>
        <v>710</v>
      </c>
      <c r="B75" s="1">
        <f t="shared" si="25"/>
        <v>0</v>
      </c>
      <c r="I75" s="1" t="e">
        <f t="shared" si="26"/>
        <v>#N/A</v>
      </c>
      <c r="J75" s="1" t="e">
        <f t="shared" si="20"/>
        <v>#N/A</v>
      </c>
      <c r="K75" s="1" t="e">
        <f t="shared" si="27"/>
        <v>#N/A</v>
      </c>
      <c r="L75" s="8" t="e" cm="1">
        <f t="array" ref="L75">IF(I75="","", IFERROR(((IF(I$5&lt;&gt;"", I$5*A$5, 0) + SUMPRODUCT(--(I$6:I75&lt;&gt;""), I$6:I75, (A$6:A75-A$5:A74)))/1000)/H$3, ""))</f>
        <v>#N/A</v>
      </c>
      <c r="M75" s="1">
        <f t="shared" si="28"/>
        <v>710</v>
      </c>
      <c r="N75" s="1">
        <f t="shared" si="29"/>
        <v>0</v>
      </c>
      <c r="U75" s="1" t="e">
        <f t="shared" si="30"/>
        <v>#N/A</v>
      </c>
      <c r="V75" s="1" t="e">
        <f t="shared" si="21"/>
        <v>#N/A</v>
      </c>
      <c r="W75" s="1" t="e">
        <f t="shared" si="31"/>
        <v>#N/A</v>
      </c>
      <c r="X75" s="8" t="e" cm="1">
        <f t="array" ref="X75">IF(U75="","", IFERROR(((IF(U$5&lt;&gt;"", U$5*M$5, 0) + SUMPRODUCT(--(U$6:U75&lt;&gt;""), U$6:U75, (M$6:M75-M$5:M74)))/1000)/T$3, ""))</f>
        <v>#N/A</v>
      </c>
      <c r="Y75" s="1">
        <f t="shared" si="32"/>
        <v>710</v>
      </c>
      <c r="Z75" s="1">
        <f t="shared" si="33"/>
        <v>0</v>
      </c>
      <c r="AG75" s="1" t="e">
        <f t="shared" si="34"/>
        <v>#N/A</v>
      </c>
      <c r="AH75" s="1" t="e">
        <f t="shared" si="22"/>
        <v>#N/A</v>
      </c>
      <c r="AI75" s="1" t="e">
        <f t="shared" si="35"/>
        <v>#N/A</v>
      </c>
      <c r="AJ75" s="8" t="e" cm="1">
        <f t="array" ref="AJ75">IF(AG75="","", IFERROR(((IF(AG$5&lt;&gt;"", AG$5*Y$5, 0) + SUMPRODUCT(--(AG$6:AG75&lt;&gt;""), AG$6:AG75, (Y$6:Y75-Y$5:Y74)))/1000)/AF$3, ""))</f>
        <v>#N/A</v>
      </c>
      <c r="AK75" s="1">
        <f t="shared" si="36"/>
        <v>710</v>
      </c>
      <c r="AL75" s="1">
        <f t="shared" si="37"/>
        <v>0</v>
      </c>
      <c r="AS75" s="1" t="e">
        <f t="shared" si="38"/>
        <v>#N/A</v>
      </c>
      <c r="AT75" s="1" t="e">
        <f t="shared" si="23"/>
        <v>#N/A</v>
      </c>
      <c r="AU75" s="1" t="e">
        <f t="shared" si="39"/>
        <v>#N/A</v>
      </c>
      <c r="AV75" s="8" t="e" cm="1">
        <f t="array" ref="AV75">IF(AS75="","", IFERROR(((IF(AS$5&lt;&gt;"", AS$5*AK$5, 0) + SUMPRODUCT(--(AS$6:AS75&lt;&gt;""), AS$6:AS75, (AK$6:AK75-AK$5:AK74)))/1000)/AR$3, ""))</f>
        <v>#N/A</v>
      </c>
    </row>
    <row r="76" spans="1:48" x14ac:dyDescent="0.25">
      <c r="A76" s="1">
        <f t="shared" si="24"/>
        <v>720</v>
      </c>
      <c r="B76" s="1">
        <f t="shared" si="25"/>
        <v>0</v>
      </c>
      <c r="I76" s="1" t="e">
        <f t="shared" si="26"/>
        <v>#N/A</v>
      </c>
      <c r="J76" s="1" t="e">
        <f t="shared" si="20"/>
        <v>#N/A</v>
      </c>
      <c r="K76" s="1" t="e">
        <f t="shared" si="27"/>
        <v>#N/A</v>
      </c>
      <c r="L76" s="8" t="e" cm="1">
        <f t="array" ref="L76">IF(I76="","", IFERROR(((IF(I$5&lt;&gt;"", I$5*A$5, 0) + SUMPRODUCT(--(I$6:I76&lt;&gt;""), I$6:I76, (A$6:A76-A$5:A75)))/1000)/H$3, ""))</f>
        <v>#N/A</v>
      </c>
      <c r="M76" s="1">
        <f t="shared" si="28"/>
        <v>720</v>
      </c>
      <c r="N76" s="1">
        <f t="shared" si="29"/>
        <v>0</v>
      </c>
      <c r="U76" s="1" t="e">
        <f t="shared" si="30"/>
        <v>#N/A</v>
      </c>
      <c r="V76" s="1" t="e">
        <f t="shared" si="21"/>
        <v>#N/A</v>
      </c>
      <c r="W76" s="1" t="e">
        <f t="shared" si="31"/>
        <v>#N/A</v>
      </c>
      <c r="X76" s="8" t="e" cm="1">
        <f t="array" ref="X76">IF(U76="","", IFERROR(((IF(U$5&lt;&gt;"", U$5*M$5, 0) + SUMPRODUCT(--(U$6:U76&lt;&gt;""), U$6:U76, (M$6:M76-M$5:M75)))/1000)/T$3, ""))</f>
        <v>#N/A</v>
      </c>
      <c r="Y76" s="1">
        <f t="shared" si="32"/>
        <v>720</v>
      </c>
      <c r="Z76" s="1">
        <f t="shared" si="33"/>
        <v>0</v>
      </c>
      <c r="AG76" s="1" t="e">
        <f t="shared" si="34"/>
        <v>#N/A</v>
      </c>
      <c r="AH76" s="1" t="e">
        <f t="shared" si="22"/>
        <v>#N/A</v>
      </c>
      <c r="AI76" s="1" t="e">
        <f t="shared" si="35"/>
        <v>#N/A</v>
      </c>
      <c r="AJ76" s="8" t="e" cm="1">
        <f t="array" ref="AJ76">IF(AG76="","", IFERROR(((IF(AG$5&lt;&gt;"", AG$5*Y$5, 0) + SUMPRODUCT(--(AG$6:AG76&lt;&gt;""), AG$6:AG76, (Y$6:Y76-Y$5:Y75)))/1000)/AF$3, ""))</f>
        <v>#N/A</v>
      </c>
      <c r="AK76" s="1">
        <f t="shared" si="36"/>
        <v>720</v>
      </c>
      <c r="AL76" s="1">
        <f t="shared" si="37"/>
        <v>0</v>
      </c>
      <c r="AS76" s="1" t="e">
        <f t="shared" si="38"/>
        <v>#N/A</v>
      </c>
      <c r="AT76" s="1" t="e">
        <f t="shared" si="23"/>
        <v>#N/A</v>
      </c>
      <c r="AU76" s="1" t="e">
        <f t="shared" si="39"/>
        <v>#N/A</v>
      </c>
      <c r="AV76" s="8" t="e" cm="1">
        <f t="array" ref="AV76">IF(AS76="","", IFERROR(((IF(AS$5&lt;&gt;"", AS$5*AK$5, 0) + SUMPRODUCT(--(AS$6:AS76&lt;&gt;""), AS$6:AS76, (AK$6:AK76-AK$5:AK75)))/1000)/AR$3, ""))</f>
        <v>#N/A</v>
      </c>
    </row>
    <row r="77" spans="1:48" x14ac:dyDescent="0.25">
      <c r="A77" s="1">
        <f t="shared" si="24"/>
        <v>730</v>
      </c>
      <c r="B77" s="1">
        <f t="shared" si="25"/>
        <v>0</v>
      </c>
      <c r="I77" s="1" t="e">
        <f t="shared" si="26"/>
        <v>#N/A</v>
      </c>
      <c r="J77" s="1" t="e">
        <f t="shared" si="20"/>
        <v>#N/A</v>
      </c>
      <c r="K77" s="1" t="e">
        <f t="shared" si="27"/>
        <v>#N/A</v>
      </c>
      <c r="L77" s="8" t="e" cm="1">
        <f t="array" ref="L77">IF(I77="","", IFERROR(((IF(I$5&lt;&gt;"", I$5*A$5, 0) + SUMPRODUCT(--(I$6:I77&lt;&gt;""), I$6:I77, (A$6:A77-A$5:A76)))/1000)/H$3, ""))</f>
        <v>#N/A</v>
      </c>
      <c r="M77" s="1">
        <f t="shared" si="28"/>
        <v>730</v>
      </c>
      <c r="N77" s="1">
        <f t="shared" si="29"/>
        <v>0</v>
      </c>
      <c r="U77" s="1" t="e">
        <f t="shared" si="30"/>
        <v>#N/A</v>
      </c>
      <c r="V77" s="1" t="e">
        <f t="shared" si="21"/>
        <v>#N/A</v>
      </c>
      <c r="W77" s="1" t="e">
        <f t="shared" si="31"/>
        <v>#N/A</v>
      </c>
      <c r="X77" s="8" t="e" cm="1">
        <f t="array" ref="X77">IF(U77="","", IFERROR(((IF(U$5&lt;&gt;"", U$5*M$5, 0) + SUMPRODUCT(--(U$6:U77&lt;&gt;""), U$6:U77, (M$6:M77-M$5:M76)))/1000)/T$3, ""))</f>
        <v>#N/A</v>
      </c>
      <c r="Y77" s="1">
        <f t="shared" si="32"/>
        <v>730</v>
      </c>
      <c r="Z77" s="1">
        <f t="shared" si="33"/>
        <v>0</v>
      </c>
      <c r="AG77" s="1" t="e">
        <f t="shared" si="34"/>
        <v>#N/A</v>
      </c>
      <c r="AH77" s="1" t="e">
        <f t="shared" si="22"/>
        <v>#N/A</v>
      </c>
      <c r="AI77" s="1" t="e">
        <f t="shared" si="35"/>
        <v>#N/A</v>
      </c>
      <c r="AJ77" s="8" t="e" cm="1">
        <f t="array" ref="AJ77">IF(AG77="","", IFERROR(((IF(AG$5&lt;&gt;"", AG$5*Y$5, 0) + SUMPRODUCT(--(AG$6:AG77&lt;&gt;""), AG$6:AG77, (Y$6:Y77-Y$5:Y76)))/1000)/AF$3, ""))</f>
        <v>#N/A</v>
      </c>
      <c r="AK77" s="1">
        <f t="shared" si="36"/>
        <v>730</v>
      </c>
      <c r="AL77" s="1">
        <f t="shared" si="37"/>
        <v>0</v>
      </c>
      <c r="AS77" s="1" t="e">
        <f t="shared" si="38"/>
        <v>#N/A</v>
      </c>
      <c r="AT77" s="1" t="e">
        <f t="shared" si="23"/>
        <v>#N/A</v>
      </c>
      <c r="AU77" s="1" t="e">
        <f t="shared" si="39"/>
        <v>#N/A</v>
      </c>
      <c r="AV77" s="8" t="e" cm="1">
        <f t="array" ref="AV77">IF(AS77="","", IFERROR(((IF(AS$5&lt;&gt;"", AS$5*AK$5, 0) + SUMPRODUCT(--(AS$6:AS77&lt;&gt;""), AS$6:AS77, (AK$6:AK77-AK$5:AK76)))/1000)/AR$3, ""))</f>
        <v>#N/A</v>
      </c>
    </row>
    <row r="78" spans="1:48" x14ac:dyDescent="0.25">
      <c r="A78" s="1">
        <f t="shared" si="24"/>
        <v>740</v>
      </c>
      <c r="B78" s="1">
        <f t="shared" si="25"/>
        <v>0</v>
      </c>
      <c r="I78" s="1" t="e">
        <f t="shared" si="26"/>
        <v>#N/A</v>
      </c>
      <c r="J78" s="1" t="e">
        <f t="shared" si="20"/>
        <v>#N/A</v>
      </c>
      <c r="K78" s="1" t="e">
        <f t="shared" si="27"/>
        <v>#N/A</v>
      </c>
      <c r="L78" s="8" t="e" cm="1">
        <f t="array" ref="L78">IF(I78="","", IFERROR(((IF(I$5&lt;&gt;"", I$5*A$5, 0) + SUMPRODUCT(--(I$6:I78&lt;&gt;""), I$6:I78, (A$6:A78-A$5:A77)))/1000)/H$3, ""))</f>
        <v>#N/A</v>
      </c>
      <c r="M78" s="1">
        <f t="shared" si="28"/>
        <v>740</v>
      </c>
      <c r="N78" s="1">
        <f t="shared" si="29"/>
        <v>0</v>
      </c>
      <c r="U78" s="1" t="e">
        <f t="shared" si="30"/>
        <v>#N/A</v>
      </c>
      <c r="V78" s="1" t="e">
        <f t="shared" si="21"/>
        <v>#N/A</v>
      </c>
      <c r="W78" s="1" t="e">
        <f t="shared" si="31"/>
        <v>#N/A</v>
      </c>
      <c r="X78" s="8" t="e" cm="1">
        <f t="array" ref="X78">IF(U78="","", IFERROR(((IF(U$5&lt;&gt;"", U$5*M$5, 0) + SUMPRODUCT(--(U$6:U78&lt;&gt;""), U$6:U78, (M$6:M78-M$5:M77)))/1000)/T$3, ""))</f>
        <v>#N/A</v>
      </c>
      <c r="Y78" s="1">
        <f t="shared" si="32"/>
        <v>740</v>
      </c>
      <c r="Z78" s="1">
        <f t="shared" si="33"/>
        <v>0</v>
      </c>
      <c r="AG78" s="1" t="e">
        <f t="shared" si="34"/>
        <v>#N/A</v>
      </c>
      <c r="AH78" s="1" t="e">
        <f t="shared" si="22"/>
        <v>#N/A</v>
      </c>
      <c r="AI78" s="1" t="e">
        <f t="shared" si="35"/>
        <v>#N/A</v>
      </c>
      <c r="AJ78" s="8" t="e" cm="1">
        <f t="array" ref="AJ78">IF(AG78="","", IFERROR(((IF(AG$5&lt;&gt;"", AG$5*Y$5, 0) + SUMPRODUCT(--(AG$6:AG78&lt;&gt;""), AG$6:AG78, (Y$6:Y78-Y$5:Y77)))/1000)/AF$3, ""))</f>
        <v>#N/A</v>
      </c>
      <c r="AK78" s="1">
        <f t="shared" si="36"/>
        <v>740</v>
      </c>
      <c r="AL78" s="1">
        <f t="shared" si="37"/>
        <v>0</v>
      </c>
      <c r="AS78" s="1" t="e">
        <f t="shared" si="38"/>
        <v>#N/A</v>
      </c>
      <c r="AT78" s="1" t="e">
        <f t="shared" si="23"/>
        <v>#N/A</v>
      </c>
      <c r="AU78" s="1" t="e">
        <f t="shared" si="39"/>
        <v>#N/A</v>
      </c>
      <c r="AV78" s="8" t="e" cm="1">
        <f t="array" ref="AV78">IF(AS78="","", IFERROR(((IF(AS$5&lt;&gt;"", AS$5*AK$5, 0) + SUMPRODUCT(--(AS$6:AS78&lt;&gt;""), AS$6:AS78, (AK$6:AK78-AK$5:AK77)))/1000)/AR$3, ""))</f>
        <v>#N/A</v>
      </c>
    </row>
    <row r="79" spans="1:48" x14ac:dyDescent="0.25">
      <c r="A79" s="1">
        <f t="shared" si="24"/>
        <v>750</v>
      </c>
      <c r="B79" s="1">
        <f t="shared" si="25"/>
        <v>0</v>
      </c>
      <c r="I79" s="1" t="e">
        <f t="shared" si="26"/>
        <v>#N/A</v>
      </c>
      <c r="J79" s="1" t="e">
        <f t="shared" si="20"/>
        <v>#N/A</v>
      </c>
      <c r="K79" s="1" t="e">
        <f t="shared" si="27"/>
        <v>#N/A</v>
      </c>
      <c r="L79" s="8" t="e" cm="1">
        <f t="array" ref="L79">IF(I79="","", IFERROR(((IF(I$5&lt;&gt;"", I$5*A$5, 0) + SUMPRODUCT(--(I$6:I79&lt;&gt;""), I$6:I79, (A$6:A79-A$5:A78)))/1000)/H$3, ""))</f>
        <v>#N/A</v>
      </c>
      <c r="M79" s="1">
        <f t="shared" si="28"/>
        <v>750</v>
      </c>
      <c r="N79" s="1">
        <f t="shared" si="29"/>
        <v>0</v>
      </c>
      <c r="U79" s="1" t="e">
        <f t="shared" si="30"/>
        <v>#N/A</v>
      </c>
      <c r="V79" s="1" t="e">
        <f t="shared" si="21"/>
        <v>#N/A</v>
      </c>
      <c r="W79" s="1" t="e">
        <f t="shared" si="31"/>
        <v>#N/A</v>
      </c>
      <c r="X79" s="8" t="e" cm="1">
        <f t="array" ref="X79">IF(U79="","", IFERROR(((IF(U$5&lt;&gt;"", U$5*M$5, 0) + SUMPRODUCT(--(U$6:U79&lt;&gt;""), U$6:U79, (M$6:M79-M$5:M78)))/1000)/T$3, ""))</f>
        <v>#N/A</v>
      </c>
      <c r="Y79" s="1">
        <f t="shared" si="32"/>
        <v>750</v>
      </c>
      <c r="Z79" s="1">
        <f t="shared" si="33"/>
        <v>0</v>
      </c>
      <c r="AG79" s="1" t="e">
        <f t="shared" si="34"/>
        <v>#N/A</v>
      </c>
      <c r="AH79" s="1" t="e">
        <f t="shared" si="22"/>
        <v>#N/A</v>
      </c>
      <c r="AI79" s="1" t="e">
        <f t="shared" si="35"/>
        <v>#N/A</v>
      </c>
      <c r="AJ79" s="8" t="e" cm="1">
        <f t="array" ref="AJ79">IF(AG79="","", IFERROR(((IF(AG$5&lt;&gt;"", AG$5*Y$5, 0) + SUMPRODUCT(--(AG$6:AG79&lt;&gt;""), AG$6:AG79, (Y$6:Y79-Y$5:Y78)))/1000)/AF$3, ""))</f>
        <v>#N/A</v>
      </c>
      <c r="AK79" s="1">
        <f t="shared" si="36"/>
        <v>750</v>
      </c>
      <c r="AL79" s="1">
        <f t="shared" si="37"/>
        <v>0</v>
      </c>
      <c r="AS79" s="1" t="e">
        <f t="shared" si="38"/>
        <v>#N/A</v>
      </c>
      <c r="AT79" s="1" t="e">
        <f t="shared" si="23"/>
        <v>#N/A</v>
      </c>
      <c r="AU79" s="1" t="e">
        <f t="shared" si="39"/>
        <v>#N/A</v>
      </c>
      <c r="AV79" s="8" t="e" cm="1">
        <f t="array" ref="AV79">IF(AS79="","", IFERROR(((IF(AS$5&lt;&gt;"", AS$5*AK$5, 0) + SUMPRODUCT(--(AS$6:AS79&lt;&gt;""), AS$6:AS79, (AK$6:AK79-AK$5:AK78)))/1000)/AR$3, ""))</f>
        <v>#N/A</v>
      </c>
    </row>
    <row r="80" spans="1:48" x14ac:dyDescent="0.25">
      <c r="A80" s="1">
        <f t="shared" si="24"/>
        <v>760</v>
      </c>
      <c r="B80" s="1">
        <f t="shared" si="25"/>
        <v>0</v>
      </c>
      <c r="I80" s="1" t="e">
        <f t="shared" si="26"/>
        <v>#N/A</v>
      </c>
      <c r="J80" s="1" t="e">
        <f t="shared" si="20"/>
        <v>#N/A</v>
      </c>
      <c r="K80" s="1" t="e">
        <f t="shared" si="27"/>
        <v>#N/A</v>
      </c>
      <c r="L80" s="8" t="e" cm="1">
        <f t="array" ref="L80">IF(I80="","", IFERROR(((IF(I$5&lt;&gt;"", I$5*A$5, 0) + SUMPRODUCT(--(I$6:I80&lt;&gt;""), I$6:I80, (A$6:A80-A$5:A79)))/1000)/H$3, ""))</f>
        <v>#N/A</v>
      </c>
      <c r="M80" s="1">
        <f t="shared" si="28"/>
        <v>760</v>
      </c>
      <c r="N80" s="1">
        <f t="shared" si="29"/>
        <v>0</v>
      </c>
      <c r="U80" s="1" t="e">
        <f t="shared" si="30"/>
        <v>#N/A</v>
      </c>
      <c r="V80" s="1" t="e">
        <f t="shared" si="21"/>
        <v>#N/A</v>
      </c>
      <c r="W80" s="1" t="e">
        <f t="shared" si="31"/>
        <v>#N/A</v>
      </c>
      <c r="X80" s="8" t="e" cm="1">
        <f t="array" ref="X80">IF(U80="","", IFERROR(((IF(U$5&lt;&gt;"", U$5*M$5, 0) + SUMPRODUCT(--(U$6:U80&lt;&gt;""), U$6:U80, (M$6:M80-M$5:M79)))/1000)/T$3, ""))</f>
        <v>#N/A</v>
      </c>
      <c r="Y80" s="1">
        <f t="shared" si="32"/>
        <v>760</v>
      </c>
      <c r="Z80" s="1">
        <f t="shared" si="33"/>
        <v>0</v>
      </c>
      <c r="AG80" s="1" t="e">
        <f t="shared" si="34"/>
        <v>#N/A</v>
      </c>
      <c r="AH80" s="1" t="e">
        <f t="shared" si="22"/>
        <v>#N/A</v>
      </c>
      <c r="AI80" s="1" t="e">
        <f t="shared" si="35"/>
        <v>#N/A</v>
      </c>
      <c r="AJ80" s="8" t="e" cm="1">
        <f t="array" ref="AJ80">IF(AG80="","", IFERROR(((IF(AG$5&lt;&gt;"", AG$5*Y$5, 0) + SUMPRODUCT(--(AG$6:AG80&lt;&gt;""), AG$6:AG80, (Y$6:Y80-Y$5:Y79)))/1000)/AF$3, ""))</f>
        <v>#N/A</v>
      </c>
      <c r="AK80" s="1">
        <f t="shared" si="36"/>
        <v>760</v>
      </c>
      <c r="AL80" s="1">
        <f t="shared" si="37"/>
        <v>0</v>
      </c>
      <c r="AS80" s="1" t="e">
        <f t="shared" si="38"/>
        <v>#N/A</v>
      </c>
      <c r="AT80" s="1" t="e">
        <f t="shared" si="23"/>
        <v>#N/A</v>
      </c>
      <c r="AU80" s="1" t="e">
        <f t="shared" si="39"/>
        <v>#N/A</v>
      </c>
      <c r="AV80" s="8" t="e" cm="1">
        <f t="array" ref="AV80">IF(AS80="","", IFERROR(((IF(AS$5&lt;&gt;"", AS$5*AK$5, 0) + SUMPRODUCT(--(AS$6:AS80&lt;&gt;""), AS$6:AS80, (AK$6:AK80-AK$5:AK79)))/1000)/AR$3, ""))</f>
        <v>#N/A</v>
      </c>
    </row>
    <row r="81" spans="1:48" x14ac:dyDescent="0.25">
      <c r="A81" s="1">
        <f t="shared" si="24"/>
        <v>770</v>
      </c>
      <c r="B81" s="1">
        <f t="shared" si="25"/>
        <v>0</v>
      </c>
      <c r="I81" s="1" t="e">
        <f t="shared" si="26"/>
        <v>#N/A</v>
      </c>
      <c r="J81" s="1" t="e">
        <f t="shared" si="20"/>
        <v>#N/A</v>
      </c>
      <c r="K81" s="1" t="e">
        <f t="shared" si="27"/>
        <v>#N/A</v>
      </c>
      <c r="L81" s="8" t="e" cm="1">
        <f t="array" ref="L81">IF(I81="","", IFERROR(((IF(I$5&lt;&gt;"", I$5*A$5, 0) + SUMPRODUCT(--(I$6:I81&lt;&gt;""), I$6:I81, (A$6:A81-A$5:A80)))/1000)/H$3, ""))</f>
        <v>#N/A</v>
      </c>
      <c r="M81" s="1">
        <f t="shared" si="28"/>
        <v>770</v>
      </c>
      <c r="N81" s="1">
        <f t="shared" si="29"/>
        <v>0</v>
      </c>
      <c r="U81" s="1" t="e">
        <f t="shared" si="30"/>
        <v>#N/A</v>
      </c>
      <c r="V81" s="1" t="e">
        <f t="shared" si="21"/>
        <v>#N/A</v>
      </c>
      <c r="W81" s="1" t="e">
        <f t="shared" si="31"/>
        <v>#N/A</v>
      </c>
      <c r="X81" s="8" t="e" cm="1">
        <f t="array" ref="X81">IF(U81="","", IFERROR(((IF(U$5&lt;&gt;"", U$5*M$5, 0) + SUMPRODUCT(--(U$6:U81&lt;&gt;""), U$6:U81, (M$6:M81-M$5:M80)))/1000)/T$3, ""))</f>
        <v>#N/A</v>
      </c>
      <c r="Y81" s="1">
        <f t="shared" si="32"/>
        <v>770</v>
      </c>
      <c r="Z81" s="1">
        <f t="shared" si="33"/>
        <v>0</v>
      </c>
      <c r="AG81" s="1" t="e">
        <f t="shared" si="34"/>
        <v>#N/A</v>
      </c>
      <c r="AH81" s="1" t="e">
        <f t="shared" si="22"/>
        <v>#N/A</v>
      </c>
      <c r="AI81" s="1" t="e">
        <f t="shared" si="35"/>
        <v>#N/A</v>
      </c>
      <c r="AJ81" s="8" t="e" cm="1">
        <f t="array" ref="AJ81">IF(AG81="","", IFERROR(((IF(AG$5&lt;&gt;"", AG$5*Y$5, 0) + SUMPRODUCT(--(AG$6:AG81&lt;&gt;""), AG$6:AG81, (Y$6:Y81-Y$5:Y80)))/1000)/AF$3, ""))</f>
        <v>#N/A</v>
      </c>
      <c r="AK81" s="1">
        <f t="shared" si="36"/>
        <v>770</v>
      </c>
      <c r="AL81" s="1">
        <f t="shared" si="37"/>
        <v>0</v>
      </c>
      <c r="AS81" s="1" t="e">
        <f t="shared" si="38"/>
        <v>#N/A</v>
      </c>
      <c r="AT81" s="1" t="e">
        <f t="shared" si="23"/>
        <v>#N/A</v>
      </c>
      <c r="AU81" s="1" t="e">
        <f t="shared" si="39"/>
        <v>#N/A</v>
      </c>
      <c r="AV81" s="8" t="e" cm="1">
        <f t="array" ref="AV81">IF(AS81="","", IFERROR(((IF(AS$5&lt;&gt;"", AS$5*AK$5, 0) + SUMPRODUCT(--(AS$6:AS81&lt;&gt;""), AS$6:AS81, (AK$6:AK81-AK$5:AK80)))/1000)/AR$3, ""))</f>
        <v>#N/A</v>
      </c>
    </row>
    <row r="82" spans="1:48" x14ac:dyDescent="0.25">
      <c r="A82" s="1">
        <f t="shared" si="24"/>
        <v>780</v>
      </c>
      <c r="B82" s="1">
        <f t="shared" si="25"/>
        <v>0</v>
      </c>
      <c r="I82" s="1" t="e">
        <f t="shared" si="26"/>
        <v>#N/A</v>
      </c>
      <c r="J82" s="1" t="e">
        <f t="shared" si="20"/>
        <v>#N/A</v>
      </c>
      <c r="K82" s="1" t="e">
        <f t="shared" si="27"/>
        <v>#N/A</v>
      </c>
      <c r="L82" s="8" t="e" cm="1">
        <f t="array" ref="L82">IF(I82="","", IFERROR(((IF(I$5&lt;&gt;"", I$5*A$5, 0) + SUMPRODUCT(--(I$6:I82&lt;&gt;""), I$6:I82, (A$6:A82-A$5:A81)))/1000)/H$3, ""))</f>
        <v>#N/A</v>
      </c>
      <c r="M82" s="1">
        <f t="shared" si="28"/>
        <v>780</v>
      </c>
      <c r="N82" s="1">
        <f t="shared" si="29"/>
        <v>0</v>
      </c>
      <c r="U82" s="1" t="e">
        <f t="shared" si="30"/>
        <v>#N/A</v>
      </c>
      <c r="V82" s="1" t="e">
        <f t="shared" si="21"/>
        <v>#N/A</v>
      </c>
      <c r="W82" s="1" t="e">
        <f t="shared" si="31"/>
        <v>#N/A</v>
      </c>
      <c r="X82" s="8" t="e" cm="1">
        <f t="array" ref="X82">IF(U82="","", IFERROR(((IF(U$5&lt;&gt;"", U$5*M$5, 0) + SUMPRODUCT(--(U$6:U82&lt;&gt;""), U$6:U82, (M$6:M82-M$5:M81)))/1000)/T$3, ""))</f>
        <v>#N/A</v>
      </c>
      <c r="Y82" s="1">
        <f t="shared" si="32"/>
        <v>780</v>
      </c>
      <c r="Z82" s="1">
        <f t="shared" si="33"/>
        <v>0</v>
      </c>
      <c r="AG82" s="1" t="e">
        <f t="shared" si="34"/>
        <v>#N/A</v>
      </c>
      <c r="AH82" s="1" t="e">
        <f t="shared" si="22"/>
        <v>#N/A</v>
      </c>
      <c r="AI82" s="1" t="e">
        <f t="shared" si="35"/>
        <v>#N/A</v>
      </c>
      <c r="AJ82" s="8" t="e" cm="1">
        <f t="array" ref="AJ82">IF(AG82="","", IFERROR(((IF(AG$5&lt;&gt;"", AG$5*Y$5, 0) + SUMPRODUCT(--(AG$6:AG82&lt;&gt;""), AG$6:AG82, (Y$6:Y82-Y$5:Y81)))/1000)/AF$3, ""))</f>
        <v>#N/A</v>
      </c>
      <c r="AK82" s="1">
        <f t="shared" si="36"/>
        <v>780</v>
      </c>
      <c r="AL82" s="1">
        <f t="shared" si="37"/>
        <v>0</v>
      </c>
      <c r="AS82" s="1" t="e">
        <f t="shared" si="38"/>
        <v>#N/A</v>
      </c>
      <c r="AT82" s="1" t="e">
        <f t="shared" si="23"/>
        <v>#N/A</v>
      </c>
      <c r="AU82" s="1" t="e">
        <f t="shared" si="39"/>
        <v>#N/A</v>
      </c>
      <c r="AV82" s="8" t="e" cm="1">
        <f t="array" ref="AV82">IF(AS82="","", IFERROR(((IF(AS$5&lt;&gt;"", AS$5*AK$5, 0) + SUMPRODUCT(--(AS$6:AS82&lt;&gt;""), AS$6:AS82, (AK$6:AK82-AK$5:AK81)))/1000)/AR$3, ""))</f>
        <v>#N/A</v>
      </c>
    </row>
    <row r="83" spans="1:48" x14ac:dyDescent="0.25">
      <c r="A83" s="1">
        <f t="shared" si="24"/>
        <v>790</v>
      </c>
      <c r="B83" s="1">
        <f t="shared" si="25"/>
        <v>0</v>
      </c>
      <c r="I83" s="1" t="e">
        <f t="shared" si="26"/>
        <v>#N/A</v>
      </c>
      <c r="J83" s="1" t="e">
        <f t="shared" si="20"/>
        <v>#N/A</v>
      </c>
      <c r="K83" s="1" t="e">
        <f t="shared" si="27"/>
        <v>#N/A</v>
      </c>
      <c r="L83" s="8" t="e" cm="1">
        <f t="array" ref="L83">IF(I83="","", IFERROR(((IF(I$5&lt;&gt;"", I$5*A$5, 0) + SUMPRODUCT(--(I$6:I83&lt;&gt;""), I$6:I83, (A$6:A83-A$5:A82)))/1000)/H$3, ""))</f>
        <v>#N/A</v>
      </c>
      <c r="M83" s="1">
        <f t="shared" si="28"/>
        <v>790</v>
      </c>
      <c r="N83" s="1">
        <f t="shared" si="29"/>
        <v>0</v>
      </c>
      <c r="U83" s="1" t="e">
        <f t="shared" si="30"/>
        <v>#N/A</v>
      </c>
      <c r="V83" s="1" t="e">
        <f t="shared" si="21"/>
        <v>#N/A</v>
      </c>
      <c r="W83" s="1" t="e">
        <f t="shared" si="31"/>
        <v>#N/A</v>
      </c>
      <c r="X83" s="8" t="e" cm="1">
        <f t="array" ref="X83">IF(U83="","", IFERROR(((IF(U$5&lt;&gt;"", U$5*M$5, 0) + SUMPRODUCT(--(U$6:U83&lt;&gt;""), U$6:U83, (M$6:M83-M$5:M82)))/1000)/T$3, ""))</f>
        <v>#N/A</v>
      </c>
      <c r="Y83" s="1">
        <f t="shared" si="32"/>
        <v>790</v>
      </c>
      <c r="Z83" s="1">
        <f t="shared" si="33"/>
        <v>0</v>
      </c>
      <c r="AG83" s="1" t="e">
        <f t="shared" si="34"/>
        <v>#N/A</v>
      </c>
      <c r="AH83" s="1" t="e">
        <f t="shared" si="22"/>
        <v>#N/A</v>
      </c>
      <c r="AI83" s="1" t="e">
        <f t="shared" si="35"/>
        <v>#N/A</v>
      </c>
      <c r="AJ83" s="8" t="e" cm="1">
        <f t="array" ref="AJ83">IF(AG83="","", IFERROR(((IF(AG$5&lt;&gt;"", AG$5*Y$5, 0) + SUMPRODUCT(--(AG$6:AG83&lt;&gt;""), AG$6:AG83, (Y$6:Y83-Y$5:Y82)))/1000)/AF$3, ""))</f>
        <v>#N/A</v>
      </c>
      <c r="AK83" s="1">
        <f t="shared" si="36"/>
        <v>790</v>
      </c>
      <c r="AL83" s="1">
        <f t="shared" si="37"/>
        <v>0</v>
      </c>
      <c r="AS83" s="1" t="e">
        <f t="shared" si="38"/>
        <v>#N/A</v>
      </c>
      <c r="AT83" s="1" t="e">
        <f t="shared" si="23"/>
        <v>#N/A</v>
      </c>
      <c r="AU83" s="1" t="e">
        <f t="shared" si="39"/>
        <v>#N/A</v>
      </c>
      <c r="AV83" s="8" t="e" cm="1">
        <f t="array" ref="AV83">IF(AS83="","", IFERROR(((IF(AS$5&lt;&gt;"", AS$5*AK$5, 0) + SUMPRODUCT(--(AS$6:AS83&lt;&gt;""), AS$6:AS83, (AK$6:AK83-AK$5:AK82)))/1000)/AR$3, ""))</f>
        <v>#N/A</v>
      </c>
    </row>
    <row r="84" spans="1:48" x14ac:dyDescent="0.25">
      <c r="A84" s="1">
        <f t="shared" si="24"/>
        <v>800</v>
      </c>
      <c r="B84" s="1">
        <f t="shared" si="25"/>
        <v>0</v>
      </c>
      <c r="I84" s="1" t="e">
        <f t="shared" si="26"/>
        <v>#N/A</v>
      </c>
      <c r="J84" s="1" t="e">
        <f t="shared" si="20"/>
        <v>#N/A</v>
      </c>
      <c r="K84" s="1" t="e">
        <f t="shared" si="27"/>
        <v>#N/A</v>
      </c>
      <c r="L84" s="8" t="e" cm="1">
        <f t="array" ref="L84">IF(I84="","", IFERROR(((IF(I$5&lt;&gt;"", I$5*A$5, 0) + SUMPRODUCT(--(I$6:I84&lt;&gt;""), I$6:I84, (A$6:A84-A$5:A83)))/1000)/H$3, ""))</f>
        <v>#N/A</v>
      </c>
      <c r="M84" s="1">
        <f t="shared" si="28"/>
        <v>800</v>
      </c>
      <c r="N84" s="1">
        <f t="shared" si="29"/>
        <v>0</v>
      </c>
      <c r="U84" s="1" t="e">
        <f t="shared" si="30"/>
        <v>#N/A</v>
      </c>
      <c r="V84" s="1" t="e">
        <f t="shared" si="21"/>
        <v>#N/A</v>
      </c>
      <c r="W84" s="1" t="e">
        <f t="shared" si="31"/>
        <v>#N/A</v>
      </c>
      <c r="X84" s="8" t="e" cm="1">
        <f t="array" ref="X84">IF(U84="","", IFERROR(((IF(U$5&lt;&gt;"", U$5*M$5, 0) + SUMPRODUCT(--(U$6:U84&lt;&gt;""), U$6:U84, (M$6:M84-M$5:M83)))/1000)/T$3, ""))</f>
        <v>#N/A</v>
      </c>
      <c r="Y84" s="1">
        <f t="shared" si="32"/>
        <v>800</v>
      </c>
      <c r="Z84" s="1">
        <f t="shared" si="33"/>
        <v>0</v>
      </c>
      <c r="AG84" s="1" t="e">
        <f t="shared" si="34"/>
        <v>#N/A</v>
      </c>
      <c r="AH84" s="1" t="e">
        <f t="shared" si="22"/>
        <v>#N/A</v>
      </c>
      <c r="AI84" s="1" t="e">
        <f t="shared" si="35"/>
        <v>#N/A</v>
      </c>
      <c r="AJ84" s="8" t="e" cm="1">
        <f t="array" ref="AJ84">IF(AG84="","", IFERROR(((IF(AG$5&lt;&gt;"", AG$5*Y$5, 0) + SUMPRODUCT(--(AG$6:AG84&lt;&gt;""), AG$6:AG84, (Y$6:Y84-Y$5:Y83)))/1000)/AF$3, ""))</f>
        <v>#N/A</v>
      </c>
      <c r="AK84" s="1">
        <f t="shared" si="36"/>
        <v>800</v>
      </c>
      <c r="AL84" s="1">
        <f t="shared" si="37"/>
        <v>0</v>
      </c>
      <c r="AS84" s="1" t="e">
        <f t="shared" si="38"/>
        <v>#N/A</v>
      </c>
      <c r="AT84" s="1" t="e">
        <f t="shared" si="23"/>
        <v>#N/A</v>
      </c>
      <c r="AU84" s="1" t="e">
        <f t="shared" si="39"/>
        <v>#N/A</v>
      </c>
      <c r="AV84" s="8" t="e" cm="1">
        <f t="array" ref="AV84">IF(AS84="","", IFERROR(((IF(AS$5&lt;&gt;"", AS$5*AK$5, 0) + SUMPRODUCT(--(AS$6:AS84&lt;&gt;""), AS$6:AS84, (AK$6:AK84-AK$5:AK83)))/1000)/AR$3, ""))</f>
        <v>#N/A</v>
      </c>
    </row>
    <row r="85" spans="1:48" x14ac:dyDescent="0.25">
      <c r="A85" s="1">
        <f t="shared" si="24"/>
        <v>810</v>
      </c>
      <c r="B85" s="1">
        <f t="shared" si="25"/>
        <v>0</v>
      </c>
      <c r="I85" s="1" t="e">
        <f t="shared" si="26"/>
        <v>#N/A</v>
      </c>
      <c r="J85" s="1" t="e">
        <f t="shared" si="20"/>
        <v>#N/A</v>
      </c>
      <c r="K85" s="1" t="e">
        <f t="shared" si="27"/>
        <v>#N/A</v>
      </c>
      <c r="L85" s="8" t="e" cm="1">
        <f t="array" ref="L85">IF(I85="","", IFERROR(((IF(I$5&lt;&gt;"", I$5*A$5, 0) + SUMPRODUCT(--(I$6:I85&lt;&gt;""), I$6:I85, (A$6:A85-A$5:A84)))/1000)/H$3, ""))</f>
        <v>#N/A</v>
      </c>
      <c r="M85" s="1">
        <f t="shared" si="28"/>
        <v>810</v>
      </c>
      <c r="N85" s="1">
        <f t="shared" si="29"/>
        <v>0</v>
      </c>
      <c r="U85" s="1" t="e">
        <f t="shared" si="30"/>
        <v>#N/A</v>
      </c>
      <c r="V85" s="1" t="e">
        <f t="shared" si="21"/>
        <v>#N/A</v>
      </c>
      <c r="W85" s="1" t="e">
        <f t="shared" si="31"/>
        <v>#N/A</v>
      </c>
      <c r="X85" s="8" t="e" cm="1">
        <f t="array" ref="X85">IF(U85="","", IFERROR(((IF(U$5&lt;&gt;"", U$5*M$5, 0) + SUMPRODUCT(--(U$6:U85&lt;&gt;""), U$6:U85, (M$6:M85-M$5:M84)))/1000)/T$3, ""))</f>
        <v>#N/A</v>
      </c>
      <c r="Y85" s="1">
        <f t="shared" si="32"/>
        <v>810</v>
      </c>
      <c r="Z85" s="1">
        <f t="shared" si="33"/>
        <v>0</v>
      </c>
      <c r="AG85" s="1" t="e">
        <f t="shared" si="34"/>
        <v>#N/A</v>
      </c>
      <c r="AH85" s="1" t="e">
        <f t="shared" si="22"/>
        <v>#N/A</v>
      </c>
      <c r="AI85" s="1" t="e">
        <f t="shared" si="35"/>
        <v>#N/A</v>
      </c>
      <c r="AJ85" s="8" t="e" cm="1">
        <f t="array" ref="AJ85">IF(AG85="","", IFERROR(((IF(AG$5&lt;&gt;"", AG$5*Y$5, 0) + SUMPRODUCT(--(AG$6:AG85&lt;&gt;""), AG$6:AG85, (Y$6:Y85-Y$5:Y84)))/1000)/AF$3, ""))</f>
        <v>#N/A</v>
      </c>
      <c r="AK85" s="1">
        <f t="shared" si="36"/>
        <v>810</v>
      </c>
      <c r="AL85" s="1">
        <f t="shared" si="37"/>
        <v>0</v>
      </c>
      <c r="AS85" s="1" t="e">
        <f t="shared" si="38"/>
        <v>#N/A</v>
      </c>
      <c r="AT85" s="1" t="e">
        <f t="shared" si="23"/>
        <v>#N/A</v>
      </c>
      <c r="AU85" s="1" t="e">
        <f t="shared" si="39"/>
        <v>#N/A</v>
      </c>
      <c r="AV85" s="8" t="e" cm="1">
        <f t="array" ref="AV85">IF(AS85="","", IFERROR(((IF(AS$5&lt;&gt;"", AS$5*AK$5, 0) + SUMPRODUCT(--(AS$6:AS85&lt;&gt;""), AS$6:AS85, (AK$6:AK85-AK$5:AK84)))/1000)/AR$3, ""))</f>
        <v>#N/A</v>
      </c>
    </row>
    <row r="86" spans="1:48" x14ac:dyDescent="0.25">
      <c r="A86" s="1">
        <f t="shared" si="24"/>
        <v>820</v>
      </c>
      <c r="B86" s="1">
        <f t="shared" si="25"/>
        <v>0</v>
      </c>
      <c r="I86" s="1" t="e">
        <f t="shared" si="26"/>
        <v>#N/A</v>
      </c>
      <c r="J86" s="1" t="e">
        <f t="shared" si="20"/>
        <v>#N/A</v>
      </c>
      <c r="K86" s="1" t="e">
        <f t="shared" si="27"/>
        <v>#N/A</v>
      </c>
      <c r="L86" s="8" t="e" cm="1">
        <f t="array" ref="L86">IF(I86="","", IFERROR(((IF(I$5&lt;&gt;"", I$5*A$5, 0) + SUMPRODUCT(--(I$6:I86&lt;&gt;""), I$6:I86, (A$6:A86-A$5:A85)))/1000)/H$3, ""))</f>
        <v>#N/A</v>
      </c>
      <c r="M86" s="1">
        <f t="shared" si="28"/>
        <v>820</v>
      </c>
      <c r="N86" s="1">
        <f t="shared" si="29"/>
        <v>0</v>
      </c>
      <c r="U86" s="1" t="e">
        <f t="shared" si="30"/>
        <v>#N/A</v>
      </c>
      <c r="V86" s="1" t="e">
        <f t="shared" si="21"/>
        <v>#N/A</v>
      </c>
      <c r="W86" s="1" t="e">
        <f t="shared" si="31"/>
        <v>#N/A</v>
      </c>
      <c r="X86" s="8" t="e" cm="1">
        <f t="array" ref="X86">IF(U86="","", IFERROR(((IF(U$5&lt;&gt;"", U$5*M$5, 0) + SUMPRODUCT(--(U$6:U86&lt;&gt;""), U$6:U86, (M$6:M86-M$5:M85)))/1000)/T$3, ""))</f>
        <v>#N/A</v>
      </c>
      <c r="Y86" s="1">
        <f t="shared" si="32"/>
        <v>820</v>
      </c>
      <c r="Z86" s="1">
        <f t="shared" si="33"/>
        <v>0</v>
      </c>
      <c r="AG86" s="1" t="e">
        <f t="shared" si="34"/>
        <v>#N/A</v>
      </c>
      <c r="AH86" s="1" t="e">
        <f t="shared" si="22"/>
        <v>#N/A</v>
      </c>
      <c r="AI86" s="1" t="e">
        <f t="shared" si="35"/>
        <v>#N/A</v>
      </c>
      <c r="AJ86" s="8" t="e" cm="1">
        <f t="array" ref="AJ86">IF(AG86="","", IFERROR(((IF(AG$5&lt;&gt;"", AG$5*Y$5, 0) + SUMPRODUCT(--(AG$6:AG86&lt;&gt;""), AG$6:AG86, (Y$6:Y86-Y$5:Y85)))/1000)/AF$3, ""))</f>
        <v>#N/A</v>
      </c>
      <c r="AK86" s="1">
        <f t="shared" si="36"/>
        <v>820</v>
      </c>
      <c r="AL86" s="1">
        <f t="shared" si="37"/>
        <v>0</v>
      </c>
      <c r="AS86" s="1" t="e">
        <f t="shared" si="38"/>
        <v>#N/A</v>
      </c>
      <c r="AT86" s="1" t="e">
        <f t="shared" si="23"/>
        <v>#N/A</v>
      </c>
      <c r="AU86" s="1" t="e">
        <f t="shared" si="39"/>
        <v>#N/A</v>
      </c>
      <c r="AV86" s="8" t="e" cm="1">
        <f t="array" ref="AV86">IF(AS86="","", IFERROR(((IF(AS$5&lt;&gt;"", AS$5*AK$5, 0) + SUMPRODUCT(--(AS$6:AS86&lt;&gt;""), AS$6:AS86, (AK$6:AK86-AK$5:AK85)))/1000)/AR$3, ""))</f>
        <v>#N/A</v>
      </c>
    </row>
    <row r="87" spans="1:48" x14ac:dyDescent="0.25">
      <c r="A87" s="1">
        <f t="shared" si="24"/>
        <v>830</v>
      </c>
      <c r="B87" s="1">
        <f t="shared" si="25"/>
        <v>0</v>
      </c>
      <c r="I87" s="1" t="e">
        <f t="shared" si="26"/>
        <v>#N/A</v>
      </c>
      <c r="J87" s="1" t="e">
        <f t="shared" si="20"/>
        <v>#N/A</v>
      </c>
      <c r="K87" s="1" t="e">
        <f t="shared" si="27"/>
        <v>#N/A</v>
      </c>
      <c r="L87" s="8" t="e" cm="1">
        <f t="array" ref="L87">IF(I87="","", IFERROR(((IF(I$5&lt;&gt;"", I$5*A$5, 0) + SUMPRODUCT(--(I$6:I87&lt;&gt;""), I$6:I87, (A$6:A87-A$5:A86)))/1000)/H$3, ""))</f>
        <v>#N/A</v>
      </c>
      <c r="M87" s="1">
        <f t="shared" si="28"/>
        <v>830</v>
      </c>
      <c r="N87" s="1">
        <f t="shared" si="29"/>
        <v>0</v>
      </c>
      <c r="U87" s="1" t="e">
        <f t="shared" si="30"/>
        <v>#N/A</v>
      </c>
      <c r="V87" s="1" t="e">
        <f t="shared" si="21"/>
        <v>#N/A</v>
      </c>
      <c r="W87" s="1" t="e">
        <f t="shared" si="31"/>
        <v>#N/A</v>
      </c>
      <c r="X87" s="8" t="e" cm="1">
        <f t="array" ref="X87">IF(U87="","", IFERROR(((IF(U$5&lt;&gt;"", U$5*M$5, 0) + SUMPRODUCT(--(U$6:U87&lt;&gt;""), U$6:U87, (M$6:M87-M$5:M86)))/1000)/T$3, ""))</f>
        <v>#N/A</v>
      </c>
      <c r="Y87" s="1">
        <f t="shared" si="32"/>
        <v>830</v>
      </c>
      <c r="Z87" s="1">
        <f t="shared" si="33"/>
        <v>0</v>
      </c>
      <c r="AG87" s="1" t="e">
        <f t="shared" si="34"/>
        <v>#N/A</v>
      </c>
      <c r="AH87" s="1" t="e">
        <f t="shared" si="22"/>
        <v>#N/A</v>
      </c>
      <c r="AI87" s="1" t="e">
        <f t="shared" si="35"/>
        <v>#N/A</v>
      </c>
      <c r="AJ87" s="8" t="e" cm="1">
        <f t="array" ref="AJ87">IF(AG87="","", IFERROR(((IF(AG$5&lt;&gt;"", AG$5*Y$5, 0) + SUMPRODUCT(--(AG$6:AG87&lt;&gt;""), AG$6:AG87, (Y$6:Y87-Y$5:Y86)))/1000)/AF$3, ""))</f>
        <v>#N/A</v>
      </c>
      <c r="AK87" s="1">
        <f t="shared" si="36"/>
        <v>830</v>
      </c>
      <c r="AL87" s="1">
        <f t="shared" si="37"/>
        <v>0</v>
      </c>
      <c r="AS87" s="1" t="e">
        <f t="shared" si="38"/>
        <v>#N/A</v>
      </c>
      <c r="AT87" s="1" t="e">
        <f t="shared" si="23"/>
        <v>#N/A</v>
      </c>
      <c r="AU87" s="1" t="e">
        <f t="shared" si="39"/>
        <v>#N/A</v>
      </c>
      <c r="AV87" s="8" t="e" cm="1">
        <f t="array" ref="AV87">IF(AS87="","", IFERROR(((IF(AS$5&lt;&gt;"", AS$5*AK$5, 0) + SUMPRODUCT(--(AS$6:AS87&lt;&gt;""), AS$6:AS87, (AK$6:AK87-AK$5:AK86)))/1000)/AR$3, ""))</f>
        <v>#N/A</v>
      </c>
    </row>
    <row r="88" spans="1:48" x14ac:dyDescent="0.25">
      <c r="A88" s="1">
        <f t="shared" si="24"/>
        <v>840</v>
      </c>
      <c r="B88" s="1">
        <f t="shared" si="25"/>
        <v>0</v>
      </c>
      <c r="I88" s="1" t="e">
        <f t="shared" si="26"/>
        <v>#N/A</v>
      </c>
      <c r="J88" s="1" t="e">
        <f t="shared" si="20"/>
        <v>#N/A</v>
      </c>
      <c r="K88" s="1" t="e">
        <f t="shared" si="27"/>
        <v>#N/A</v>
      </c>
      <c r="L88" s="8" t="e" cm="1">
        <f t="array" ref="L88">IF(I88="","", IFERROR(((IF(I$5&lt;&gt;"", I$5*A$5, 0) + SUMPRODUCT(--(I$6:I88&lt;&gt;""), I$6:I88, (A$6:A88-A$5:A87)))/1000)/H$3, ""))</f>
        <v>#N/A</v>
      </c>
      <c r="M88" s="1">
        <f t="shared" si="28"/>
        <v>840</v>
      </c>
      <c r="N88" s="1">
        <f t="shared" si="29"/>
        <v>0</v>
      </c>
      <c r="U88" s="1" t="e">
        <f t="shared" si="30"/>
        <v>#N/A</v>
      </c>
      <c r="V88" s="1" t="e">
        <f t="shared" si="21"/>
        <v>#N/A</v>
      </c>
      <c r="W88" s="1" t="e">
        <f t="shared" si="31"/>
        <v>#N/A</v>
      </c>
      <c r="X88" s="8" t="e" cm="1">
        <f t="array" ref="X88">IF(U88="","", IFERROR(((IF(U$5&lt;&gt;"", U$5*M$5, 0) + SUMPRODUCT(--(U$6:U88&lt;&gt;""), U$6:U88, (M$6:M88-M$5:M87)))/1000)/T$3, ""))</f>
        <v>#N/A</v>
      </c>
      <c r="Y88" s="1">
        <f t="shared" si="32"/>
        <v>840</v>
      </c>
      <c r="Z88" s="1">
        <f t="shared" si="33"/>
        <v>0</v>
      </c>
      <c r="AG88" s="1" t="e">
        <f t="shared" si="34"/>
        <v>#N/A</v>
      </c>
      <c r="AH88" s="1" t="e">
        <f t="shared" si="22"/>
        <v>#N/A</v>
      </c>
      <c r="AI88" s="1" t="e">
        <f t="shared" si="35"/>
        <v>#N/A</v>
      </c>
      <c r="AJ88" s="8" t="e" cm="1">
        <f t="array" ref="AJ88">IF(AG88="","", IFERROR(((IF(AG$5&lt;&gt;"", AG$5*Y$5, 0) + SUMPRODUCT(--(AG$6:AG88&lt;&gt;""), AG$6:AG88, (Y$6:Y88-Y$5:Y87)))/1000)/AF$3, ""))</f>
        <v>#N/A</v>
      </c>
      <c r="AK88" s="1">
        <f t="shared" si="36"/>
        <v>840</v>
      </c>
      <c r="AL88" s="1">
        <f t="shared" si="37"/>
        <v>0</v>
      </c>
      <c r="AS88" s="1" t="e">
        <f t="shared" si="38"/>
        <v>#N/A</v>
      </c>
      <c r="AT88" s="1" t="e">
        <f t="shared" si="23"/>
        <v>#N/A</v>
      </c>
      <c r="AU88" s="1" t="e">
        <f t="shared" si="39"/>
        <v>#N/A</v>
      </c>
      <c r="AV88" s="8" t="e" cm="1">
        <f t="array" ref="AV88">IF(AS88="","", IFERROR(((IF(AS$5&lt;&gt;"", AS$5*AK$5, 0) + SUMPRODUCT(--(AS$6:AS88&lt;&gt;""), AS$6:AS88, (AK$6:AK88-AK$5:AK87)))/1000)/AR$3, ""))</f>
        <v>#N/A</v>
      </c>
    </row>
    <row r="89" spans="1:48" x14ac:dyDescent="0.25">
      <c r="A89" s="1">
        <f t="shared" si="24"/>
        <v>850</v>
      </c>
      <c r="B89" s="1">
        <f t="shared" si="25"/>
        <v>0</v>
      </c>
      <c r="I89" s="1" t="e">
        <f t="shared" si="26"/>
        <v>#N/A</v>
      </c>
      <c r="J89" s="1" t="e">
        <f t="shared" si="20"/>
        <v>#N/A</v>
      </c>
      <c r="K89" s="1" t="e">
        <f t="shared" si="27"/>
        <v>#N/A</v>
      </c>
      <c r="L89" s="8" t="e" cm="1">
        <f t="array" ref="L89">IF(I89="","", IFERROR(((IF(I$5&lt;&gt;"", I$5*A$5, 0) + SUMPRODUCT(--(I$6:I89&lt;&gt;""), I$6:I89, (A$6:A89-A$5:A88)))/1000)/H$3, ""))</f>
        <v>#N/A</v>
      </c>
      <c r="M89" s="1">
        <f t="shared" si="28"/>
        <v>850</v>
      </c>
      <c r="N89" s="1">
        <f t="shared" si="29"/>
        <v>0</v>
      </c>
      <c r="U89" s="1" t="e">
        <f t="shared" si="30"/>
        <v>#N/A</v>
      </c>
      <c r="V89" s="1" t="e">
        <f t="shared" si="21"/>
        <v>#N/A</v>
      </c>
      <c r="W89" s="1" t="e">
        <f t="shared" si="31"/>
        <v>#N/A</v>
      </c>
      <c r="X89" s="8" t="e" cm="1">
        <f t="array" ref="X89">IF(U89="","", IFERROR(((IF(U$5&lt;&gt;"", U$5*M$5, 0) + SUMPRODUCT(--(U$6:U89&lt;&gt;""), U$6:U89, (M$6:M89-M$5:M88)))/1000)/T$3, ""))</f>
        <v>#N/A</v>
      </c>
      <c r="Y89" s="1">
        <f t="shared" si="32"/>
        <v>850</v>
      </c>
      <c r="Z89" s="1">
        <f t="shared" si="33"/>
        <v>0</v>
      </c>
      <c r="AG89" s="1" t="e">
        <f t="shared" si="34"/>
        <v>#N/A</v>
      </c>
      <c r="AH89" s="1" t="e">
        <f t="shared" si="22"/>
        <v>#N/A</v>
      </c>
      <c r="AI89" s="1" t="e">
        <f t="shared" si="35"/>
        <v>#N/A</v>
      </c>
      <c r="AJ89" s="8" t="e" cm="1">
        <f t="array" ref="AJ89">IF(AG89="","", IFERROR(((IF(AG$5&lt;&gt;"", AG$5*Y$5, 0) + SUMPRODUCT(--(AG$6:AG89&lt;&gt;""), AG$6:AG89, (Y$6:Y89-Y$5:Y88)))/1000)/AF$3, ""))</f>
        <v>#N/A</v>
      </c>
      <c r="AK89" s="1">
        <f t="shared" si="36"/>
        <v>850</v>
      </c>
      <c r="AL89" s="1">
        <f t="shared" si="37"/>
        <v>0</v>
      </c>
      <c r="AS89" s="1" t="e">
        <f t="shared" si="38"/>
        <v>#N/A</v>
      </c>
      <c r="AT89" s="1" t="e">
        <f t="shared" si="23"/>
        <v>#N/A</v>
      </c>
      <c r="AU89" s="1" t="e">
        <f t="shared" si="39"/>
        <v>#N/A</v>
      </c>
      <c r="AV89" s="8" t="e" cm="1">
        <f t="array" ref="AV89">IF(AS89="","", IFERROR(((IF(AS$5&lt;&gt;"", AS$5*AK$5, 0) + SUMPRODUCT(--(AS$6:AS89&lt;&gt;""), AS$6:AS89, (AK$6:AK89-AK$5:AK88)))/1000)/AR$3, ""))</f>
        <v>#N/A</v>
      </c>
    </row>
    <row r="90" spans="1:48" x14ac:dyDescent="0.25">
      <c r="A90" s="1">
        <f t="shared" si="24"/>
        <v>860</v>
      </c>
      <c r="B90" s="1">
        <f t="shared" si="25"/>
        <v>0</v>
      </c>
      <c r="I90" s="1" t="e">
        <f t="shared" si="26"/>
        <v>#N/A</v>
      </c>
      <c r="J90" s="1" t="e">
        <f t="shared" si="20"/>
        <v>#N/A</v>
      </c>
      <c r="K90" s="1" t="e">
        <f t="shared" si="27"/>
        <v>#N/A</v>
      </c>
      <c r="L90" s="8" t="e" cm="1">
        <f t="array" ref="L90">IF(I90="","", IFERROR(((IF(I$5&lt;&gt;"", I$5*A$5, 0) + SUMPRODUCT(--(I$6:I90&lt;&gt;""), I$6:I90, (A$6:A90-A$5:A89)))/1000)/H$3, ""))</f>
        <v>#N/A</v>
      </c>
      <c r="M90" s="1">
        <f t="shared" si="28"/>
        <v>860</v>
      </c>
      <c r="N90" s="1">
        <f t="shared" si="29"/>
        <v>0</v>
      </c>
      <c r="U90" s="1" t="e">
        <f t="shared" si="30"/>
        <v>#N/A</v>
      </c>
      <c r="V90" s="1" t="e">
        <f t="shared" si="21"/>
        <v>#N/A</v>
      </c>
      <c r="W90" s="1" t="e">
        <f t="shared" si="31"/>
        <v>#N/A</v>
      </c>
      <c r="X90" s="8" t="e" cm="1">
        <f t="array" ref="X90">IF(U90="","", IFERROR(((IF(U$5&lt;&gt;"", U$5*M$5, 0) + SUMPRODUCT(--(U$6:U90&lt;&gt;""), U$6:U90, (M$6:M90-M$5:M89)))/1000)/T$3, ""))</f>
        <v>#N/A</v>
      </c>
      <c r="Y90" s="1">
        <f t="shared" si="32"/>
        <v>860</v>
      </c>
      <c r="Z90" s="1">
        <f t="shared" si="33"/>
        <v>0</v>
      </c>
      <c r="AG90" s="1" t="e">
        <f t="shared" si="34"/>
        <v>#N/A</v>
      </c>
      <c r="AH90" s="1" t="e">
        <f t="shared" si="22"/>
        <v>#N/A</v>
      </c>
      <c r="AI90" s="1" t="e">
        <f t="shared" si="35"/>
        <v>#N/A</v>
      </c>
      <c r="AJ90" s="8" t="e" cm="1">
        <f t="array" ref="AJ90">IF(AG90="","", IFERROR(((IF(AG$5&lt;&gt;"", AG$5*Y$5, 0) + SUMPRODUCT(--(AG$6:AG90&lt;&gt;""), AG$6:AG90, (Y$6:Y90-Y$5:Y89)))/1000)/AF$3, ""))</f>
        <v>#N/A</v>
      </c>
      <c r="AK90" s="1">
        <f t="shared" si="36"/>
        <v>860</v>
      </c>
      <c r="AL90" s="1">
        <f t="shared" si="37"/>
        <v>0</v>
      </c>
      <c r="AS90" s="1" t="e">
        <f t="shared" si="38"/>
        <v>#N/A</v>
      </c>
      <c r="AT90" s="1" t="e">
        <f t="shared" si="23"/>
        <v>#N/A</v>
      </c>
      <c r="AU90" s="1" t="e">
        <f t="shared" si="39"/>
        <v>#N/A</v>
      </c>
      <c r="AV90" s="8" t="e" cm="1">
        <f t="array" ref="AV90">IF(AS90="","", IFERROR(((IF(AS$5&lt;&gt;"", AS$5*AK$5, 0) + SUMPRODUCT(--(AS$6:AS90&lt;&gt;""), AS$6:AS90, (AK$6:AK90-AK$5:AK89)))/1000)/AR$3, ""))</f>
        <v>#N/A</v>
      </c>
    </row>
    <row r="91" spans="1:48" x14ac:dyDescent="0.25">
      <c r="A91" s="1">
        <f t="shared" si="24"/>
        <v>870</v>
      </c>
      <c r="B91" s="1">
        <f t="shared" si="25"/>
        <v>0</v>
      </c>
      <c r="I91" s="1" t="e">
        <f t="shared" si="26"/>
        <v>#N/A</v>
      </c>
      <c r="J91" s="1" t="e">
        <f t="shared" si="20"/>
        <v>#N/A</v>
      </c>
      <c r="K91" s="1" t="e">
        <f t="shared" si="27"/>
        <v>#N/A</v>
      </c>
      <c r="L91" s="8" t="e" cm="1">
        <f t="array" ref="L91">IF(I91="","", IFERROR(((IF(I$5&lt;&gt;"", I$5*A$5, 0) + SUMPRODUCT(--(I$6:I91&lt;&gt;""), I$6:I91, (A$6:A91-A$5:A90)))/1000)/H$3, ""))</f>
        <v>#N/A</v>
      </c>
      <c r="M91" s="1">
        <f t="shared" si="28"/>
        <v>870</v>
      </c>
      <c r="N91" s="1">
        <f t="shared" si="29"/>
        <v>0</v>
      </c>
      <c r="U91" s="1" t="e">
        <f t="shared" si="30"/>
        <v>#N/A</v>
      </c>
      <c r="V91" s="1" t="e">
        <f t="shared" si="21"/>
        <v>#N/A</v>
      </c>
      <c r="W91" s="1" t="e">
        <f t="shared" si="31"/>
        <v>#N/A</v>
      </c>
      <c r="X91" s="8" t="e" cm="1">
        <f t="array" ref="X91">IF(U91="","", IFERROR(((IF(U$5&lt;&gt;"", U$5*M$5, 0) + SUMPRODUCT(--(U$6:U91&lt;&gt;""), U$6:U91, (M$6:M91-M$5:M90)))/1000)/T$3, ""))</f>
        <v>#N/A</v>
      </c>
      <c r="Y91" s="1">
        <f t="shared" si="32"/>
        <v>870</v>
      </c>
      <c r="Z91" s="1">
        <f t="shared" si="33"/>
        <v>0</v>
      </c>
      <c r="AG91" s="1" t="e">
        <f t="shared" si="34"/>
        <v>#N/A</v>
      </c>
      <c r="AH91" s="1" t="e">
        <f t="shared" si="22"/>
        <v>#N/A</v>
      </c>
      <c r="AI91" s="1" t="e">
        <f t="shared" si="35"/>
        <v>#N/A</v>
      </c>
      <c r="AJ91" s="8" t="e" cm="1">
        <f t="array" ref="AJ91">IF(AG91="","", IFERROR(((IF(AG$5&lt;&gt;"", AG$5*Y$5, 0) + SUMPRODUCT(--(AG$6:AG91&lt;&gt;""), AG$6:AG91, (Y$6:Y91-Y$5:Y90)))/1000)/AF$3, ""))</f>
        <v>#N/A</v>
      </c>
      <c r="AK91" s="1">
        <f t="shared" si="36"/>
        <v>870</v>
      </c>
      <c r="AL91" s="1">
        <f t="shared" si="37"/>
        <v>0</v>
      </c>
      <c r="AS91" s="1" t="e">
        <f t="shared" si="38"/>
        <v>#N/A</v>
      </c>
      <c r="AT91" s="1" t="e">
        <f t="shared" si="23"/>
        <v>#N/A</v>
      </c>
      <c r="AU91" s="1" t="e">
        <f t="shared" si="39"/>
        <v>#N/A</v>
      </c>
      <c r="AV91" s="8" t="e" cm="1">
        <f t="array" ref="AV91">IF(AS91="","", IFERROR(((IF(AS$5&lt;&gt;"", AS$5*AK$5, 0) + SUMPRODUCT(--(AS$6:AS91&lt;&gt;""), AS$6:AS91, (AK$6:AK91-AK$5:AK90)))/1000)/AR$3, ""))</f>
        <v>#N/A</v>
      </c>
    </row>
    <row r="92" spans="1:48" x14ac:dyDescent="0.25">
      <c r="A92" s="1">
        <f t="shared" si="24"/>
        <v>880</v>
      </c>
      <c r="B92" s="1">
        <f t="shared" si="25"/>
        <v>0</v>
      </c>
      <c r="I92" s="1" t="e">
        <f t="shared" si="26"/>
        <v>#N/A</v>
      </c>
      <c r="J92" s="1" t="e">
        <f t="shared" si="20"/>
        <v>#N/A</v>
      </c>
      <c r="K92" s="1" t="e">
        <f t="shared" si="27"/>
        <v>#N/A</v>
      </c>
      <c r="L92" s="8" t="e" cm="1">
        <f t="array" ref="L92">IF(I92="","", IFERROR(((IF(I$5&lt;&gt;"", I$5*A$5, 0) + SUMPRODUCT(--(I$6:I92&lt;&gt;""), I$6:I92, (A$6:A92-A$5:A91)))/1000)/H$3, ""))</f>
        <v>#N/A</v>
      </c>
      <c r="M92" s="1">
        <f t="shared" si="28"/>
        <v>880</v>
      </c>
      <c r="N92" s="1">
        <f t="shared" si="29"/>
        <v>0</v>
      </c>
      <c r="U92" s="1" t="e">
        <f t="shared" si="30"/>
        <v>#N/A</v>
      </c>
      <c r="V92" s="1" t="e">
        <f t="shared" si="21"/>
        <v>#N/A</v>
      </c>
      <c r="W92" s="1" t="e">
        <f t="shared" si="31"/>
        <v>#N/A</v>
      </c>
      <c r="X92" s="8" t="e" cm="1">
        <f t="array" ref="X92">IF(U92="","", IFERROR(((IF(U$5&lt;&gt;"", U$5*M$5, 0) + SUMPRODUCT(--(U$6:U92&lt;&gt;""), U$6:U92, (M$6:M92-M$5:M91)))/1000)/T$3, ""))</f>
        <v>#N/A</v>
      </c>
      <c r="Y92" s="1">
        <f t="shared" si="32"/>
        <v>880</v>
      </c>
      <c r="Z92" s="1">
        <f t="shared" si="33"/>
        <v>0</v>
      </c>
      <c r="AG92" s="1" t="e">
        <f t="shared" si="34"/>
        <v>#N/A</v>
      </c>
      <c r="AH92" s="1" t="e">
        <f t="shared" si="22"/>
        <v>#N/A</v>
      </c>
      <c r="AI92" s="1" t="e">
        <f t="shared" si="35"/>
        <v>#N/A</v>
      </c>
      <c r="AJ92" s="8" t="e" cm="1">
        <f t="array" ref="AJ92">IF(AG92="","", IFERROR(((IF(AG$5&lt;&gt;"", AG$5*Y$5, 0) + SUMPRODUCT(--(AG$6:AG92&lt;&gt;""), AG$6:AG92, (Y$6:Y92-Y$5:Y91)))/1000)/AF$3, ""))</f>
        <v>#N/A</v>
      </c>
      <c r="AK92" s="1">
        <f t="shared" si="36"/>
        <v>880</v>
      </c>
      <c r="AL92" s="1">
        <f t="shared" si="37"/>
        <v>0</v>
      </c>
      <c r="AS92" s="1" t="e">
        <f t="shared" si="38"/>
        <v>#N/A</v>
      </c>
      <c r="AT92" s="1" t="e">
        <f t="shared" si="23"/>
        <v>#N/A</v>
      </c>
      <c r="AU92" s="1" t="e">
        <f t="shared" si="39"/>
        <v>#N/A</v>
      </c>
      <c r="AV92" s="8" t="e" cm="1">
        <f t="array" ref="AV92">IF(AS92="","", IFERROR(((IF(AS$5&lt;&gt;"", AS$5*AK$5, 0) + SUMPRODUCT(--(AS$6:AS92&lt;&gt;""), AS$6:AS92, (AK$6:AK92-AK$5:AK91)))/1000)/AR$3, ""))</f>
        <v>#N/A</v>
      </c>
    </row>
    <row r="93" spans="1:48" x14ac:dyDescent="0.25">
      <c r="A93" s="1">
        <f t="shared" si="24"/>
        <v>890</v>
      </c>
      <c r="B93" s="1">
        <f t="shared" si="25"/>
        <v>0</v>
      </c>
      <c r="I93" s="1" t="e">
        <f t="shared" si="26"/>
        <v>#N/A</v>
      </c>
      <c r="J93" s="1" t="e">
        <f t="shared" si="20"/>
        <v>#N/A</v>
      </c>
      <c r="K93" s="1" t="e">
        <f t="shared" si="27"/>
        <v>#N/A</v>
      </c>
      <c r="L93" s="8" t="e" cm="1">
        <f t="array" ref="L93">IF(I93="","", IFERROR(((IF(I$5&lt;&gt;"", I$5*A$5, 0) + SUMPRODUCT(--(I$6:I93&lt;&gt;""), I$6:I93, (A$6:A93-A$5:A92)))/1000)/H$3, ""))</f>
        <v>#N/A</v>
      </c>
      <c r="M93" s="1">
        <f t="shared" si="28"/>
        <v>890</v>
      </c>
      <c r="N93" s="1">
        <f t="shared" si="29"/>
        <v>0</v>
      </c>
      <c r="U93" s="1" t="e">
        <f t="shared" si="30"/>
        <v>#N/A</v>
      </c>
      <c r="V93" s="1" t="e">
        <f t="shared" si="21"/>
        <v>#N/A</v>
      </c>
      <c r="W93" s="1" t="e">
        <f t="shared" si="31"/>
        <v>#N/A</v>
      </c>
      <c r="X93" s="8" t="e" cm="1">
        <f t="array" ref="X93">IF(U93="","", IFERROR(((IF(U$5&lt;&gt;"", U$5*M$5, 0) + SUMPRODUCT(--(U$6:U93&lt;&gt;""), U$6:U93, (M$6:M93-M$5:M92)))/1000)/T$3, ""))</f>
        <v>#N/A</v>
      </c>
      <c r="Y93" s="1">
        <f t="shared" si="32"/>
        <v>890</v>
      </c>
      <c r="Z93" s="1">
        <f t="shared" si="33"/>
        <v>0</v>
      </c>
      <c r="AG93" s="1" t="e">
        <f t="shared" si="34"/>
        <v>#N/A</v>
      </c>
      <c r="AH93" s="1" t="e">
        <f t="shared" si="22"/>
        <v>#N/A</v>
      </c>
      <c r="AI93" s="1" t="e">
        <f t="shared" si="35"/>
        <v>#N/A</v>
      </c>
      <c r="AJ93" s="8" t="e" cm="1">
        <f t="array" ref="AJ93">IF(AG93="","", IFERROR(((IF(AG$5&lt;&gt;"", AG$5*Y$5, 0) + SUMPRODUCT(--(AG$6:AG93&lt;&gt;""), AG$6:AG93, (Y$6:Y93-Y$5:Y92)))/1000)/AF$3, ""))</f>
        <v>#N/A</v>
      </c>
      <c r="AK93" s="1">
        <f t="shared" si="36"/>
        <v>890</v>
      </c>
      <c r="AL93" s="1">
        <f t="shared" si="37"/>
        <v>0</v>
      </c>
      <c r="AS93" s="1" t="e">
        <f t="shared" si="38"/>
        <v>#N/A</v>
      </c>
      <c r="AT93" s="1" t="e">
        <f t="shared" si="23"/>
        <v>#N/A</v>
      </c>
      <c r="AU93" s="1" t="e">
        <f t="shared" si="39"/>
        <v>#N/A</v>
      </c>
      <c r="AV93" s="8" t="e" cm="1">
        <f t="array" ref="AV93">IF(AS93="","", IFERROR(((IF(AS$5&lt;&gt;"", AS$5*AK$5, 0) + SUMPRODUCT(--(AS$6:AS93&lt;&gt;""), AS$6:AS93, (AK$6:AK93-AK$5:AK92)))/1000)/AR$3, ""))</f>
        <v>#N/A</v>
      </c>
    </row>
    <row r="94" spans="1:48" x14ac:dyDescent="0.25">
      <c r="A94" s="1">
        <f t="shared" si="24"/>
        <v>900</v>
      </c>
      <c r="B94" s="1">
        <f t="shared" si="25"/>
        <v>0</v>
      </c>
      <c r="I94" s="1" t="e">
        <f t="shared" si="26"/>
        <v>#N/A</v>
      </c>
      <c r="J94" s="1" t="e">
        <f t="shared" si="20"/>
        <v>#N/A</v>
      </c>
      <c r="K94" s="1" t="e">
        <f t="shared" si="27"/>
        <v>#N/A</v>
      </c>
      <c r="L94" s="8" t="e" cm="1">
        <f t="array" ref="L94">IF(I94="","", IFERROR(((IF(I$5&lt;&gt;"", I$5*A$5, 0) + SUMPRODUCT(--(I$6:I94&lt;&gt;""), I$6:I94, (A$6:A94-A$5:A93)))/1000)/H$3, ""))</f>
        <v>#N/A</v>
      </c>
      <c r="M94" s="1">
        <f t="shared" si="28"/>
        <v>900</v>
      </c>
      <c r="N94" s="1">
        <f t="shared" si="29"/>
        <v>0</v>
      </c>
      <c r="U94" s="1" t="e">
        <f t="shared" si="30"/>
        <v>#N/A</v>
      </c>
      <c r="V94" s="1" t="e">
        <f t="shared" si="21"/>
        <v>#N/A</v>
      </c>
      <c r="W94" s="1" t="e">
        <f t="shared" si="31"/>
        <v>#N/A</v>
      </c>
      <c r="X94" s="8" t="e" cm="1">
        <f t="array" ref="X94">IF(U94="","", IFERROR(((IF(U$5&lt;&gt;"", U$5*M$5, 0) + SUMPRODUCT(--(U$6:U94&lt;&gt;""), U$6:U94, (M$6:M94-M$5:M93)))/1000)/T$3, ""))</f>
        <v>#N/A</v>
      </c>
      <c r="Y94" s="1">
        <f t="shared" si="32"/>
        <v>900</v>
      </c>
      <c r="Z94" s="1">
        <f t="shared" si="33"/>
        <v>0</v>
      </c>
      <c r="AG94" s="1" t="e">
        <f t="shared" si="34"/>
        <v>#N/A</v>
      </c>
      <c r="AH94" s="1" t="e">
        <f t="shared" si="22"/>
        <v>#N/A</v>
      </c>
      <c r="AI94" s="1" t="e">
        <f t="shared" si="35"/>
        <v>#N/A</v>
      </c>
      <c r="AJ94" s="8" t="e" cm="1">
        <f t="array" ref="AJ94">IF(AG94="","", IFERROR(((IF(AG$5&lt;&gt;"", AG$5*Y$5, 0) + SUMPRODUCT(--(AG$6:AG94&lt;&gt;""), AG$6:AG94, (Y$6:Y94-Y$5:Y93)))/1000)/AF$3, ""))</f>
        <v>#N/A</v>
      </c>
      <c r="AK94" s="1">
        <f t="shared" si="36"/>
        <v>900</v>
      </c>
      <c r="AL94" s="1">
        <f t="shared" si="37"/>
        <v>0</v>
      </c>
      <c r="AS94" s="1" t="e">
        <f t="shared" si="38"/>
        <v>#N/A</v>
      </c>
      <c r="AT94" s="1" t="e">
        <f t="shared" si="23"/>
        <v>#N/A</v>
      </c>
      <c r="AU94" s="1" t="e">
        <f t="shared" si="39"/>
        <v>#N/A</v>
      </c>
      <c r="AV94" s="8" t="e" cm="1">
        <f t="array" ref="AV94">IF(AS94="","", IFERROR(((IF(AS$5&lt;&gt;"", AS$5*AK$5, 0) + SUMPRODUCT(--(AS$6:AS94&lt;&gt;""), AS$6:AS94, (AK$6:AK94-AK$5:AK93)))/1000)/AR$3, ""))</f>
        <v>#N/A</v>
      </c>
    </row>
    <row r="95" spans="1:48" x14ac:dyDescent="0.25">
      <c r="A95" s="1">
        <f t="shared" si="24"/>
        <v>910</v>
      </c>
      <c r="B95" s="1">
        <f t="shared" si="25"/>
        <v>0</v>
      </c>
      <c r="I95" s="1" t="e">
        <f t="shared" si="26"/>
        <v>#N/A</v>
      </c>
      <c r="J95" s="1" t="e">
        <f t="shared" si="20"/>
        <v>#N/A</v>
      </c>
      <c r="K95" s="1" t="e">
        <f t="shared" si="27"/>
        <v>#N/A</v>
      </c>
      <c r="L95" s="8" t="e" cm="1">
        <f t="array" ref="L95">IF(I95="","", IFERROR(((IF(I$5&lt;&gt;"", I$5*A$5, 0) + SUMPRODUCT(--(I$6:I95&lt;&gt;""), I$6:I95, (A$6:A95-A$5:A94)))/1000)/H$3, ""))</f>
        <v>#N/A</v>
      </c>
      <c r="M95" s="1">
        <f t="shared" si="28"/>
        <v>910</v>
      </c>
      <c r="N95" s="1">
        <f t="shared" si="29"/>
        <v>0</v>
      </c>
      <c r="U95" s="1" t="e">
        <f t="shared" si="30"/>
        <v>#N/A</v>
      </c>
      <c r="V95" s="1" t="e">
        <f t="shared" si="21"/>
        <v>#N/A</v>
      </c>
      <c r="W95" s="1" t="e">
        <f t="shared" si="31"/>
        <v>#N/A</v>
      </c>
      <c r="X95" s="8" t="e" cm="1">
        <f t="array" ref="X95">IF(U95="","", IFERROR(((IF(U$5&lt;&gt;"", U$5*M$5, 0) + SUMPRODUCT(--(U$6:U95&lt;&gt;""), U$6:U95, (M$6:M95-M$5:M94)))/1000)/T$3, ""))</f>
        <v>#N/A</v>
      </c>
      <c r="Y95" s="1">
        <f t="shared" si="32"/>
        <v>910</v>
      </c>
      <c r="Z95" s="1">
        <f t="shared" si="33"/>
        <v>0</v>
      </c>
      <c r="AG95" s="1" t="e">
        <f t="shared" si="34"/>
        <v>#N/A</v>
      </c>
      <c r="AH95" s="1" t="e">
        <f t="shared" si="22"/>
        <v>#N/A</v>
      </c>
      <c r="AI95" s="1" t="e">
        <f t="shared" si="35"/>
        <v>#N/A</v>
      </c>
      <c r="AJ95" s="8" t="e" cm="1">
        <f t="array" ref="AJ95">IF(AG95="","", IFERROR(((IF(AG$5&lt;&gt;"", AG$5*Y$5, 0) + SUMPRODUCT(--(AG$6:AG95&lt;&gt;""), AG$6:AG95, (Y$6:Y95-Y$5:Y94)))/1000)/AF$3, ""))</f>
        <v>#N/A</v>
      </c>
      <c r="AK95" s="1">
        <f t="shared" si="36"/>
        <v>910</v>
      </c>
      <c r="AL95" s="1">
        <f t="shared" si="37"/>
        <v>0</v>
      </c>
      <c r="AS95" s="1" t="e">
        <f t="shared" si="38"/>
        <v>#N/A</v>
      </c>
      <c r="AT95" s="1" t="e">
        <f t="shared" si="23"/>
        <v>#N/A</v>
      </c>
      <c r="AU95" s="1" t="e">
        <f t="shared" si="39"/>
        <v>#N/A</v>
      </c>
      <c r="AV95" s="8" t="e" cm="1">
        <f t="array" ref="AV95">IF(AS95="","", IFERROR(((IF(AS$5&lt;&gt;"", AS$5*AK$5, 0) + SUMPRODUCT(--(AS$6:AS95&lt;&gt;""), AS$6:AS95, (AK$6:AK95-AK$5:AK94)))/1000)/AR$3, ""))</f>
        <v>#N/A</v>
      </c>
    </row>
    <row r="96" spans="1:48" x14ac:dyDescent="0.25">
      <c r="A96" s="1">
        <f t="shared" si="24"/>
        <v>920</v>
      </c>
      <c r="B96" s="1">
        <f t="shared" si="25"/>
        <v>0</v>
      </c>
      <c r="I96" s="1" t="e">
        <f t="shared" si="26"/>
        <v>#N/A</v>
      </c>
      <c r="J96" s="1" t="e">
        <f t="shared" si="20"/>
        <v>#N/A</v>
      </c>
      <c r="K96" s="1" t="e">
        <f t="shared" si="27"/>
        <v>#N/A</v>
      </c>
      <c r="L96" s="8" t="e" cm="1">
        <f t="array" ref="L96">IF(I96="","", IFERROR(((IF(I$5&lt;&gt;"", I$5*A$5, 0) + SUMPRODUCT(--(I$6:I96&lt;&gt;""), I$6:I96, (A$6:A96-A$5:A95)))/1000)/H$3, ""))</f>
        <v>#N/A</v>
      </c>
      <c r="M96" s="1">
        <f t="shared" si="28"/>
        <v>920</v>
      </c>
      <c r="N96" s="1">
        <f t="shared" si="29"/>
        <v>0</v>
      </c>
      <c r="U96" s="1" t="e">
        <f t="shared" si="30"/>
        <v>#N/A</v>
      </c>
      <c r="V96" s="1" t="e">
        <f t="shared" si="21"/>
        <v>#N/A</v>
      </c>
      <c r="W96" s="1" t="e">
        <f t="shared" si="31"/>
        <v>#N/A</v>
      </c>
      <c r="X96" s="8" t="e" cm="1">
        <f t="array" ref="X96">IF(U96="","", IFERROR(((IF(U$5&lt;&gt;"", U$5*M$5, 0) + SUMPRODUCT(--(U$6:U96&lt;&gt;""), U$6:U96, (M$6:M96-M$5:M95)))/1000)/T$3, ""))</f>
        <v>#N/A</v>
      </c>
      <c r="Y96" s="1">
        <f t="shared" si="32"/>
        <v>920</v>
      </c>
      <c r="Z96" s="1">
        <f t="shared" si="33"/>
        <v>0</v>
      </c>
      <c r="AG96" s="1" t="e">
        <f t="shared" si="34"/>
        <v>#N/A</v>
      </c>
      <c r="AH96" s="1" t="e">
        <f t="shared" si="22"/>
        <v>#N/A</v>
      </c>
      <c r="AI96" s="1" t="e">
        <f t="shared" si="35"/>
        <v>#N/A</v>
      </c>
      <c r="AJ96" s="8" t="e" cm="1">
        <f t="array" ref="AJ96">IF(AG96="","", IFERROR(((IF(AG$5&lt;&gt;"", AG$5*Y$5, 0) + SUMPRODUCT(--(AG$6:AG96&lt;&gt;""), AG$6:AG96, (Y$6:Y96-Y$5:Y95)))/1000)/AF$3, ""))</f>
        <v>#N/A</v>
      </c>
      <c r="AK96" s="1">
        <f t="shared" si="36"/>
        <v>920</v>
      </c>
      <c r="AL96" s="1">
        <f t="shared" si="37"/>
        <v>0</v>
      </c>
      <c r="AS96" s="1" t="e">
        <f t="shared" si="38"/>
        <v>#N/A</v>
      </c>
      <c r="AT96" s="1" t="e">
        <f t="shared" si="23"/>
        <v>#N/A</v>
      </c>
      <c r="AU96" s="1" t="e">
        <f t="shared" si="39"/>
        <v>#N/A</v>
      </c>
      <c r="AV96" s="8" t="e" cm="1">
        <f t="array" ref="AV96">IF(AS96="","", IFERROR(((IF(AS$5&lt;&gt;"", AS$5*AK$5, 0) + SUMPRODUCT(--(AS$6:AS96&lt;&gt;""), AS$6:AS96, (AK$6:AK96-AK$5:AK95)))/1000)/AR$3, ""))</f>
        <v>#N/A</v>
      </c>
    </row>
    <row r="97" spans="1:48" x14ac:dyDescent="0.25">
      <c r="A97" s="1">
        <f t="shared" si="24"/>
        <v>930</v>
      </c>
      <c r="B97" s="1">
        <f t="shared" si="25"/>
        <v>0</v>
      </c>
      <c r="I97" s="1" t="e">
        <f t="shared" si="26"/>
        <v>#N/A</v>
      </c>
      <c r="J97" s="1" t="e">
        <f t="shared" si="20"/>
        <v>#N/A</v>
      </c>
      <c r="K97" s="1" t="e">
        <f t="shared" si="27"/>
        <v>#N/A</v>
      </c>
      <c r="L97" s="8" t="e" cm="1">
        <f t="array" ref="L97">IF(I97="","", IFERROR(((IF(I$5&lt;&gt;"", I$5*A$5, 0) + SUMPRODUCT(--(I$6:I97&lt;&gt;""), I$6:I97, (A$6:A97-A$5:A96)))/1000)/H$3, ""))</f>
        <v>#N/A</v>
      </c>
      <c r="M97" s="1">
        <f t="shared" si="28"/>
        <v>930</v>
      </c>
      <c r="N97" s="1">
        <f t="shared" si="29"/>
        <v>0</v>
      </c>
      <c r="U97" s="1" t="e">
        <f t="shared" si="30"/>
        <v>#N/A</v>
      </c>
      <c r="V97" s="1" t="e">
        <f t="shared" si="21"/>
        <v>#N/A</v>
      </c>
      <c r="W97" s="1" t="e">
        <f t="shared" si="31"/>
        <v>#N/A</v>
      </c>
      <c r="X97" s="8" t="e" cm="1">
        <f t="array" ref="X97">IF(U97="","", IFERROR(((IF(U$5&lt;&gt;"", U$5*M$5, 0) + SUMPRODUCT(--(U$6:U97&lt;&gt;""), U$6:U97, (M$6:M97-M$5:M96)))/1000)/T$3, ""))</f>
        <v>#N/A</v>
      </c>
      <c r="Y97" s="1">
        <f t="shared" si="32"/>
        <v>930</v>
      </c>
      <c r="Z97" s="1">
        <f t="shared" si="33"/>
        <v>0</v>
      </c>
      <c r="AG97" s="1" t="e">
        <f t="shared" si="34"/>
        <v>#N/A</v>
      </c>
      <c r="AH97" s="1" t="e">
        <f t="shared" si="22"/>
        <v>#N/A</v>
      </c>
      <c r="AI97" s="1" t="e">
        <f t="shared" si="35"/>
        <v>#N/A</v>
      </c>
      <c r="AJ97" s="8" t="e" cm="1">
        <f t="array" ref="AJ97">IF(AG97="","", IFERROR(((IF(AG$5&lt;&gt;"", AG$5*Y$5, 0) + SUMPRODUCT(--(AG$6:AG97&lt;&gt;""), AG$6:AG97, (Y$6:Y97-Y$5:Y96)))/1000)/AF$3, ""))</f>
        <v>#N/A</v>
      </c>
      <c r="AK97" s="1">
        <f t="shared" si="36"/>
        <v>930</v>
      </c>
      <c r="AL97" s="1">
        <f t="shared" si="37"/>
        <v>0</v>
      </c>
      <c r="AS97" s="1" t="e">
        <f t="shared" si="38"/>
        <v>#N/A</v>
      </c>
      <c r="AT97" s="1" t="e">
        <f t="shared" si="23"/>
        <v>#N/A</v>
      </c>
      <c r="AU97" s="1" t="e">
        <f t="shared" si="39"/>
        <v>#N/A</v>
      </c>
      <c r="AV97" s="8" t="e" cm="1">
        <f t="array" ref="AV97">IF(AS97="","", IFERROR(((IF(AS$5&lt;&gt;"", AS$5*AK$5, 0) + SUMPRODUCT(--(AS$6:AS97&lt;&gt;""), AS$6:AS97, (AK$6:AK97-AK$5:AK96)))/1000)/AR$3, ""))</f>
        <v>#N/A</v>
      </c>
    </row>
    <row r="98" spans="1:48" x14ac:dyDescent="0.25">
      <c r="A98" s="1">
        <f t="shared" si="24"/>
        <v>940</v>
      </c>
      <c r="B98" s="1">
        <f t="shared" si="25"/>
        <v>0</v>
      </c>
      <c r="I98" s="1" t="e">
        <f t="shared" si="26"/>
        <v>#N/A</v>
      </c>
      <c r="J98" s="1" t="e">
        <f t="shared" si="20"/>
        <v>#N/A</v>
      </c>
      <c r="K98" s="1" t="e">
        <f t="shared" si="27"/>
        <v>#N/A</v>
      </c>
      <c r="L98" s="8" t="e" cm="1">
        <f t="array" ref="L98">IF(I98="","", IFERROR(((IF(I$5&lt;&gt;"", I$5*A$5, 0) + SUMPRODUCT(--(I$6:I98&lt;&gt;""), I$6:I98, (A$6:A98-A$5:A97)))/1000)/H$3, ""))</f>
        <v>#N/A</v>
      </c>
      <c r="M98" s="1">
        <f t="shared" si="28"/>
        <v>940</v>
      </c>
      <c r="N98" s="1">
        <f t="shared" si="29"/>
        <v>0</v>
      </c>
      <c r="U98" s="1" t="e">
        <f t="shared" si="30"/>
        <v>#N/A</v>
      </c>
      <c r="V98" s="1" t="e">
        <f t="shared" si="21"/>
        <v>#N/A</v>
      </c>
      <c r="W98" s="1" t="e">
        <f t="shared" si="31"/>
        <v>#N/A</v>
      </c>
      <c r="X98" s="8" t="e" cm="1">
        <f t="array" ref="X98">IF(U98="","", IFERROR(((IF(U$5&lt;&gt;"", U$5*M$5, 0) + SUMPRODUCT(--(U$6:U98&lt;&gt;""), U$6:U98, (M$6:M98-M$5:M97)))/1000)/T$3, ""))</f>
        <v>#N/A</v>
      </c>
      <c r="Y98" s="1">
        <f t="shared" si="32"/>
        <v>940</v>
      </c>
      <c r="Z98" s="1">
        <f t="shared" si="33"/>
        <v>0</v>
      </c>
      <c r="AG98" s="1" t="e">
        <f t="shared" si="34"/>
        <v>#N/A</v>
      </c>
      <c r="AH98" s="1" t="e">
        <f t="shared" si="22"/>
        <v>#N/A</v>
      </c>
      <c r="AI98" s="1" t="e">
        <f t="shared" si="35"/>
        <v>#N/A</v>
      </c>
      <c r="AJ98" s="8" t="e" cm="1">
        <f t="array" ref="AJ98">IF(AG98="","", IFERROR(((IF(AG$5&lt;&gt;"", AG$5*Y$5, 0) + SUMPRODUCT(--(AG$6:AG98&lt;&gt;""), AG$6:AG98, (Y$6:Y98-Y$5:Y97)))/1000)/AF$3, ""))</f>
        <v>#N/A</v>
      </c>
      <c r="AK98" s="1">
        <f t="shared" si="36"/>
        <v>940</v>
      </c>
      <c r="AL98" s="1">
        <f t="shared" si="37"/>
        <v>0</v>
      </c>
      <c r="AS98" s="1" t="e">
        <f t="shared" si="38"/>
        <v>#N/A</v>
      </c>
      <c r="AT98" s="1" t="e">
        <f t="shared" si="23"/>
        <v>#N/A</v>
      </c>
      <c r="AU98" s="1" t="e">
        <f t="shared" si="39"/>
        <v>#N/A</v>
      </c>
      <c r="AV98" s="8" t="e" cm="1">
        <f t="array" ref="AV98">IF(AS98="","", IFERROR(((IF(AS$5&lt;&gt;"", AS$5*AK$5, 0) + SUMPRODUCT(--(AS$6:AS98&lt;&gt;""), AS$6:AS98, (AK$6:AK98-AK$5:AK97)))/1000)/AR$3, ""))</f>
        <v>#N/A</v>
      </c>
    </row>
    <row r="99" spans="1:48" x14ac:dyDescent="0.25">
      <c r="A99" s="1">
        <f t="shared" si="24"/>
        <v>950</v>
      </c>
      <c r="B99" s="1">
        <f t="shared" si="25"/>
        <v>0</v>
      </c>
      <c r="I99" s="1" t="e">
        <f t="shared" si="26"/>
        <v>#N/A</v>
      </c>
      <c r="J99" s="1" t="e">
        <f t="shared" si="20"/>
        <v>#N/A</v>
      </c>
      <c r="K99" s="1" t="e">
        <f t="shared" si="27"/>
        <v>#N/A</v>
      </c>
      <c r="L99" s="8" t="e" cm="1">
        <f t="array" ref="L99">IF(I99="","", IFERROR(((IF(I$5&lt;&gt;"", I$5*A$5, 0) + SUMPRODUCT(--(I$6:I99&lt;&gt;""), I$6:I99, (A$6:A99-A$5:A98)))/1000)/H$3, ""))</f>
        <v>#N/A</v>
      </c>
      <c r="M99" s="1">
        <f t="shared" si="28"/>
        <v>950</v>
      </c>
      <c r="N99" s="1">
        <f t="shared" si="29"/>
        <v>0</v>
      </c>
      <c r="U99" s="1" t="e">
        <f t="shared" si="30"/>
        <v>#N/A</v>
      </c>
      <c r="V99" s="1" t="e">
        <f t="shared" si="21"/>
        <v>#N/A</v>
      </c>
      <c r="W99" s="1" t="e">
        <f t="shared" si="31"/>
        <v>#N/A</v>
      </c>
      <c r="X99" s="8" t="e" cm="1">
        <f t="array" ref="X99">IF(U99="","", IFERROR(((IF(U$5&lt;&gt;"", U$5*M$5, 0) + SUMPRODUCT(--(U$6:U99&lt;&gt;""), U$6:U99, (M$6:M99-M$5:M98)))/1000)/T$3, ""))</f>
        <v>#N/A</v>
      </c>
      <c r="Y99" s="1">
        <f t="shared" si="32"/>
        <v>950</v>
      </c>
      <c r="Z99" s="1">
        <f t="shared" si="33"/>
        <v>0</v>
      </c>
      <c r="AG99" s="1" t="e">
        <f t="shared" si="34"/>
        <v>#N/A</v>
      </c>
      <c r="AH99" s="1" t="e">
        <f t="shared" si="22"/>
        <v>#N/A</v>
      </c>
      <c r="AI99" s="1" t="e">
        <f t="shared" si="35"/>
        <v>#N/A</v>
      </c>
      <c r="AJ99" s="8" t="e" cm="1">
        <f t="array" ref="AJ99">IF(AG99="","", IFERROR(((IF(AG$5&lt;&gt;"", AG$5*Y$5, 0) + SUMPRODUCT(--(AG$6:AG99&lt;&gt;""), AG$6:AG99, (Y$6:Y99-Y$5:Y98)))/1000)/AF$3, ""))</f>
        <v>#N/A</v>
      </c>
      <c r="AK99" s="1">
        <f t="shared" si="36"/>
        <v>950</v>
      </c>
      <c r="AL99" s="1">
        <f t="shared" si="37"/>
        <v>0</v>
      </c>
      <c r="AS99" s="1" t="e">
        <f t="shared" si="38"/>
        <v>#N/A</v>
      </c>
      <c r="AT99" s="1" t="e">
        <f t="shared" si="23"/>
        <v>#N/A</v>
      </c>
      <c r="AU99" s="1" t="e">
        <f t="shared" si="39"/>
        <v>#N/A</v>
      </c>
      <c r="AV99" s="8" t="e" cm="1">
        <f t="array" ref="AV99">IF(AS99="","", IFERROR(((IF(AS$5&lt;&gt;"", AS$5*AK$5, 0) + SUMPRODUCT(--(AS$6:AS99&lt;&gt;""), AS$6:AS99, (AK$6:AK99-AK$5:AK98)))/1000)/AR$3, ""))</f>
        <v>#N/A</v>
      </c>
    </row>
    <row r="100" spans="1:48" x14ac:dyDescent="0.25">
      <c r="A100" s="1">
        <f t="shared" si="24"/>
        <v>960</v>
      </c>
      <c r="B100" s="1">
        <f t="shared" si="25"/>
        <v>0</v>
      </c>
      <c r="I100" s="1" t="e">
        <f t="shared" si="26"/>
        <v>#N/A</v>
      </c>
      <c r="J100" s="1" t="e">
        <f t="shared" si="20"/>
        <v>#N/A</v>
      </c>
      <c r="K100" s="1" t="e">
        <f t="shared" si="27"/>
        <v>#N/A</v>
      </c>
      <c r="L100" s="8" t="e" cm="1">
        <f t="array" ref="L100">IF(I100="","", IFERROR(((IF(I$5&lt;&gt;"", I$5*A$5, 0) + SUMPRODUCT(--(I$6:I100&lt;&gt;""), I$6:I100, (A$6:A100-A$5:A99)))/1000)/H$3, ""))</f>
        <v>#N/A</v>
      </c>
      <c r="M100" s="1">
        <f t="shared" si="28"/>
        <v>960</v>
      </c>
      <c r="N100" s="1">
        <f t="shared" si="29"/>
        <v>0</v>
      </c>
      <c r="U100" s="1" t="e">
        <f t="shared" si="30"/>
        <v>#N/A</v>
      </c>
      <c r="V100" s="1" t="e">
        <f t="shared" si="21"/>
        <v>#N/A</v>
      </c>
      <c r="W100" s="1" t="e">
        <f t="shared" si="31"/>
        <v>#N/A</v>
      </c>
      <c r="X100" s="8" t="e" cm="1">
        <f t="array" ref="X100">IF(U100="","", IFERROR(((IF(U$5&lt;&gt;"", U$5*M$5, 0) + SUMPRODUCT(--(U$6:U100&lt;&gt;""), U$6:U100, (M$6:M100-M$5:M99)))/1000)/T$3, ""))</f>
        <v>#N/A</v>
      </c>
      <c r="Y100" s="1">
        <f t="shared" si="32"/>
        <v>960</v>
      </c>
      <c r="Z100" s="1">
        <f t="shared" si="33"/>
        <v>0</v>
      </c>
      <c r="AG100" s="1" t="e">
        <f t="shared" si="34"/>
        <v>#N/A</v>
      </c>
      <c r="AH100" s="1" t="e">
        <f t="shared" si="22"/>
        <v>#N/A</v>
      </c>
      <c r="AI100" s="1" t="e">
        <f t="shared" si="35"/>
        <v>#N/A</v>
      </c>
      <c r="AJ100" s="8" t="e" cm="1">
        <f t="array" ref="AJ100">IF(AG100="","", IFERROR(((IF(AG$5&lt;&gt;"", AG$5*Y$5, 0) + SUMPRODUCT(--(AG$6:AG100&lt;&gt;""), AG$6:AG100, (Y$6:Y100-Y$5:Y99)))/1000)/AF$3, ""))</f>
        <v>#N/A</v>
      </c>
      <c r="AK100" s="1">
        <f t="shared" si="36"/>
        <v>960</v>
      </c>
      <c r="AL100" s="1">
        <f t="shared" si="37"/>
        <v>0</v>
      </c>
      <c r="AS100" s="1" t="e">
        <f t="shared" si="38"/>
        <v>#N/A</v>
      </c>
      <c r="AT100" s="1" t="e">
        <f t="shared" si="23"/>
        <v>#N/A</v>
      </c>
      <c r="AU100" s="1" t="e">
        <f t="shared" si="39"/>
        <v>#N/A</v>
      </c>
      <c r="AV100" s="8" t="e" cm="1">
        <f t="array" ref="AV100">IF(AS100="","", IFERROR(((IF(AS$5&lt;&gt;"", AS$5*AK$5, 0) + SUMPRODUCT(--(AS$6:AS100&lt;&gt;""), AS$6:AS100, (AK$6:AK100-AK$5:AK99)))/1000)/AR$3, ""))</f>
        <v>#N/A</v>
      </c>
    </row>
    <row r="101" spans="1:48" x14ac:dyDescent="0.25">
      <c r="A101" s="1">
        <f t="shared" si="24"/>
        <v>970</v>
      </c>
      <c r="B101" s="1">
        <f t="shared" si="25"/>
        <v>0</v>
      </c>
      <c r="I101" s="1" t="e">
        <f t="shared" si="26"/>
        <v>#N/A</v>
      </c>
      <c r="J101" s="1" t="e">
        <f t="shared" si="20"/>
        <v>#N/A</v>
      </c>
      <c r="K101" s="1" t="e">
        <f t="shared" si="27"/>
        <v>#N/A</v>
      </c>
      <c r="L101" s="8" t="e" cm="1">
        <f t="array" ref="L101">IF(I101="","", IFERROR(((IF(I$5&lt;&gt;"", I$5*A$5, 0) + SUMPRODUCT(--(I$6:I101&lt;&gt;""), I$6:I101, (A$6:A101-A$5:A100)))/1000)/H$3, ""))</f>
        <v>#N/A</v>
      </c>
      <c r="M101" s="1">
        <f t="shared" si="28"/>
        <v>970</v>
      </c>
      <c r="N101" s="1">
        <f t="shared" si="29"/>
        <v>0</v>
      </c>
      <c r="U101" s="1" t="e">
        <f t="shared" si="30"/>
        <v>#N/A</v>
      </c>
      <c r="V101" s="1" t="e">
        <f t="shared" si="21"/>
        <v>#N/A</v>
      </c>
      <c r="W101" s="1" t="e">
        <f t="shared" si="31"/>
        <v>#N/A</v>
      </c>
      <c r="X101" s="8" t="e" cm="1">
        <f t="array" ref="X101">IF(U101="","", IFERROR(((IF(U$5&lt;&gt;"", U$5*M$5, 0) + SUMPRODUCT(--(U$6:U101&lt;&gt;""), U$6:U101, (M$6:M101-M$5:M100)))/1000)/T$3, ""))</f>
        <v>#N/A</v>
      </c>
      <c r="Y101" s="1">
        <f t="shared" si="32"/>
        <v>970</v>
      </c>
      <c r="Z101" s="1">
        <f t="shared" si="33"/>
        <v>0</v>
      </c>
      <c r="AG101" s="1" t="e">
        <f t="shared" si="34"/>
        <v>#N/A</v>
      </c>
      <c r="AH101" s="1" t="e">
        <f t="shared" si="22"/>
        <v>#N/A</v>
      </c>
      <c r="AI101" s="1" t="e">
        <f t="shared" si="35"/>
        <v>#N/A</v>
      </c>
      <c r="AJ101" s="8" t="e" cm="1">
        <f t="array" ref="AJ101">IF(AG101="","", IFERROR(((IF(AG$5&lt;&gt;"", AG$5*Y$5, 0) + SUMPRODUCT(--(AG$6:AG101&lt;&gt;""), AG$6:AG101, (Y$6:Y101-Y$5:Y100)))/1000)/AF$3, ""))</f>
        <v>#N/A</v>
      </c>
      <c r="AK101" s="1">
        <f t="shared" si="36"/>
        <v>970</v>
      </c>
      <c r="AL101" s="1">
        <f t="shared" si="37"/>
        <v>0</v>
      </c>
      <c r="AS101" s="1" t="e">
        <f t="shared" si="38"/>
        <v>#N/A</v>
      </c>
      <c r="AT101" s="1" t="e">
        <f t="shared" si="23"/>
        <v>#N/A</v>
      </c>
      <c r="AU101" s="1" t="e">
        <f t="shared" si="39"/>
        <v>#N/A</v>
      </c>
      <c r="AV101" s="8" t="e" cm="1">
        <f t="array" ref="AV101">IF(AS101="","", IFERROR(((IF(AS$5&lt;&gt;"", AS$5*AK$5, 0) + SUMPRODUCT(--(AS$6:AS101&lt;&gt;""), AS$6:AS101, (AK$6:AK101-AK$5:AK100)))/1000)/AR$3, ""))</f>
        <v>#N/A</v>
      </c>
    </row>
    <row r="102" spans="1:48" x14ac:dyDescent="0.25">
      <c r="A102" s="1">
        <f t="shared" si="24"/>
        <v>980</v>
      </c>
      <c r="B102" s="1">
        <f t="shared" si="25"/>
        <v>0</v>
      </c>
      <c r="I102" s="1" t="e">
        <f t="shared" si="26"/>
        <v>#N/A</v>
      </c>
      <c r="J102" s="1" t="e">
        <f t="shared" si="20"/>
        <v>#N/A</v>
      </c>
      <c r="K102" s="1" t="e">
        <f t="shared" si="27"/>
        <v>#N/A</v>
      </c>
      <c r="L102" s="8" t="e" cm="1">
        <f t="array" ref="L102">IF(I102="","", IFERROR(((IF(I$5&lt;&gt;"", I$5*A$5, 0) + SUMPRODUCT(--(I$6:I102&lt;&gt;""), I$6:I102, (A$6:A102-A$5:A101)))/1000)/H$3, ""))</f>
        <v>#N/A</v>
      </c>
      <c r="M102" s="1">
        <f t="shared" si="28"/>
        <v>980</v>
      </c>
      <c r="N102" s="1">
        <f t="shared" si="29"/>
        <v>0</v>
      </c>
      <c r="U102" s="1" t="e">
        <f t="shared" si="30"/>
        <v>#N/A</v>
      </c>
      <c r="V102" s="1" t="e">
        <f t="shared" si="21"/>
        <v>#N/A</v>
      </c>
      <c r="W102" s="1" t="e">
        <f t="shared" si="31"/>
        <v>#N/A</v>
      </c>
      <c r="X102" s="8" t="e" cm="1">
        <f t="array" ref="X102">IF(U102="","", IFERROR(((IF(U$5&lt;&gt;"", U$5*M$5, 0) + SUMPRODUCT(--(U$6:U102&lt;&gt;""), U$6:U102, (M$6:M102-M$5:M101)))/1000)/T$3, ""))</f>
        <v>#N/A</v>
      </c>
      <c r="Y102" s="1">
        <f t="shared" si="32"/>
        <v>980</v>
      </c>
      <c r="Z102" s="1">
        <f t="shared" si="33"/>
        <v>0</v>
      </c>
      <c r="AG102" s="1" t="e">
        <f t="shared" si="34"/>
        <v>#N/A</v>
      </c>
      <c r="AH102" s="1" t="e">
        <f t="shared" si="22"/>
        <v>#N/A</v>
      </c>
      <c r="AI102" s="1" t="e">
        <f t="shared" si="35"/>
        <v>#N/A</v>
      </c>
      <c r="AJ102" s="8" t="e" cm="1">
        <f t="array" ref="AJ102">IF(AG102="","", IFERROR(((IF(AG$5&lt;&gt;"", AG$5*Y$5, 0) + SUMPRODUCT(--(AG$6:AG102&lt;&gt;""), AG$6:AG102, (Y$6:Y102-Y$5:Y101)))/1000)/AF$3, ""))</f>
        <v>#N/A</v>
      </c>
      <c r="AK102" s="1">
        <f t="shared" si="36"/>
        <v>980</v>
      </c>
      <c r="AL102" s="1">
        <f t="shared" si="37"/>
        <v>0</v>
      </c>
      <c r="AS102" s="1" t="e">
        <f t="shared" si="38"/>
        <v>#N/A</v>
      </c>
      <c r="AT102" s="1" t="e">
        <f t="shared" si="23"/>
        <v>#N/A</v>
      </c>
      <c r="AU102" s="1" t="e">
        <f t="shared" si="39"/>
        <v>#N/A</v>
      </c>
      <c r="AV102" s="8" t="e" cm="1">
        <f t="array" ref="AV102">IF(AS102="","", IFERROR(((IF(AS$5&lt;&gt;"", AS$5*AK$5, 0) + SUMPRODUCT(--(AS$6:AS102&lt;&gt;""), AS$6:AS102, (AK$6:AK102-AK$5:AK101)))/1000)/AR$3, ""))</f>
        <v>#N/A</v>
      </c>
    </row>
    <row r="103" spans="1:48" x14ac:dyDescent="0.25">
      <c r="A103" s="1">
        <f t="shared" si="24"/>
        <v>990</v>
      </c>
      <c r="B103" s="1">
        <f t="shared" si="25"/>
        <v>0</v>
      </c>
      <c r="I103" s="1" t="e">
        <f t="shared" si="26"/>
        <v>#N/A</v>
      </c>
      <c r="J103" s="1" t="e">
        <f t="shared" si="20"/>
        <v>#N/A</v>
      </c>
      <c r="K103" s="1" t="e">
        <f t="shared" si="27"/>
        <v>#N/A</v>
      </c>
      <c r="L103" s="8" t="e" cm="1">
        <f t="array" ref="L103">IF(I103="","", IFERROR(((IF(I$5&lt;&gt;"", I$5*A$5, 0) + SUMPRODUCT(--(I$6:I103&lt;&gt;""), I$6:I103, (A$6:A103-A$5:A102)))/1000)/H$3, ""))</f>
        <v>#N/A</v>
      </c>
      <c r="M103" s="1">
        <f t="shared" si="28"/>
        <v>990</v>
      </c>
      <c r="N103" s="1">
        <f t="shared" si="29"/>
        <v>0</v>
      </c>
      <c r="U103" s="1" t="e">
        <f t="shared" si="30"/>
        <v>#N/A</v>
      </c>
      <c r="V103" s="1" t="e">
        <f t="shared" si="21"/>
        <v>#N/A</v>
      </c>
      <c r="W103" s="1" t="e">
        <f t="shared" si="31"/>
        <v>#N/A</v>
      </c>
      <c r="X103" s="8" t="e" cm="1">
        <f t="array" ref="X103">IF(U103="","", IFERROR(((IF(U$5&lt;&gt;"", U$5*M$5, 0) + SUMPRODUCT(--(U$6:U103&lt;&gt;""), U$6:U103, (M$6:M103-M$5:M102)))/1000)/T$3, ""))</f>
        <v>#N/A</v>
      </c>
      <c r="Y103" s="1">
        <f t="shared" si="32"/>
        <v>990</v>
      </c>
      <c r="Z103" s="1">
        <f t="shared" si="33"/>
        <v>0</v>
      </c>
      <c r="AG103" s="1" t="e">
        <f t="shared" si="34"/>
        <v>#N/A</v>
      </c>
      <c r="AH103" s="1" t="e">
        <f t="shared" si="22"/>
        <v>#N/A</v>
      </c>
      <c r="AI103" s="1" t="e">
        <f t="shared" si="35"/>
        <v>#N/A</v>
      </c>
      <c r="AJ103" s="8" t="e" cm="1">
        <f t="array" ref="AJ103">IF(AG103="","", IFERROR(((IF(AG$5&lt;&gt;"", AG$5*Y$5, 0) + SUMPRODUCT(--(AG$6:AG103&lt;&gt;""), AG$6:AG103, (Y$6:Y103-Y$5:Y102)))/1000)/AF$3, ""))</f>
        <v>#N/A</v>
      </c>
      <c r="AK103" s="1">
        <f t="shared" si="36"/>
        <v>990</v>
      </c>
      <c r="AL103" s="1">
        <f t="shared" si="37"/>
        <v>0</v>
      </c>
      <c r="AS103" s="1" t="e">
        <f t="shared" si="38"/>
        <v>#N/A</v>
      </c>
      <c r="AT103" s="1" t="e">
        <f t="shared" si="23"/>
        <v>#N/A</v>
      </c>
      <c r="AU103" s="1" t="e">
        <f t="shared" si="39"/>
        <v>#N/A</v>
      </c>
      <c r="AV103" s="8" t="e" cm="1">
        <f t="array" ref="AV103">IF(AS103="","", IFERROR(((IF(AS$5&lt;&gt;"", AS$5*AK$5, 0) + SUMPRODUCT(--(AS$6:AS103&lt;&gt;""), AS$6:AS103, (AK$6:AK103-AK$5:AK102)))/1000)/AR$3, ""))</f>
        <v>#N/A</v>
      </c>
    </row>
    <row r="104" spans="1:48" x14ac:dyDescent="0.25">
      <c r="A104" s="1">
        <f t="shared" si="24"/>
        <v>1000</v>
      </c>
      <c r="B104" s="1">
        <f t="shared" si="25"/>
        <v>0</v>
      </c>
      <c r="I104" s="1" t="e">
        <f t="shared" si="26"/>
        <v>#N/A</v>
      </c>
      <c r="J104" s="1" t="e">
        <f t="shared" si="20"/>
        <v>#N/A</v>
      </c>
      <c r="K104" s="1" t="e">
        <f t="shared" si="27"/>
        <v>#N/A</v>
      </c>
      <c r="L104" s="8" t="e" cm="1">
        <f t="array" ref="L104">IF(I104="","", IFERROR(((IF(I$5&lt;&gt;"", I$5*A$5, 0) + SUMPRODUCT(--(I$6:I104&lt;&gt;""), I$6:I104, (A$6:A104-A$5:A103)))/1000)/H$3, ""))</f>
        <v>#N/A</v>
      </c>
      <c r="M104" s="1">
        <f t="shared" si="28"/>
        <v>1000</v>
      </c>
      <c r="N104" s="1">
        <f t="shared" si="29"/>
        <v>0</v>
      </c>
      <c r="U104" s="1" t="e">
        <f t="shared" si="30"/>
        <v>#N/A</v>
      </c>
      <c r="V104" s="1" t="e">
        <f t="shared" si="21"/>
        <v>#N/A</v>
      </c>
      <c r="W104" s="1" t="e">
        <f t="shared" si="31"/>
        <v>#N/A</v>
      </c>
      <c r="X104" s="8" t="e" cm="1">
        <f t="array" ref="X104">IF(U104="","", IFERROR(((IF(U$5&lt;&gt;"", U$5*M$5, 0) + SUMPRODUCT(--(U$6:U104&lt;&gt;""), U$6:U104, (M$6:M104-M$5:M103)))/1000)/T$3, ""))</f>
        <v>#N/A</v>
      </c>
      <c r="Y104" s="1">
        <f t="shared" si="32"/>
        <v>1000</v>
      </c>
      <c r="Z104" s="1">
        <f t="shared" si="33"/>
        <v>0</v>
      </c>
      <c r="AG104" s="1" t="e">
        <f t="shared" si="34"/>
        <v>#N/A</v>
      </c>
      <c r="AH104" s="1" t="e">
        <f t="shared" si="22"/>
        <v>#N/A</v>
      </c>
      <c r="AI104" s="1" t="e">
        <f t="shared" si="35"/>
        <v>#N/A</v>
      </c>
      <c r="AJ104" s="8" t="e" cm="1">
        <f t="array" ref="AJ104">IF(AG104="","", IFERROR(((IF(AG$5&lt;&gt;"", AG$5*Y$5, 0) + SUMPRODUCT(--(AG$6:AG104&lt;&gt;""), AG$6:AG104, (Y$6:Y104-Y$5:Y103)))/1000)/AF$3, ""))</f>
        <v>#N/A</v>
      </c>
      <c r="AK104" s="1">
        <f t="shared" si="36"/>
        <v>1000</v>
      </c>
      <c r="AL104" s="1">
        <f t="shared" si="37"/>
        <v>0</v>
      </c>
      <c r="AS104" s="1" t="e">
        <f t="shared" si="38"/>
        <v>#N/A</v>
      </c>
      <c r="AT104" s="1" t="e">
        <f t="shared" si="23"/>
        <v>#N/A</v>
      </c>
      <c r="AU104" s="1" t="e">
        <f t="shared" si="39"/>
        <v>#N/A</v>
      </c>
      <c r="AV104" s="8" t="e" cm="1">
        <f t="array" ref="AV104">IF(AS104="","", IFERROR(((IF(AS$5&lt;&gt;"", AS$5*AK$5, 0) + SUMPRODUCT(--(AS$6:AS104&lt;&gt;""), AS$6:AS104, (AK$6:AK104-AK$5:AK103)))/1000)/AR$3, ""))</f>
        <v>#N/A</v>
      </c>
    </row>
    <row r="105" spans="1:48" x14ac:dyDescent="0.25">
      <c r="A105" s="1">
        <f t="shared" si="24"/>
        <v>1010</v>
      </c>
      <c r="B105" s="1">
        <f t="shared" si="25"/>
        <v>0</v>
      </c>
      <c r="I105" s="1" t="e">
        <f t="shared" si="26"/>
        <v>#N/A</v>
      </c>
      <c r="J105" s="1" t="e">
        <f t="shared" si="20"/>
        <v>#N/A</v>
      </c>
      <c r="K105" s="1" t="e">
        <f t="shared" si="27"/>
        <v>#N/A</v>
      </c>
      <c r="L105" s="8" t="e" cm="1">
        <f t="array" ref="L105">IF(I105="","", IFERROR(((IF(I$5&lt;&gt;"", I$5*A$5, 0) + SUMPRODUCT(--(I$6:I105&lt;&gt;""), I$6:I105, (A$6:A105-A$5:A104)))/1000)/H$3, ""))</f>
        <v>#N/A</v>
      </c>
      <c r="M105" s="1">
        <f t="shared" si="28"/>
        <v>1010</v>
      </c>
      <c r="N105" s="1">
        <f t="shared" si="29"/>
        <v>0</v>
      </c>
      <c r="U105" s="1" t="e">
        <f t="shared" si="30"/>
        <v>#N/A</v>
      </c>
      <c r="V105" s="1" t="e">
        <f t="shared" si="21"/>
        <v>#N/A</v>
      </c>
      <c r="W105" s="1" t="e">
        <f t="shared" si="31"/>
        <v>#N/A</v>
      </c>
      <c r="X105" s="8" t="e" cm="1">
        <f t="array" ref="X105">IF(U105="","", IFERROR(((IF(U$5&lt;&gt;"", U$5*M$5, 0) + SUMPRODUCT(--(U$6:U105&lt;&gt;""), U$6:U105, (M$6:M105-M$5:M104)))/1000)/T$3, ""))</f>
        <v>#N/A</v>
      </c>
      <c r="Y105" s="1">
        <f t="shared" si="32"/>
        <v>1010</v>
      </c>
      <c r="Z105" s="1">
        <f t="shared" si="33"/>
        <v>0</v>
      </c>
      <c r="AG105" s="1" t="e">
        <f t="shared" si="34"/>
        <v>#N/A</v>
      </c>
      <c r="AH105" s="1" t="e">
        <f t="shared" si="22"/>
        <v>#N/A</v>
      </c>
      <c r="AI105" s="1" t="e">
        <f t="shared" si="35"/>
        <v>#N/A</v>
      </c>
      <c r="AJ105" s="8" t="e" cm="1">
        <f t="array" ref="AJ105">IF(AG105="","", IFERROR(((IF(AG$5&lt;&gt;"", AG$5*Y$5, 0) + SUMPRODUCT(--(AG$6:AG105&lt;&gt;""), AG$6:AG105, (Y$6:Y105-Y$5:Y104)))/1000)/AF$3, ""))</f>
        <v>#N/A</v>
      </c>
      <c r="AK105" s="1">
        <f t="shared" si="36"/>
        <v>1010</v>
      </c>
      <c r="AL105" s="1">
        <f t="shared" si="37"/>
        <v>0</v>
      </c>
      <c r="AS105" s="1" t="e">
        <f t="shared" si="38"/>
        <v>#N/A</v>
      </c>
      <c r="AT105" s="1" t="e">
        <f t="shared" si="23"/>
        <v>#N/A</v>
      </c>
      <c r="AU105" s="1" t="e">
        <f t="shared" si="39"/>
        <v>#N/A</v>
      </c>
      <c r="AV105" s="8" t="e" cm="1">
        <f t="array" ref="AV105">IF(AS105="","", IFERROR(((IF(AS$5&lt;&gt;"", AS$5*AK$5, 0) + SUMPRODUCT(--(AS$6:AS105&lt;&gt;""), AS$6:AS105, (AK$6:AK105-AK$5:AK104)))/1000)/AR$3, ""))</f>
        <v>#N/A</v>
      </c>
    </row>
    <row r="106" spans="1:48" x14ac:dyDescent="0.25">
      <c r="A106" s="1">
        <f t="shared" si="24"/>
        <v>1020</v>
      </c>
      <c r="B106" s="1">
        <f t="shared" si="25"/>
        <v>0</v>
      </c>
      <c r="I106" s="1" t="e">
        <f t="shared" si="26"/>
        <v>#N/A</v>
      </c>
      <c r="J106" s="1" t="e">
        <f t="shared" si="20"/>
        <v>#N/A</v>
      </c>
      <c r="K106" s="1" t="e">
        <f t="shared" si="27"/>
        <v>#N/A</v>
      </c>
      <c r="L106" s="8" t="e" cm="1">
        <f t="array" ref="L106">IF(I106="","", IFERROR(((IF(I$5&lt;&gt;"", I$5*A$5, 0) + SUMPRODUCT(--(I$6:I106&lt;&gt;""), I$6:I106, (A$6:A106-A$5:A105)))/1000)/H$3, ""))</f>
        <v>#N/A</v>
      </c>
      <c r="M106" s="1">
        <f t="shared" si="28"/>
        <v>1020</v>
      </c>
      <c r="N106" s="1">
        <f t="shared" si="29"/>
        <v>0</v>
      </c>
      <c r="U106" s="1" t="e">
        <f t="shared" si="30"/>
        <v>#N/A</v>
      </c>
      <c r="V106" s="1" t="e">
        <f t="shared" si="21"/>
        <v>#N/A</v>
      </c>
      <c r="W106" s="1" t="e">
        <f t="shared" si="31"/>
        <v>#N/A</v>
      </c>
      <c r="X106" s="8" t="e" cm="1">
        <f t="array" ref="X106">IF(U106="","", IFERROR(((IF(U$5&lt;&gt;"", U$5*M$5, 0) + SUMPRODUCT(--(U$6:U106&lt;&gt;""), U$6:U106, (M$6:M106-M$5:M105)))/1000)/T$3, ""))</f>
        <v>#N/A</v>
      </c>
      <c r="Y106" s="1">
        <f t="shared" si="32"/>
        <v>1020</v>
      </c>
      <c r="Z106" s="1">
        <f t="shared" si="33"/>
        <v>0</v>
      </c>
      <c r="AG106" s="1" t="e">
        <f t="shared" si="34"/>
        <v>#N/A</v>
      </c>
      <c r="AH106" s="1" t="e">
        <f t="shared" si="22"/>
        <v>#N/A</v>
      </c>
      <c r="AI106" s="1" t="e">
        <f t="shared" si="35"/>
        <v>#N/A</v>
      </c>
      <c r="AJ106" s="8" t="e" cm="1">
        <f t="array" ref="AJ106">IF(AG106="","", IFERROR(((IF(AG$5&lt;&gt;"", AG$5*Y$5, 0) + SUMPRODUCT(--(AG$6:AG106&lt;&gt;""), AG$6:AG106, (Y$6:Y106-Y$5:Y105)))/1000)/AF$3, ""))</f>
        <v>#N/A</v>
      </c>
      <c r="AK106" s="1">
        <f t="shared" si="36"/>
        <v>1020</v>
      </c>
      <c r="AL106" s="1">
        <f t="shared" si="37"/>
        <v>0</v>
      </c>
      <c r="AS106" s="1" t="e">
        <f t="shared" si="38"/>
        <v>#N/A</v>
      </c>
      <c r="AT106" s="1" t="e">
        <f t="shared" si="23"/>
        <v>#N/A</v>
      </c>
      <c r="AU106" s="1" t="e">
        <f t="shared" si="39"/>
        <v>#N/A</v>
      </c>
      <c r="AV106" s="8" t="e" cm="1">
        <f t="array" ref="AV106">IF(AS106="","", IFERROR(((IF(AS$5&lt;&gt;"", AS$5*AK$5, 0) + SUMPRODUCT(--(AS$6:AS106&lt;&gt;""), AS$6:AS106, (AK$6:AK106-AK$5:AK105)))/1000)/AR$3, ""))</f>
        <v>#N/A</v>
      </c>
    </row>
    <row r="107" spans="1:48" x14ac:dyDescent="0.25">
      <c r="A107" s="1">
        <f t="shared" si="24"/>
        <v>1030</v>
      </c>
      <c r="B107" s="1">
        <f t="shared" si="25"/>
        <v>0</v>
      </c>
      <c r="I107" s="1" t="e">
        <f t="shared" si="26"/>
        <v>#N/A</v>
      </c>
      <c r="J107" s="1" t="e">
        <f t="shared" si="20"/>
        <v>#N/A</v>
      </c>
      <c r="K107" s="1" t="e">
        <f t="shared" si="27"/>
        <v>#N/A</v>
      </c>
      <c r="L107" s="8" t="e" cm="1">
        <f t="array" ref="L107">IF(I107="","", IFERROR(((IF(I$5&lt;&gt;"", I$5*A$5, 0) + SUMPRODUCT(--(I$6:I107&lt;&gt;""), I$6:I107, (A$6:A107-A$5:A106)))/1000)/H$3, ""))</f>
        <v>#N/A</v>
      </c>
      <c r="M107" s="1">
        <f t="shared" si="28"/>
        <v>1030</v>
      </c>
      <c r="N107" s="1">
        <f t="shared" si="29"/>
        <v>0</v>
      </c>
      <c r="U107" s="1" t="e">
        <f t="shared" si="30"/>
        <v>#N/A</v>
      </c>
      <c r="V107" s="1" t="e">
        <f t="shared" si="21"/>
        <v>#N/A</v>
      </c>
      <c r="W107" s="1" t="e">
        <f t="shared" si="31"/>
        <v>#N/A</v>
      </c>
      <c r="X107" s="8" t="e" cm="1">
        <f t="array" ref="X107">IF(U107="","", IFERROR(((IF(U$5&lt;&gt;"", U$5*M$5, 0) + SUMPRODUCT(--(U$6:U107&lt;&gt;""), U$6:U107, (M$6:M107-M$5:M106)))/1000)/T$3, ""))</f>
        <v>#N/A</v>
      </c>
      <c r="Y107" s="1">
        <f t="shared" si="32"/>
        <v>1030</v>
      </c>
      <c r="Z107" s="1">
        <f t="shared" si="33"/>
        <v>0</v>
      </c>
      <c r="AG107" s="1" t="e">
        <f t="shared" si="34"/>
        <v>#N/A</v>
      </c>
      <c r="AH107" s="1" t="e">
        <f t="shared" si="22"/>
        <v>#N/A</v>
      </c>
      <c r="AI107" s="1" t="e">
        <f t="shared" si="35"/>
        <v>#N/A</v>
      </c>
      <c r="AJ107" s="8" t="e" cm="1">
        <f t="array" ref="AJ107">IF(AG107="","", IFERROR(((IF(AG$5&lt;&gt;"", AG$5*Y$5, 0) + SUMPRODUCT(--(AG$6:AG107&lt;&gt;""), AG$6:AG107, (Y$6:Y107-Y$5:Y106)))/1000)/AF$3, ""))</f>
        <v>#N/A</v>
      </c>
      <c r="AK107" s="1">
        <f t="shared" si="36"/>
        <v>1030</v>
      </c>
      <c r="AL107" s="1">
        <f t="shared" si="37"/>
        <v>0</v>
      </c>
      <c r="AS107" s="1" t="e">
        <f t="shared" si="38"/>
        <v>#N/A</v>
      </c>
      <c r="AT107" s="1" t="e">
        <f t="shared" si="23"/>
        <v>#N/A</v>
      </c>
      <c r="AU107" s="1" t="e">
        <f t="shared" si="39"/>
        <v>#N/A</v>
      </c>
      <c r="AV107" s="8" t="e" cm="1">
        <f t="array" ref="AV107">IF(AS107="","", IFERROR(((IF(AS$5&lt;&gt;"", AS$5*AK$5, 0) + SUMPRODUCT(--(AS$6:AS107&lt;&gt;""), AS$6:AS107, (AK$6:AK107-AK$5:AK106)))/1000)/AR$3, ""))</f>
        <v>#N/A</v>
      </c>
    </row>
    <row r="108" spans="1:48" x14ac:dyDescent="0.25">
      <c r="A108" s="1">
        <f t="shared" si="24"/>
        <v>1040</v>
      </c>
      <c r="B108" s="1">
        <f t="shared" si="25"/>
        <v>0</v>
      </c>
      <c r="I108" s="1" t="e">
        <f t="shared" si="26"/>
        <v>#N/A</v>
      </c>
      <c r="J108" s="1" t="e">
        <f t="shared" si="20"/>
        <v>#N/A</v>
      </c>
      <c r="K108" s="1" t="e">
        <f t="shared" si="27"/>
        <v>#N/A</v>
      </c>
      <c r="L108" s="8" t="e" cm="1">
        <f t="array" ref="L108">IF(I108="","", IFERROR(((IF(I$5&lt;&gt;"", I$5*A$5, 0) + SUMPRODUCT(--(I$6:I108&lt;&gt;""), I$6:I108, (A$6:A108-A$5:A107)))/1000)/H$3, ""))</f>
        <v>#N/A</v>
      </c>
      <c r="M108" s="1">
        <f t="shared" si="28"/>
        <v>1040</v>
      </c>
      <c r="N108" s="1">
        <f t="shared" si="29"/>
        <v>0</v>
      </c>
      <c r="U108" s="1" t="e">
        <f t="shared" si="30"/>
        <v>#N/A</v>
      </c>
      <c r="V108" s="1" t="e">
        <f t="shared" si="21"/>
        <v>#N/A</v>
      </c>
      <c r="W108" s="1" t="e">
        <f t="shared" si="31"/>
        <v>#N/A</v>
      </c>
      <c r="X108" s="8" t="e" cm="1">
        <f t="array" ref="X108">IF(U108="","", IFERROR(((IF(U$5&lt;&gt;"", U$5*M$5, 0) + SUMPRODUCT(--(U$6:U108&lt;&gt;""), U$6:U108, (M$6:M108-M$5:M107)))/1000)/T$3, ""))</f>
        <v>#N/A</v>
      </c>
      <c r="Y108" s="1">
        <f t="shared" si="32"/>
        <v>1040</v>
      </c>
      <c r="Z108" s="1">
        <f t="shared" si="33"/>
        <v>0</v>
      </c>
      <c r="AG108" s="1" t="e">
        <f t="shared" si="34"/>
        <v>#N/A</v>
      </c>
      <c r="AH108" s="1" t="e">
        <f t="shared" si="22"/>
        <v>#N/A</v>
      </c>
      <c r="AI108" s="1" t="e">
        <f t="shared" si="35"/>
        <v>#N/A</v>
      </c>
      <c r="AJ108" s="8" t="e" cm="1">
        <f t="array" ref="AJ108">IF(AG108="","", IFERROR(((IF(AG$5&lt;&gt;"", AG$5*Y$5, 0) + SUMPRODUCT(--(AG$6:AG108&lt;&gt;""), AG$6:AG108, (Y$6:Y108-Y$5:Y107)))/1000)/AF$3, ""))</f>
        <v>#N/A</v>
      </c>
      <c r="AK108" s="1">
        <f t="shared" si="36"/>
        <v>1040</v>
      </c>
      <c r="AL108" s="1">
        <f t="shared" si="37"/>
        <v>0</v>
      </c>
      <c r="AS108" s="1" t="e">
        <f t="shared" si="38"/>
        <v>#N/A</v>
      </c>
      <c r="AT108" s="1" t="e">
        <f t="shared" si="23"/>
        <v>#N/A</v>
      </c>
      <c r="AU108" s="1" t="e">
        <f t="shared" si="39"/>
        <v>#N/A</v>
      </c>
      <c r="AV108" s="8" t="e" cm="1">
        <f t="array" ref="AV108">IF(AS108="","", IFERROR(((IF(AS$5&lt;&gt;"", AS$5*AK$5, 0) + SUMPRODUCT(--(AS$6:AS108&lt;&gt;""), AS$6:AS108, (AK$6:AK108-AK$5:AK107)))/1000)/AR$3, ""))</f>
        <v>#N/A</v>
      </c>
    </row>
    <row r="109" spans="1:48" x14ac:dyDescent="0.25">
      <c r="A109" s="1">
        <f t="shared" si="24"/>
        <v>1050</v>
      </c>
      <c r="B109" s="1">
        <f t="shared" si="25"/>
        <v>0</v>
      </c>
      <c r="I109" s="1" t="e">
        <f t="shared" si="26"/>
        <v>#N/A</v>
      </c>
      <c r="J109" s="1" t="e">
        <f t="shared" si="20"/>
        <v>#N/A</v>
      </c>
      <c r="K109" s="1" t="e">
        <f t="shared" si="27"/>
        <v>#N/A</v>
      </c>
      <c r="L109" s="8" t="e" cm="1">
        <f t="array" ref="L109">IF(I109="","", IFERROR(((IF(I$5&lt;&gt;"", I$5*A$5, 0) + SUMPRODUCT(--(I$6:I109&lt;&gt;""), I$6:I109, (A$6:A109-A$5:A108)))/1000)/H$3, ""))</f>
        <v>#N/A</v>
      </c>
      <c r="M109" s="1">
        <f t="shared" si="28"/>
        <v>1050</v>
      </c>
      <c r="N109" s="1">
        <f t="shared" si="29"/>
        <v>0</v>
      </c>
      <c r="U109" s="1" t="e">
        <f t="shared" si="30"/>
        <v>#N/A</v>
      </c>
      <c r="V109" s="1" t="e">
        <f t="shared" si="21"/>
        <v>#N/A</v>
      </c>
      <c r="W109" s="1" t="e">
        <f t="shared" si="31"/>
        <v>#N/A</v>
      </c>
      <c r="X109" s="8" t="e" cm="1">
        <f t="array" ref="X109">IF(U109="","", IFERROR(((IF(U$5&lt;&gt;"", U$5*M$5, 0) + SUMPRODUCT(--(U$6:U109&lt;&gt;""), U$6:U109, (M$6:M109-M$5:M108)))/1000)/T$3, ""))</f>
        <v>#N/A</v>
      </c>
      <c r="Y109" s="1">
        <f t="shared" si="32"/>
        <v>1050</v>
      </c>
      <c r="Z109" s="1">
        <f t="shared" si="33"/>
        <v>0</v>
      </c>
      <c r="AG109" s="1" t="e">
        <f t="shared" si="34"/>
        <v>#N/A</v>
      </c>
      <c r="AH109" s="1" t="e">
        <f t="shared" si="22"/>
        <v>#N/A</v>
      </c>
      <c r="AI109" s="1" t="e">
        <f t="shared" si="35"/>
        <v>#N/A</v>
      </c>
      <c r="AJ109" s="8" t="e" cm="1">
        <f t="array" ref="AJ109">IF(AG109="","", IFERROR(((IF(AG$5&lt;&gt;"", AG$5*Y$5, 0) + SUMPRODUCT(--(AG$6:AG109&lt;&gt;""), AG$6:AG109, (Y$6:Y109-Y$5:Y108)))/1000)/AF$3, ""))</f>
        <v>#N/A</v>
      </c>
      <c r="AK109" s="1">
        <f t="shared" si="36"/>
        <v>1050</v>
      </c>
      <c r="AL109" s="1">
        <f t="shared" si="37"/>
        <v>0</v>
      </c>
      <c r="AS109" s="1" t="e">
        <f t="shared" si="38"/>
        <v>#N/A</v>
      </c>
      <c r="AT109" s="1" t="e">
        <f t="shared" si="23"/>
        <v>#N/A</v>
      </c>
      <c r="AU109" s="1" t="e">
        <f t="shared" si="39"/>
        <v>#N/A</v>
      </c>
      <c r="AV109" s="8" t="e" cm="1">
        <f t="array" ref="AV109">IF(AS109="","", IFERROR(((IF(AS$5&lt;&gt;"", AS$5*AK$5, 0) + SUMPRODUCT(--(AS$6:AS109&lt;&gt;""), AS$6:AS109, (AK$6:AK109-AK$5:AK108)))/1000)/AR$3, ""))</f>
        <v>#N/A</v>
      </c>
    </row>
    <row r="110" spans="1:48" x14ac:dyDescent="0.25">
      <c r="A110" s="1">
        <f t="shared" si="24"/>
        <v>1060</v>
      </c>
      <c r="B110" s="1">
        <f t="shared" si="25"/>
        <v>0</v>
      </c>
      <c r="I110" s="1" t="e">
        <f t="shared" si="26"/>
        <v>#N/A</v>
      </c>
      <c r="J110" s="1" t="e">
        <f t="shared" si="20"/>
        <v>#N/A</v>
      </c>
      <c r="K110" s="1" t="e">
        <f t="shared" si="27"/>
        <v>#N/A</v>
      </c>
      <c r="L110" s="8" t="e" cm="1">
        <f t="array" ref="L110">IF(I110="","", IFERROR(((IF(I$5&lt;&gt;"", I$5*A$5, 0) + SUMPRODUCT(--(I$6:I110&lt;&gt;""), I$6:I110, (A$6:A110-A$5:A109)))/1000)/H$3, ""))</f>
        <v>#N/A</v>
      </c>
      <c r="M110" s="1">
        <f t="shared" si="28"/>
        <v>1060</v>
      </c>
      <c r="N110" s="1">
        <f t="shared" si="29"/>
        <v>0</v>
      </c>
      <c r="U110" s="1" t="e">
        <f t="shared" si="30"/>
        <v>#N/A</v>
      </c>
      <c r="V110" s="1" t="e">
        <f t="shared" si="21"/>
        <v>#N/A</v>
      </c>
      <c r="W110" s="1" t="e">
        <f t="shared" si="31"/>
        <v>#N/A</v>
      </c>
      <c r="X110" s="8" t="e" cm="1">
        <f t="array" ref="X110">IF(U110="","", IFERROR(((IF(U$5&lt;&gt;"", U$5*M$5, 0) + SUMPRODUCT(--(U$6:U110&lt;&gt;""), U$6:U110, (M$6:M110-M$5:M109)))/1000)/T$3, ""))</f>
        <v>#N/A</v>
      </c>
      <c r="Y110" s="1">
        <f t="shared" si="32"/>
        <v>1060</v>
      </c>
      <c r="Z110" s="1">
        <f t="shared" si="33"/>
        <v>0</v>
      </c>
      <c r="AG110" s="1" t="e">
        <f t="shared" si="34"/>
        <v>#N/A</v>
      </c>
      <c r="AH110" s="1" t="e">
        <f t="shared" si="22"/>
        <v>#N/A</v>
      </c>
      <c r="AI110" s="1" t="e">
        <f t="shared" si="35"/>
        <v>#N/A</v>
      </c>
      <c r="AJ110" s="8" t="e" cm="1">
        <f t="array" ref="AJ110">IF(AG110="","", IFERROR(((IF(AG$5&lt;&gt;"", AG$5*Y$5, 0) + SUMPRODUCT(--(AG$6:AG110&lt;&gt;""), AG$6:AG110, (Y$6:Y110-Y$5:Y109)))/1000)/AF$3, ""))</f>
        <v>#N/A</v>
      </c>
      <c r="AK110" s="1">
        <f t="shared" si="36"/>
        <v>1060</v>
      </c>
      <c r="AL110" s="1">
        <f t="shared" si="37"/>
        <v>0</v>
      </c>
      <c r="AS110" s="1" t="e">
        <f t="shared" si="38"/>
        <v>#N/A</v>
      </c>
      <c r="AT110" s="1" t="e">
        <f t="shared" si="23"/>
        <v>#N/A</v>
      </c>
      <c r="AU110" s="1" t="e">
        <f t="shared" si="39"/>
        <v>#N/A</v>
      </c>
      <c r="AV110" s="8" t="e" cm="1">
        <f t="array" ref="AV110">IF(AS110="","", IFERROR(((IF(AS$5&lt;&gt;"", AS$5*AK$5, 0) + SUMPRODUCT(--(AS$6:AS110&lt;&gt;""), AS$6:AS110, (AK$6:AK110-AK$5:AK109)))/1000)/AR$3, ""))</f>
        <v>#N/A</v>
      </c>
    </row>
    <row r="111" spans="1:48" x14ac:dyDescent="0.25">
      <c r="A111" s="1">
        <f t="shared" si="24"/>
        <v>1070</v>
      </c>
      <c r="B111" s="1">
        <f t="shared" si="25"/>
        <v>0</v>
      </c>
      <c r="I111" s="1" t="e">
        <f t="shared" si="26"/>
        <v>#N/A</v>
      </c>
      <c r="J111" s="1" t="e">
        <f t="shared" si="20"/>
        <v>#N/A</v>
      </c>
      <c r="K111" s="1" t="e">
        <f t="shared" si="27"/>
        <v>#N/A</v>
      </c>
      <c r="L111" s="8" t="e" cm="1">
        <f t="array" ref="L111">IF(I111="","", IFERROR(((IF(I$5&lt;&gt;"", I$5*A$5, 0) + SUMPRODUCT(--(I$6:I111&lt;&gt;""), I$6:I111, (A$6:A111-A$5:A110)))/1000)/H$3, ""))</f>
        <v>#N/A</v>
      </c>
      <c r="M111" s="1">
        <f t="shared" si="28"/>
        <v>1070</v>
      </c>
      <c r="N111" s="1">
        <f t="shared" si="29"/>
        <v>0</v>
      </c>
      <c r="U111" s="1" t="e">
        <f t="shared" si="30"/>
        <v>#N/A</v>
      </c>
      <c r="V111" s="1" t="e">
        <f t="shared" si="21"/>
        <v>#N/A</v>
      </c>
      <c r="W111" s="1" t="e">
        <f t="shared" si="31"/>
        <v>#N/A</v>
      </c>
      <c r="X111" s="8" t="e" cm="1">
        <f t="array" ref="X111">IF(U111="","", IFERROR(((IF(U$5&lt;&gt;"", U$5*M$5, 0) + SUMPRODUCT(--(U$6:U111&lt;&gt;""), U$6:U111, (M$6:M111-M$5:M110)))/1000)/T$3, ""))</f>
        <v>#N/A</v>
      </c>
      <c r="Y111" s="1">
        <f t="shared" si="32"/>
        <v>1070</v>
      </c>
      <c r="Z111" s="1">
        <f t="shared" si="33"/>
        <v>0</v>
      </c>
      <c r="AG111" s="1" t="e">
        <f t="shared" si="34"/>
        <v>#N/A</v>
      </c>
      <c r="AH111" s="1" t="e">
        <f t="shared" si="22"/>
        <v>#N/A</v>
      </c>
      <c r="AI111" s="1" t="e">
        <f t="shared" si="35"/>
        <v>#N/A</v>
      </c>
      <c r="AJ111" s="8" t="e" cm="1">
        <f t="array" ref="AJ111">IF(AG111="","", IFERROR(((IF(AG$5&lt;&gt;"", AG$5*Y$5, 0) + SUMPRODUCT(--(AG$6:AG111&lt;&gt;""), AG$6:AG111, (Y$6:Y111-Y$5:Y110)))/1000)/AF$3, ""))</f>
        <v>#N/A</v>
      </c>
      <c r="AK111" s="1">
        <f t="shared" si="36"/>
        <v>1070</v>
      </c>
      <c r="AL111" s="1">
        <f t="shared" si="37"/>
        <v>0</v>
      </c>
      <c r="AS111" s="1" t="e">
        <f t="shared" si="38"/>
        <v>#N/A</v>
      </c>
      <c r="AT111" s="1" t="e">
        <f t="shared" si="23"/>
        <v>#N/A</v>
      </c>
      <c r="AU111" s="1" t="e">
        <f t="shared" si="39"/>
        <v>#N/A</v>
      </c>
      <c r="AV111" s="8" t="e" cm="1">
        <f t="array" ref="AV111">IF(AS111="","", IFERROR(((IF(AS$5&lt;&gt;"", AS$5*AK$5, 0) + SUMPRODUCT(--(AS$6:AS111&lt;&gt;""), AS$6:AS111, (AK$6:AK111-AK$5:AK110)))/1000)/AR$3, ""))</f>
        <v>#N/A</v>
      </c>
    </row>
    <row r="112" spans="1:48" x14ac:dyDescent="0.25">
      <c r="A112" s="1">
        <f t="shared" si="24"/>
        <v>1080</v>
      </c>
      <c r="B112" s="1">
        <f t="shared" si="25"/>
        <v>0</v>
      </c>
      <c r="I112" s="1" t="e">
        <f t="shared" si="26"/>
        <v>#N/A</v>
      </c>
      <c r="J112" s="1" t="e">
        <f t="shared" si="20"/>
        <v>#N/A</v>
      </c>
      <c r="K112" s="1" t="e">
        <f t="shared" si="27"/>
        <v>#N/A</v>
      </c>
      <c r="L112" s="8" t="e" cm="1">
        <f t="array" ref="L112">IF(I112="","", IFERROR(((IF(I$5&lt;&gt;"", I$5*A$5, 0) + SUMPRODUCT(--(I$6:I112&lt;&gt;""), I$6:I112, (A$6:A112-A$5:A111)))/1000)/H$3, ""))</f>
        <v>#N/A</v>
      </c>
      <c r="M112" s="1">
        <f t="shared" si="28"/>
        <v>1080</v>
      </c>
      <c r="N112" s="1">
        <f t="shared" si="29"/>
        <v>0</v>
      </c>
      <c r="U112" s="1" t="e">
        <f t="shared" si="30"/>
        <v>#N/A</v>
      </c>
      <c r="V112" s="1" t="e">
        <f t="shared" si="21"/>
        <v>#N/A</v>
      </c>
      <c r="W112" s="1" t="e">
        <f t="shared" si="31"/>
        <v>#N/A</v>
      </c>
      <c r="X112" s="8" t="e" cm="1">
        <f t="array" ref="X112">IF(U112="","", IFERROR(((IF(U$5&lt;&gt;"", U$5*M$5, 0) + SUMPRODUCT(--(U$6:U112&lt;&gt;""), U$6:U112, (M$6:M112-M$5:M111)))/1000)/T$3, ""))</f>
        <v>#N/A</v>
      </c>
      <c r="Y112" s="1">
        <f t="shared" si="32"/>
        <v>1080</v>
      </c>
      <c r="Z112" s="1">
        <f t="shared" si="33"/>
        <v>0</v>
      </c>
      <c r="AG112" s="1" t="e">
        <f t="shared" si="34"/>
        <v>#N/A</v>
      </c>
      <c r="AH112" s="1" t="e">
        <f t="shared" si="22"/>
        <v>#N/A</v>
      </c>
      <c r="AI112" s="1" t="e">
        <f t="shared" si="35"/>
        <v>#N/A</v>
      </c>
      <c r="AJ112" s="8" t="e" cm="1">
        <f t="array" ref="AJ112">IF(AG112="","", IFERROR(((IF(AG$5&lt;&gt;"", AG$5*Y$5, 0) + SUMPRODUCT(--(AG$6:AG112&lt;&gt;""), AG$6:AG112, (Y$6:Y112-Y$5:Y111)))/1000)/AF$3, ""))</f>
        <v>#N/A</v>
      </c>
      <c r="AK112" s="1">
        <f t="shared" si="36"/>
        <v>1080</v>
      </c>
      <c r="AL112" s="1">
        <f t="shared" si="37"/>
        <v>0</v>
      </c>
      <c r="AS112" s="1" t="e">
        <f t="shared" si="38"/>
        <v>#N/A</v>
      </c>
      <c r="AT112" s="1" t="e">
        <f t="shared" si="23"/>
        <v>#N/A</v>
      </c>
      <c r="AU112" s="1" t="e">
        <f t="shared" si="39"/>
        <v>#N/A</v>
      </c>
      <c r="AV112" s="8" t="e" cm="1">
        <f t="array" ref="AV112">IF(AS112="","", IFERROR(((IF(AS$5&lt;&gt;"", AS$5*AK$5, 0) + SUMPRODUCT(--(AS$6:AS112&lt;&gt;""), AS$6:AS112, (AK$6:AK112-AK$5:AK111)))/1000)/AR$3, ""))</f>
        <v>#N/A</v>
      </c>
    </row>
    <row r="113" spans="1:48" x14ac:dyDescent="0.25">
      <c r="A113" s="1">
        <f t="shared" si="24"/>
        <v>1090</v>
      </c>
      <c r="B113" s="1">
        <f t="shared" si="25"/>
        <v>0</v>
      </c>
      <c r="I113" s="1" t="e">
        <f t="shared" si="26"/>
        <v>#N/A</v>
      </c>
      <c r="J113" s="1" t="e">
        <f t="shared" si="20"/>
        <v>#N/A</v>
      </c>
      <c r="K113" s="1" t="e">
        <f t="shared" si="27"/>
        <v>#N/A</v>
      </c>
      <c r="L113" s="8" t="e" cm="1">
        <f t="array" ref="L113">IF(I113="","", IFERROR(((IF(I$5&lt;&gt;"", I$5*A$5, 0) + SUMPRODUCT(--(I$6:I113&lt;&gt;""), I$6:I113, (A$6:A113-A$5:A112)))/1000)/H$3, ""))</f>
        <v>#N/A</v>
      </c>
      <c r="M113" s="1">
        <f t="shared" si="28"/>
        <v>1090</v>
      </c>
      <c r="N113" s="1">
        <f t="shared" si="29"/>
        <v>0</v>
      </c>
      <c r="U113" s="1" t="e">
        <f t="shared" si="30"/>
        <v>#N/A</v>
      </c>
      <c r="V113" s="1" t="e">
        <f t="shared" si="21"/>
        <v>#N/A</v>
      </c>
      <c r="W113" s="1" t="e">
        <f t="shared" si="31"/>
        <v>#N/A</v>
      </c>
      <c r="X113" s="8" t="e" cm="1">
        <f t="array" ref="X113">IF(U113="","", IFERROR(((IF(U$5&lt;&gt;"", U$5*M$5, 0) + SUMPRODUCT(--(U$6:U113&lt;&gt;""), U$6:U113, (M$6:M113-M$5:M112)))/1000)/T$3, ""))</f>
        <v>#N/A</v>
      </c>
      <c r="Y113" s="1">
        <f t="shared" si="32"/>
        <v>1090</v>
      </c>
      <c r="Z113" s="1">
        <f t="shared" si="33"/>
        <v>0</v>
      </c>
      <c r="AG113" s="1" t="e">
        <f t="shared" si="34"/>
        <v>#N/A</v>
      </c>
      <c r="AH113" s="1" t="e">
        <f t="shared" si="22"/>
        <v>#N/A</v>
      </c>
      <c r="AI113" s="1" t="e">
        <f t="shared" si="35"/>
        <v>#N/A</v>
      </c>
      <c r="AJ113" s="8" t="e" cm="1">
        <f t="array" ref="AJ113">IF(AG113="","", IFERROR(((IF(AG$5&lt;&gt;"", AG$5*Y$5, 0) + SUMPRODUCT(--(AG$6:AG113&lt;&gt;""), AG$6:AG113, (Y$6:Y113-Y$5:Y112)))/1000)/AF$3, ""))</f>
        <v>#N/A</v>
      </c>
      <c r="AK113" s="1">
        <f t="shared" si="36"/>
        <v>1090</v>
      </c>
      <c r="AL113" s="1">
        <f t="shared" si="37"/>
        <v>0</v>
      </c>
      <c r="AS113" s="1" t="e">
        <f t="shared" si="38"/>
        <v>#N/A</v>
      </c>
      <c r="AT113" s="1" t="e">
        <f t="shared" si="23"/>
        <v>#N/A</v>
      </c>
      <c r="AU113" s="1" t="e">
        <f t="shared" si="39"/>
        <v>#N/A</v>
      </c>
      <c r="AV113" s="8" t="e" cm="1">
        <f t="array" ref="AV113">IF(AS113="","", IFERROR(((IF(AS$5&lt;&gt;"", AS$5*AK$5, 0) + SUMPRODUCT(--(AS$6:AS113&lt;&gt;""), AS$6:AS113, (AK$6:AK113-AK$5:AK112)))/1000)/AR$3, ""))</f>
        <v>#N/A</v>
      </c>
    </row>
    <row r="114" spans="1:48" x14ac:dyDescent="0.25">
      <c r="A114" s="1">
        <f t="shared" si="24"/>
        <v>1100</v>
      </c>
      <c r="B114" s="1">
        <f t="shared" si="25"/>
        <v>0</v>
      </c>
      <c r="I114" s="1" t="e">
        <f t="shared" si="26"/>
        <v>#N/A</v>
      </c>
      <c r="J114" s="1" t="e">
        <f t="shared" si="20"/>
        <v>#N/A</v>
      </c>
      <c r="K114" s="1" t="e">
        <f t="shared" si="27"/>
        <v>#N/A</v>
      </c>
      <c r="L114" s="8" t="e" cm="1">
        <f t="array" ref="L114">IF(I114="","", IFERROR(((IF(I$5&lt;&gt;"", I$5*A$5, 0) + SUMPRODUCT(--(I$6:I114&lt;&gt;""), I$6:I114, (A$6:A114-A$5:A113)))/1000)/H$3, ""))</f>
        <v>#N/A</v>
      </c>
      <c r="M114" s="1">
        <f t="shared" si="28"/>
        <v>1100</v>
      </c>
      <c r="N114" s="1">
        <f t="shared" si="29"/>
        <v>0</v>
      </c>
      <c r="U114" s="1" t="e">
        <f t="shared" si="30"/>
        <v>#N/A</v>
      </c>
      <c r="V114" s="1" t="e">
        <f t="shared" si="21"/>
        <v>#N/A</v>
      </c>
      <c r="W114" s="1" t="e">
        <f t="shared" si="31"/>
        <v>#N/A</v>
      </c>
      <c r="X114" s="8" t="e" cm="1">
        <f t="array" ref="X114">IF(U114="","", IFERROR(((IF(U$5&lt;&gt;"", U$5*M$5, 0) + SUMPRODUCT(--(U$6:U114&lt;&gt;""), U$6:U114, (M$6:M114-M$5:M113)))/1000)/T$3, ""))</f>
        <v>#N/A</v>
      </c>
      <c r="Y114" s="1">
        <f t="shared" si="32"/>
        <v>1100</v>
      </c>
      <c r="Z114" s="1">
        <f t="shared" si="33"/>
        <v>0</v>
      </c>
      <c r="AG114" s="1" t="e">
        <f t="shared" si="34"/>
        <v>#N/A</v>
      </c>
      <c r="AH114" s="1" t="e">
        <f t="shared" si="22"/>
        <v>#N/A</v>
      </c>
      <c r="AI114" s="1" t="e">
        <f t="shared" si="35"/>
        <v>#N/A</v>
      </c>
      <c r="AJ114" s="8" t="e" cm="1">
        <f t="array" ref="AJ114">IF(AG114="","", IFERROR(((IF(AG$5&lt;&gt;"", AG$5*Y$5, 0) + SUMPRODUCT(--(AG$6:AG114&lt;&gt;""), AG$6:AG114, (Y$6:Y114-Y$5:Y113)))/1000)/AF$3, ""))</f>
        <v>#N/A</v>
      </c>
      <c r="AK114" s="1">
        <f t="shared" si="36"/>
        <v>1100</v>
      </c>
      <c r="AL114" s="1">
        <f t="shared" si="37"/>
        <v>0</v>
      </c>
      <c r="AS114" s="1" t="e">
        <f t="shared" si="38"/>
        <v>#N/A</v>
      </c>
      <c r="AT114" s="1" t="e">
        <f t="shared" si="23"/>
        <v>#N/A</v>
      </c>
      <c r="AU114" s="1" t="e">
        <f t="shared" si="39"/>
        <v>#N/A</v>
      </c>
      <c r="AV114" s="8" t="e" cm="1">
        <f t="array" ref="AV114">IF(AS114="","", IFERROR(((IF(AS$5&lt;&gt;"", AS$5*AK$5, 0) + SUMPRODUCT(--(AS$6:AS114&lt;&gt;""), AS$6:AS114, (AK$6:AK114-AK$5:AK113)))/1000)/AR$3, ""))</f>
        <v>#N/A</v>
      </c>
    </row>
    <row r="115" spans="1:48" x14ac:dyDescent="0.25">
      <c r="A115" s="1">
        <f t="shared" si="24"/>
        <v>1110</v>
      </c>
      <c r="B115" s="1">
        <f t="shared" si="25"/>
        <v>0</v>
      </c>
      <c r="I115" s="1" t="e">
        <f t="shared" si="26"/>
        <v>#N/A</v>
      </c>
      <c r="J115" s="1" t="e">
        <f t="shared" si="20"/>
        <v>#N/A</v>
      </c>
      <c r="K115" s="1" t="e">
        <f t="shared" si="27"/>
        <v>#N/A</v>
      </c>
      <c r="L115" s="8" t="e" cm="1">
        <f t="array" ref="L115">IF(I115="","", IFERROR(((IF(I$5&lt;&gt;"", I$5*A$5, 0) + SUMPRODUCT(--(I$6:I115&lt;&gt;""), I$6:I115, (A$6:A115-A$5:A114)))/1000)/H$3, ""))</f>
        <v>#N/A</v>
      </c>
      <c r="M115" s="1">
        <f t="shared" si="28"/>
        <v>1110</v>
      </c>
      <c r="N115" s="1">
        <f t="shared" si="29"/>
        <v>0</v>
      </c>
      <c r="U115" s="1" t="e">
        <f t="shared" si="30"/>
        <v>#N/A</v>
      </c>
      <c r="V115" s="1" t="e">
        <f t="shared" si="21"/>
        <v>#N/A</v>
      </c>
      <c r="W115" s="1" t="e">
        <f t="shared" si="31"/>
        <v>#N/A</v>
      </c>
      <c r="X115" s="8" t="e" cm="1">
        <f t="array" ref="X115">IF(U115="","", IFERROR(((IF(U$5&lt;&gt;"", U$5*M$5, 0) + SUMPRODUCT(--(U$6:U115&lt;&gt;""), U$6:U115, (M$6:M115-M$5:M114)))/1000)/T$3, ""))</f>
        <v>#N/A</v>
      </c>
      <c r="Y115" s="1">
        <f t="shared" si="32"/>
        <v>1110</v>
      </c>
      <c r="Z115" s="1">
        <f t="shared" si="33"/>
        <v>0</v>
      </c>
      <c r="AG115" s="1" t="e">
        <f t="shared" si="34"/>
        <v>#N/A</v>
      </c>
      <c r="AH115" s="1" t="e">
        <f t="shared" si="22"/>
        <v>#N/A</v>
      </c>
      <c r="AI115" s="1" t="e">
        <f t="shared" si="35"/>
        <v>#N/A</v>
      </c>
      <c r="AJ115" s="8" t="e" cm="1">
        <f t="array" ref="AJ115">IF(AG115="","", IFERROR(((IF(AG$5&lt;&gt;"", AG$5*Y$5, 0) + SUMPRODUCT(--(AG$6:AG115&lt;&gt;""), AG$6:AG115, (Y$6:Y115-Y$5:Y114)))/1000)/AF$3, ""))</f>
        <v>#N/A</v>
      </c>
      <c r="AK115" s="1">
        <f t="shared" si="36"/>
        <v>1110</v>
      </c>
      <c r="AL115" s="1">
        <f t="shared" si="37"/>
        <v>0</v>
      </c>
      <c r="AS115" s="1" t="e">
        <f t="shared" si="38"/>
        <v>#N/A</v>
      </c>
      <c r="AT115" s="1" t="e">
        <f t="shared" si="23"/>
        <v>#N/A</v>
      </c>
      <c r="AU115" s="1" t="e">
        <f t="shared" si="39"/>
        <v>#N/A</v>
      </c>
      <c r="AV115" s="8" t="e" cm="1">
        <f t="array" ref="AV115">IF(AS115="","", IFERROR(((IF(AS$5&lt;&gt;"", AS$5*AK$5, 0) + SUMPRODUCT(--(AS$6:AS115&lt;&gt;""), AS$6:AS115, (AK$6:AK115-AK$5:AK114)))/1000)/AR$3, ""))</f>
        <v>#N/A</v>
      </c>
    </row>
  </sheetData>
  <conditionalFormatting sqref="I5:L115">
    <cfRule type="containsErrors" dxfId="29" priority="17">
      <formula>ISERROR(I5)</formula>
    </cfRule>
  </conditionalFormatting>
  <conditionalFormatting sqref="K6:K115">
    <cfRule type="cellIs" dxfId="28" priority="28" operator="between">
      <formula>0</formula>
      <formula>15</formula>
    </cfRule>
    <cfRule type="cellIs" dxfId="27" priority="29" operator="between">
      <formula>15</formula>
      <formula>25</formula>
    </cfRule>
    <cfRule type="cellIs" dxfId="26" priority="30" operator="between">
      <formula>25</formula>
      <formula>1000</formula>
    </cfRule>
  </conditionalFormatting>
  <conditionalFormatting sqref="L2:L3">
    <cfRule type="containsErrors" dxfId="25" priority="20">
      <formula>ISERROR(L2)</formula>
    </cfRule>
  </conditionalFormatting>
  <conditionalFormatting sqref="U5:X115">
    <cfRule type="containsErrors" dxfId="24" priority="15">
      <formula>ISERROR(U5)</formula>
    </cfRule>
  </conditionalFormatting>
  <conditionalFormatting sqref="W6:W115">
    <cfRule type="cellIs" dxfId="23" priority="25" operator="between">
      <formula>0</formula>
      <formula>15</formula>
    </cfRule>
    <cfRule type="cellIs" dxfId="22" priority="26" operator="between">
      <formula>15</formula>
      <formula>25</formula>
    </cfRule>
    <cfRule type="cellIs" dxfId="21" priority="27" operator="between">
      <formula>25</formula>
      <formula>1000</formula>
    </cfRule>
  </conditionalFormatting>
  <conditionalFormatting sqref="X2:X3">
    <cfRule type="containsErrors" dxfId="20" priority="19">
      <formula>ISERROR(X2)</formula>
    </cfRule>
  </conditionalFormatting>
  <conditionalFormatting sqref="AG5:AJ115">
    <cfRule type="containsErrors" dxfId="19" priority="3">
      <formula>ISERROR(AG5)</formula>
    </cfRule>
  </conditionalFormatting>
  <conditionalFormatting sqref="AI6:AI115">
    <cfRule type="cellIs" dxfId="18" priority="12" operator="between">
      <formula>0</formula>
      <formula>15</formula>
    </cfRule>
    <cfRule type="cellIs" dxfId="17" priority="13" operator="between">
      <formula>15</formula>
      <formula>25</formula>
    </cfRule>
    <cfRule type="cellIs" dxfId="16" priority="14" operator="between">
      <formula>25</formula>
      <formula>1000</formula>
    </cfRule>
  </conditionalFormatting>
  <conditionalFormatting sqref="AJ2:AJ3">
    <cfRule type="containsErrors" dxfId="15" priority="6">
      <formula>ISERROR(AJ2)</formula>
    </cfRule>
  </conditionalFormatting>
  <conditionalFormatting sqref="AS5:AV115">
    <cfRule type="containsErrors" dxfId="14" priority="1">
      <formula>ISERROR(AS5)</formula>
    </cfRule>
  </conditionalFormatting>
  <conditionalFormatting sqref="AU6:AU115">
    <cfRule type="cellIs" dxfId="13" priority="9" operator="between">
      <formula>0</formula>
      <formula>15</formula>
    </cfRule>
    <cfRule type="cellIs" dxfId="12" priority="10" operator="between">
      <formula>15</formula>
      <formula>25</formula>
    </cfRule>
    <cfRule type="cellIs" dxfId="11" priority="11" operator="between">
      <formula>25</formula>
      <formula>1000</formula>
    </cfRule>
  </conditionalFormatting>
  <conditionalFormatting sqref="AV2:AV3">
    <cfRule type="containsErrors" dxfId="10" priority="5">
      <formula>ISERROR(AV2)</formula>
    </cfRule>
  </conditionalFormatting>
  <pageMargins left="0.7" right="0.7" top="0.75" bottom="0.75" header="0.3" footer="0.3"/>
  <ignoredErrors>
    <ignoredError sqref="V5:W115 J5:K115 L2:L3 X2:X3 AT5:AV115 AV2:AV3 AJ2:AJ3 AH5:AJ115 X5:X115 L5:L115" evalError="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Test SOP's</vt:lpstr>
      <vt:lpstr>Lifetime Test</vt:lpstr>
      <vt:lpstr>User Test Simulation</vt:lpstr>
      <vt:lpstr>Long Puff Lifetime Test</vt:lpstr>
      <vt:lpstr>Rapid Puff Lifetime Test</vt:lpstr>
      <vt:lpstr>Intense Test</vt:lpstr>
      <vt:lpstr>Big Headspace Serial Test</vt:lpstr>
      <vt:lpstr>Temperature Cycling Test #1</vt:lpstr>
      <vt:lpstr>Temperature Cycling Test #2</vt:lpstr>
      <vt:lpstr>Negative Pressure Test</vt:lpstr>
      <vt:lpstr>Viscosity Compatibility</vt:lpstr>
      <vt:lpstr>Various Oil Compatibility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Becquet</dc:creator>
  <cp:lastModifiedBy>Alexander Becquet</cp:lastModifiedBy>
  <dcterms:created xsi:type="dcterms:W3CDTF">2024-08-21T19:14:19Z</dcterms:created>
  <dcterms:modified xsi:type="dcterms:W3CDTF">2025-12-18T23:11:45Z</dcterms:modified>
</cp:coreProperties>
</file>